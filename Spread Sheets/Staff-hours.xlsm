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 Selcraig\Downloads\"/>
    </mc:Choice>
  </mc:AlternateContent>
  <xr:revisionPtr revIDLastSave="0" documentId="13_ncr:1_{449D27F2-67E5-4FD9-A1A3-46114F21F459}" xr6:coauthVersionLast="41" xr6:coauthVersionMax="41" xr10:uidLastSave="{00000000-0000-0000-0000-000000000000}"/>
  <bookViews>
    <workbookView xWindow="-120" yWindow="-120" windowWidth="19395" windowHeight="11760" firstSheet="1" activeTab="1" xr2:uid="{00000000-000D-0000-FFFF-FFFF00000000}"/>
  </bookViews>
  <sheets>
    <sheet name="Business rules" sheetId="12" r:id="rId1"/>
    <sheet name="Input" sheetId="8" r:id="rId2"/>
    <sheet name="Call distribution" sheetId="9" r:id="rId3"/>
    <sheet name="Weekly Roster" sheetId="11" r:id="rId4"/>
    <sheet name="Staff Count" sheetId="16" r:id="rId5"/>
    <sheet name="Raw data" sheetId="15" r:id="rId6"/>
  </sheets>
  <definedNames>
    <definedName name="_xlnm._FilterDatabase" localSheetId="1" hidden="1">Input!$A$1:$O$37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9" i="8" l="1"/>
  <c r="S8" i="8"/>
  <c r="S7" i="8"/>
  <c r="S10" i="8" s="1"/>
  <c r="AK1" i="11" l="1"/>
  <c r="AH1" i="11"/>
  <c r="AE1" i="11"/>
  <c r="AC3" i="11"/>
  <c r="AC95" i="11" l="1"/>
  <c r="AC94" i="11"/>
  <c r="AC80" i="11"/>
  <c r="AC79" i="11"/>
  <c r="AC65" i="11"/>
  <c r="AC64" i="11"/>
  <c r="AC50" i="11"/>
  <c r="AC49" i="11"/>
  <c r="AC35" i="11"/>
  <c r="AC34" i="11"/>
  <c r="AC20" i="11"/>
  <c r="AC18" i="11"/>
  <c r="AC19" i="11"/>
  <c r="AC4" i="11"/>
  <c r="AC7" i="11"/>
  <c r="AC9" i="11"/>
  <c r="D4" i="9" l="1"/>
  <c r="C3" i="11" s="1"/>
  <c r="C4" i="9"/>
  <c r="B5" i="9" l="1"/>
  <c r="B6" i="9"/>
  <c r="B7" i="9"/>
  <c r="B8" i="9"/>
  <c r="B9" i="9"/>
  <c r="B10" i="9"/>
  <c r="B4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AC107" i="11"/>
  <c r="AC106" i="11"/>
  <c r="AC105" i="11"/>
  <c r="AC104" i="11"/>
  <c r="AC103" i="11"/>
  <c r="AC102" i="11"/>
  <c r="AC101" i="11"/>
  <c r="AC100" i="11"/>
  <c r="AC99" i="11"/>
  <c r="AC98" i="11"/>
  <c r="AC97" i="11"/>
  <c r="AC96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17" i="11" l="1"/>
  <c r="AC16" i="11"/>
  <c r="AC15" i="11"/>
  <c r="AC14" i="11"/>
  <c r="AC13" i="11"/>
  <c r="AC12" i="11"/>
  <c r="AC11" i="11"/>
  <c r="AC10" i="11"/>
  <c r="AC8" i="11"/>
  <c r="AC6" i="11"/>
  <c r="AC5" i="11"/>
  <c r="AE9" i="11" l="1"/>
  <c r="AG9" i="11" s="1"/>
  <c r="AE8" i="11"/>
  <c r="AE7" i="11"/>
  <c r="AG7" i="11" l="1"/>
  <c r="AJ7" i="11"/>
  <c r="AJ8" i="11"/>
  <c r="AG8" i="11"/>
  <c r="R10" i="9"/>
  <c r="C107" i="11" s="1"/>
  <c r="Q10" i="9"/>
  <c r="C106" i="11" s="1"/>
  <c r="P10" i="9"/>
  <c r="C105" i="11" s="1"/>
  <c r="O10" i="9"/>
  <c r="C104" i="11" s="1"/>
  <c r="N10" i="9"/>
  <c r="C103" i="11" s="1"/>
  <c r="C102" i="11" s="1"/>
  <c r="M10" i="9"/>
  <c r="L10" i="9"/>
  <c r="C101" i="11" s="1"/>
  <c r="K10" i="9"/>
  <c r="C100" i="11" s="1"/>
  <c r="J10" i="9"/>
  <c r="C99" i="11" s="1"/>
  <c r="I10" i="9"/>
  <c r="C98" i="11" s="1"/>
  <c r="H10" i="9"/>
  <c r="C97" i="11" s="1"/>
  <c r="G10" i="9"/>
  <c r="C96" i="11" s="1"/>
  <c r="F10" i="9"/>
  <c r="C95" i="11" s="1"/>
  <c r="E10" i="9"/>
  <c r="C94" i="11" s="1"/>
  <c r="D10" i="9"/>
  <c r="C93" i="11" s="1"/>
  <c r="C10" i="9"/>
  <c r="R9" i="9"/>
  <c r="C92" i="11" s="1"/>
  <c r="Q9" i="9"/>
  <c r="C91" i="11" s="1"/>
  <c r="P9" i="9"/>
  <c r="C90" i="11" s="1"/>
  <c r="O9" i="9"/>
  <c r="C89" i="11" s="1"/>
  <c r="N9" i="9"/>
  <c r="C88" i="11" s="1"/>
  <c r="M9" i="9"/>
  <c r="C87" i="11" s="1"/>
  <c r="L9" i="9"/>
  <c r="C86" i="11" s="1"/>
  <c r="K9" i="9"/>
  <c r="C85" i="11" s="1"/>
  <c r="J9" i="9"/>
  <c r="C84" i="11" s="1"/>
  <c r="I9" i="9"/>
  <c r="C83" i="11" s="1"/>
  <c r="H9" i="9"/>
  <c r="C82" i="11" s="1"/>
  <c r="G9" i="9"/>
  <c r="C81" i="11" s="1"/>
  <c r="F9" i="9"/>
  <c r="C80" i="11" s="1"/>
  <c r="E9" i="9"/>
  <c r="C79" i="11" s="1"/>
  <c r="D9" i="9"/>
  <c r="C78" i="11" s="1"/>
  <c r="C9" i="9"/>
  <c r="R8" i="9"/>
  <c r="C77" i="11" s="1"/>
  <c r="Q8" i="9"/>
  <c r="C76" i="11" s="1"/>
  <c r="P8" i="9"/>
  <c r="C75" i="11" s="1"/>
  <c r="O8" i="9"/>
  <c r="C74" i="11" s="1"/>
  <c r="N8" i="9"/>
  <c r="C73" i="11" s="1"/>
  <c r="M8" i="9"/>
  <c r="C72" i="11" s="1"/>
  <c r="L8" i="9"/>
  <c r="C71" i="11" s="1"/>
  <c r="K8" i="9"/>
  <c r="C70" i="11" s="1"/>
  <c r="J8" i="9"/>
  <c r="C69" i="11" s="1"/>
  <c r="I8" i="9"/>
  <c r="C68" i="11" s="1"/>
  <c r="H8" i="9"/>
  <c r="C67" i="11" s="1"/>
  <c r="G8" i="9"/>
  <c r="C66" i="11" s="1"/>
  <c r="F8" i="9"/>
  <c r="C65" i="11" s="1"/>
  <c r="E8" i="9"/>
  <c r="C64" i="11" s="1"/>
  <c r="D8" i="9"/>
  <c r="C63" i="11" s="1"/>
  <c r="C8" i="9"/>
  <c r="R7" i="9"/>
  <c r="C62" i="11" s="1"/>
  <c r="Q7" i="9"/>
  <c r="C61" i="11" s="1"/>
  <c r="P7" i="9"/>
  <c r="C60" i="11" s="1"/>
  <c r="O7" i="9"/>
  <c r="C59" i="11" s="1"/>
  <c r="N7" i="9"/>
  <c r="C58" i="11" s="1"/>
  <c r="M7" i="9"/>
  <c r="C57" i="11" s="1"/>
  <c r="L7" i="9"/>
  <c r="C56" i="11" s="1"/>
  <c r="K7" i="9"/>
  <c r="C55" i="11" s="1"/>
  <c r="J7" i="9"/>
  <c r="C54" i="11" s="1"/>
  <c r="I7" i="9"/>
  <c r="C53" i="11" s="1"/>
  <c r="H7" i="9"/>
  <c r="C52" i="11" s="1"/>
  <c r="G7" i="9"/>
  <c r="C51" i="11" s="1"/>
  <c r="F7" i="9"/>
  <c r="C50" i="11" s="1"/>
  <c r="E7" i="9"/>
  <c r="C49" i="11" s="1"/>
  <c r="D7" i="9"/>
  <c r="C48" i="11" s="1"/>
  <c r="C7" i="9"/>
  <c r="R6" i="9"/>
  <c r="C47" i="11" s="1"/>
  <c r="Q6" i="9"/>
  <c r="C46" i="11" s="1"/>
  <c r="P6" i="9"/>
  <c r="C45" i="11" s="1"/>
  <c r="O6" i="9"/>
  <c r="C44" i="11" s="1"/>
  <c r="N6" i="9"/>
  <c r="C43" i="11" s="1"/>
  <c r="M6" i="9"/>
  <c r="C42" i="11" s="1"/>
  <c r="L6" i="9"/>
  <c r="C41" i="11" s="1"/>
  <c r="K6" i="9"/>
  <c r="C40" i="11" s="1"/>
  <c r="J6" i="9"/>
  <c r="C39" i="11" s="1"/>
  <c r="I6" i="9"/>
  <c r="C38" i="11" s="1"/>
  <c r="H6" i="9"/>
  <c r="C37" i="11" s="1"/>
  <c r="G6" i="9"/>
  <c r="C36" i="11" s="1"/>
  <c r="F6" i="9"/>
  <c r="C35" i="11" s="1"/>
  <c r="E6" i="9"/>
  <c r="C34" i="11" s="1"/>
  <c r="D6" i="9"/>
  <c r="C33" i="11" s="1"/>
  <c r="C6" i="9"/>
  <c r="R5" i="9"/>
  <c r="C32" i="11" s="1"/>
  <c r="Q5" i="9"/>
  <c r="C31" i="11" s="1"/>
  <c r="P5" i="9"/>
  <c r="C30" i="11" s="1"/>
  <c r="O5" i="9"/>
  <c r="C29" i="11" s="1"/>
  <c r="N5" i="9"/>
  <c r="C28" i="11" s="1"/>
  <c r="M5" i="9"/>
  <c r="C27" i="11" s="1"/>
  <c r="L5" i="9"/>
  <c r="C26" i="11" s="1"/>
  <c r="K5" i="9"/>
  <c r="C25" i="11" s="1"/>
  <c r="J5" i="9"/>
  <c r="C24" i="11" s="1"/>
  <c r="I5" i="9"/>
  <c r="C23" i="11" s="1"/>
  <c r="H5" i="9"/>
  <c r="C22" i="11" s="1"/>
  <c r="G5" i="9"/>
  <c r="C21" i="11" s="1"/>
  <c r="F5" i="9"/>
  <c r="C20" i="11" s="1"/>
  <c r="E5" i="9"/>
  <c r="C19" i="11" s="1"/>
  <c r="D5" i="9"/>
  <c r="C18" i="11" s="1"/>
  <c r="C5" i="9"/>
  <c r="R4" i="9"/>
  <c r="C17" i="11" s="1"/>
  <c r="Q4" i="9"/>
  <c r="C16" i="11" s="1"/>
  <c r="P4" i="9"/>
  <c r="C15" i="11" s="1"/>
  <c r="O4" i="9"/>
  <c r="C14" i="11" s="1"/>
  <c r="N4" i="9"/>
  <c r="C13" i="11" s="1"/>
  <c r="M4" i="9"/>
  <c r="C12" i="11" s="1"/>
  <c r="L4" i="9"/>
  <c r="C11" i="11" s="1"/>
  <c r="K4" i="9"/>
  <c r="C10" i="11" s="1"/>
  <c r="J4" i="9"/>
  <c r="C9" i="11" s="1"/>
  <c r="I4" i="9"/>
  <c r="C8" i="11" s="1"/>
  <c r="H4" i="9"/>
  <c r="C7" i="11" s="1"/>
  <c r="G4" i="9"/>
  <c r="C6" i="11" s="1"/>
  <c r="F4" i="9"/>
  <c r="C5" i="11" s="1"/>
  <c r="E4" i="9"/>
  <c r="C4" i="11" s="1"/>
  <c r="F37" i="8"/>
  <c r="E37" i="8"/>
  <c r="D37" i="8"/>
  <c r="B37" i="8"/>
  <c r="P35" i="8"/>
  <c r="P34" i="8"/>
  <c r="P33" i="8"/>
  <c r="P32" i="8"/>
  <c r="P31" i="8"/>
  <c r="P30" i="8"/>
  <c r="P29" i="8"/>
  <c r="P28" i="8"/>
  <c r="P27" i="8"/>
  <c r="P26" i="8"/>
  <c r="P25" i="8"/>
  <c r="P24" i="8"/>
  <c r="P23" i="8"/>
  <c r="P22" i="8"/>
  <c r="P21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P4" i="8"/>
  <c r="P3" i="8"/>
  <c r="P2" i="8"/>
</calcChain>
</file>

<file path=xl/sharedStrings.xml><?xml version="1.0" encoding="utf-8"?>
<sst xmlns="http://schemas.openxmlformats.org/spreadsheetml/2006/main" count="33528" uniqueCount="454">
  <si>
    <t>biker</t>
  </si>
  <si>
    <t>buser</t>
  </si>
  <si>
    <t>driver</t>
  </si>
  <si>
    <t>Name</t>
  </si>
  <si>
    <t>Contract</t>
  </si>
  <si>
    <t>Predicted Avg Next Month</t>
  </si>
  <si>
    <t>Type</t>
  </si>
  <si>
    <t>Availability</t>
  </si>
  <si>
    <t>other</t>
  </si>
  <si>
    <t>Transport</t>
  </si>
  <si>
    <t>Rating</t>
  </si>
  <si>
    <t>Overall</t>
  </si>
  <si>
    <t>contract</t>
  </si>
  <si>
    <t>7-6</t>
  </si>
  <si>
    <t>morning</t>
  </si>
  <si>
    <t>3 day</t>
  </si>
  <si>
    <t>bank</t>
  </si>
  <si>
    <t>good</t>
  </si>
  <si>
    <t>reasonable</t>
  </si>
  <si>
    <t>qualitt</t>
  </si>
  <si>
    <t>Total</t>
  </si>
  <si>
    <t>Avg Hours July</t>
  </si>
  <si>
    <t>Left</t>
  </si>
  <si>
    <t>??</t>
  </si>
  <si>
    <t>Avg Weekly Aug Hrs</t>
  </si>
  <si>
    <t>part-time</t>
  </si>
  <si>
    <t>full-time</t>
  </si>
  <si>
    <t>Staff No 1</t>
  </si>
  <si>
    <t>Staff No 2</t>
  </si>
  <si>
    <t>Staff No 3</t>
  </si>
  <si>
    <t>Staff No 4</t>
  </si>
  <si>
    <t>Staff No 5</t>
  </si>
  <si>
    <t>Staff No 6</t>
  </si>
  <si>
    <t>Staff No 7</t>
  </si>
  <si>
    <t>Staff No 8</t>
  </si>
  <si>
    <t>Staff No 9</t>
  </si>
  <si>
    <t>Staff No 10</t>
  </si>
  <si>
    <t>Staff No 11</t>
  </si>
  <si>
    <t>Staff No 12</t>
  </si>
  <si>
    <t>Staff No 13</t>
  </si>
  <si>
    <t>Staff No 14</t>
  </si>
  <si>
    <t>Staff No 15</t>
  </si>
  <si>
    <t>Staff No 16</t>
  </si>
  <si>
    <t>Staff No 17</t>
  </si>
  <si>
    <t>Staff No 18</t>
  </si>
  <si>
    <t>Staff No 19</t>
  </si>
  <si>
    <t>Staff No 20</t>
  </si>
  <si>
    <t>Staff No 21</t>
  </si>
  <si>
    <t>Staff No 22</t>
  </si>
  <si>
    <t>Staff No 23</t>
  </si>
  <si>
    <t>Staff No 24</t>
  </si>
  <si>
    <t>Staff No 25</t>
  </si>
  <si>
    <t>Staff No 26</t>
  </si>
  <si>
    <t>Staff No 27</t>
  </si>
  <si>
    <t>Staff No 28</t>
  </si>
  <si>
    <t>Staff No 29</t>
  </si>
  <si>
    <t>Staff No 30</t>
  </si>
  <si>
    <t>Staff No 31</t>
  </si>
  <si>
    <t>Staff No 32</t>
  </si>
  <si>
    <t>Staff No 33</t>
  </si>
  <si>
    <t>Staff No 34</t>
  </si>
  <si>
    <t>Availability (day)</t>
  </si>
  <si>
    <t>Availability (time)</t>
  </si>
  <si>
    <t>evening</t>
  </si>
  <si>
    <t>weekend</t>
  </si>
  <si>
    <t>weekday</t>
  </si>
  <si>
    <t>thurs, fri</t>
  </si>
  <si>
    <t>fri, sat, sun, mon</t>
  </si>
  <si>
    <t>mon, fri, sat</t>
  </si>
  <si>
    <t>fri, sun</t>
  </si>
  <si>
    <t>Days</t>
  </si>
  <si>
    <t>Sunday</t>
  </si>
  <si>
    <t>Monday</t>
  </si>
  <si>
    <t>Tuesday</t>
  </si>
  <si>
    <t>Wednesday</t>
  </si>
  <si>
    <t>Thursday</t>
  </si>
  <si>
    <t>Friday</t>
  </si>
  <si>
    <t>Saturday</t>
  </si>
  <si>
    <t>Averages</t>
  </si>
  <si>
    <t>in week</t>
  </si>
  <si>
    <t>Total calls:</t>
  </si>
  <si>
    <t>full-day</t>
  </si>
  <si>
    <t>mon, tues, wednes</t>
  </si>
  <si>
    <t>Qualitative</t>
  </si>
  <si>
    <t>Part-time staff must get minimum 10 and maximum 16 hours a week</t>
  </si>
  <si>
    <t>Full-time staff must get 37.5 hours each week</t>
  </si>
  <si>
    <t>2 full shifts a day:</t>
  </si>
  <si>
    <t>a.</t>
  </si>
  <si>
    <t>b.</t>
  </si>
  <si>
    <t>2:30 pm to 9:00 pm</t>
  </si>
  <si>
    <t xml:space="preserve">7:00 am to 3:30 pm </t>
  </si>
  <si>
    <t>Calls beyond 7 am to 9 pm to be catered with staff from 'bank'</t>
  </si>
  <si>
    <t>Full-time staff must get 2 days off in a week</t>
  </si>
  <si>
    <t xml:space="preserve">Staff with 'good' badge will get preference, followed by 'reasonable' </t>
  </si>
  <si>
    <t>Calls</t>
  </si>
  <si>
    <t>1.</t>
  </si>
  <si>
    <t>2.</t>
  </si>
  <si>
    <t>3.</t>
  </si>
  <si>
    <t>4.</t>
  </si>
  <si>
    <t>5.</t>
  </si>
  <si>
    <t>6.</t>
  </si>
  <si>
    <t>Day</t>
  </si>
  <si>
    <t>Hour</t>
  </si>
  <si>
    <t>FT staff count</t>
  </si>
  <si>
    <t>PT staff count</t>
  </si>
  <si>
    <t>Bank staff count</t>
  </si>
  <si>
    <t>Staff Slot for the Week</t>
  </si>
  <si>
    <t>Client Postcode</t>
  </si>
  <si>
    <t>Area</t>
  </si>
  <si>
    <t>Staff Town</t>
  </si>
  <si>
    <t>Staff County</t>
  </si>
  <si>
    <t>Staff Postcode</t>
  </si>
  <si>
    <t>Customer</t>
  </si>
  <si>
    <t>Chargeable Rate Sheet</t>
  </si>
  <si>
    <t>Pay Rate Sheet</t>
  </si>
  <si>
    <t>Product Code</t>
  </si>
  <si>
    <t>Day of Week</t>
  </si>
  <si>
    <t>Date of Call</t>
  </si>
  <si>
    <t>Call Start Time</t>
  </si>
  <si>
    <t>Call End Time</t>
  </si>
  <si>
    <t>Call Duration</t>
  </si>
  <si>
    <t>Travel Time</t>
  </si>
  <si>
    <t>Mileage</t>
  </si>
  <si>
    <t>Customer Charge</t>
  </si>
  <si>
    <t>Rostered Time From</t>
  </si>
  <si>
    <t>Rostered Time To</t>
  </si>
  <si>
    <t>Staff Guaranteed Hours</t>
  </si>
  <si>
    <t>Davidson Mains</t>
  </si>
  <si>
    <t>Charge</t>
  </si>
  <si>
    <t>Personal Care at Home</t>
  </si>
  <si>
    <t>EH4 5AH</t>
  </si>
  <si>
    <t>Mrs Linda Duncan</t>
  </si>
  <si>
    <t>EH66PA</t>
  </si>
  <si>
    <t>%</t>
  </si>
  <si>
    <t>Edinburgh</t>
  </si>
  <si>
    <t>EH6 7EN</t>
  </si>
  <si>
    <t>Harriet Moss</t>
  </si>
  <si>
    <t>Care Giver</t>
  </si>
  <si>
    <t>EH5 3SU</t>
  </si>
  <si>
    <t>Newhaven</t>
  </si>
  <si>
    <t>Mrs Mary Hutchison</t>
  </si>
  <si>
    <t>EH5 3RD</t>
  </si>
  <si>
    <t>Trinity/Granton</t>
  </si>
  <si>
    <t>Mr Arthur Reid</t>
  </si>
  <si>
    <t>EH3 5JX</t>
  </si>
  <si>
    <t>Marie Bateman</t>
  </si>
  <si>
    <t>EH4 8AS</t>
  </si>
  <si>
    <t>Barnton</t>
  </si>
  <si>
    <t>Eileen Wilks</t>
  </si>
  <si>
    <t>EH4 7AZ</t>
  </si>
  <si>
    <t>Mrs Joyce Smith</t>
  </si>
  <si>
    <t>Companionship</t>
  </si>
  <si>
    <t>EH4 7BA</t>
  </si>
  <si>
    <t>Mrs Marjory Aitchison</t>
  </si>
  <si>
    <t>EH12 7AJ</t>
  </si>
  <si>
    <t>Stenhouse</t>
  </si>
  <si>
    <t>Mrs Hanna Ross</t>
  </si>
  <si>
    <t>EH6 8NZ</t>
  </si>
  <si>
    <t>Leith</t>
  </si>
  <si>
    <t>East Linton</t>
  </si>
  <si>
    <t>EH40 3BA</t>
  </si>
  <si>
    <t>Miss Heather Nicolson</t>
  </si>
  <si>
    <t>Palliative</t>
  </si>
  <si>
    <t>Companionship (reduced)</t>
  </si>
  <si>
    <t>EH6 4DS</t>
  </si>
  <si>
    <t>SVQ2</t>
  </si>
  <si>
    <t>EH3 5RE</t>
  </si>
  <si>
    <t>Mrs Catherine MacMillan</t>
  </si>
  <si>
    <t>EH4 5EZ</t>
  </si>
  <si>
    <t>Silverknowes</t>
  </si>
  <si>
    <t>Mrs Christian Vietch</t>
  </si>
  <si>
    <t>EH4 5HE</t>
  </si>
  <si>
    <t>Mr Sid Gavid</t>
  </si>
  <si>
    <t>Overnight 1</t>
  </si>
  <si>
    <t>Shadowing</t>
  </si>
  <si>
    <t>EH4 5AG</t>
  </si>
  <si>
    <t>Mrs Diana McGovern</t>
  </si>
  <si>
    <t>eh6 6sb</t>
  </si>
  <si>
    <t>EH5 3BN</t>
  </si>
  <si>
    <t>Eidyn Care Ltd</t>
  </si>
  <si>
    <t>Office Work</t>
  </si>
  <si>
    <t>SVQ3</t>
  </si>
  <si>
    <t>EH4 6HH</t>
  </si>
  <si>
    <t>Mrs Marion Stones</t>
  </si>
  <si>
    <t>EH4 6RD</t>
  </si>
  <si>
    <t>Mr Scott Kinniburgh</t>
  </si>
  <si>
    <t>EH4 6EB</t>
  </si>
  <si>
    <t>Mr Donald Hodgert</t>
  </si>
  <si>
    <t>EH4 6QF</t>
  </si>
  <si>
    <t>Cramond</t>
  </si>
  <si>
    <t>Irfaan Jogee</t>
  </si>
  <si>
    <t>On Call</t>
  </si>
  <si>
    <t>EH11 3JW</t>
  </si>
  <si>
    <t>Mr George Smith</t>
  </si>
  <si>
    <t>Advanced Care</t>
  </si>
  <si>
    <t xml:space="preserve">EH4 5ER </t>
  </si>
  <si>
    <t>Irene Tait</t>
  </si>
  <si>
    <t>EH12 5UQ</t>
  </si>
  <si>
    <t>Murrayfield</t>
  </si>
  <si>
    <t>Mrs Eleanor Searle</t>
  </si>
  <si>
    <t>EH11 4JT</t>
  </si>
  <si>
    <t>Supervisory / Office</t>
  </si>
  <si>
    <t>EH6 4HW</t>
  </si>
  <si>
    <t>Miss Claire Houston</t>
  </si>
  <si>
    <t>EH14 3ES</t>
  </si>
  <si>
    <t>EH12 6DT</t>
  </si>
  <si>
    <t>Helen Wilson</t>
  </si>
  <si>
    <t>EH5 2EG</t>
  </si>
  <si>
    <t>EH5 3PX</t>
  </si>
  <si>
    <t>EH46QD</t>
  </si>
  <si>
    <t>Mrs Lorna Southgate</t>
  </si>
  <si>
    <t>EH11 4BT</t>
  </si>
  <si>
    <t>Lady L Provost</t>
  </si>
  <si>
    <t>Lady Provost Care Duties</t>
  </si>
  <si>
    <t>EH5 2GU</t>
  </si>
  <si>
    <t>Edinurgh</t>
  </si>
  <si>
    <t>EH14 3TB</t>
  </si>
  <si>
    <t>EH7 6HG</t>
  </si>
  <si>
    <t>Midlothian</t>
  </si>
  <si>
    <t>EH6 4bl</t>
  </si>
  <si>
    <t>Nurse</t>
  </si>
  <si>
    <t>EH7 6NF</t>
  </si>
  <si>
    <t>EH5 2GS</t>
  </si>
  <si>
    <t>Mayfield</t>
  </si>
  <si>
    <t>EH22 5NH</t>
  </si>
  <si>
    <t>EH4 7RJ</t>
  </si>
  <si>
    <t>Ratho Station</t>
  </si>
  <si>
    <t>EH288QT</t>
  </si>
  <si>
    <t>EH12 6PA</t>
  </si>
  <si>
    <t>Colin Milton</t>
  </si>
  <si>
    <t>EH4 8AP</t>
  </si>
  <si>
    <t>EH12 7DR</t>
  </si>
  <si>
    <t>EH12 8QS</t>
  </si>
  <si>
    <t>eh4 6na</t>
  </si>
  <si>
    <t>EH6 7JS</t>
  </si>
  <si>
    <t>EH6 6BT</t>
  </si>
  <si>
    <t>EH5 2JY</t>
  </si>
  <si>
    <t>EH1 2PB</t>
  </si>
  <si>
    <t>EH4 8BJ</t>
  </si>
  <si>
    <t>EH4 7AP</t>
  </si>
  <si>
    <t>EH4 2TA</t>
  </si>
  <si>
    <t>EH7 5EX</t>
  </si>
  <si>
    <t>Training</t>
  </si>
  <si>
    <t>Musselburgh</t>
  </si>
  <si>
    <t>EH21 6HN</t>
  </si>
  <si>
    <t>Client Title</t>
  </si>
  <si>
    <t>Client First Name</t>
  </si>
  <si>
    <t>Client Last Name</t>
  </si>
  <si>
    <t>Client House</t>
  </si>
  <si>
    <t>Client Street</t>
  </si>
  <si>
    <t>Client Town</t>
  </si>
  <si>
    <t>Client County</t>
  </si>
  <si>
    <t>Staff Title</t>
  </si>
  <si>
    <t>Staff First Name</t>
  </si>
  <si>
    <t>Staff Last Name</t>
  </si>
  <si>
    <t>Staff House</t>
  </si>
  <si>
    <t>Staff Street</t>
  </si>
  <si>
    <t>Staff Cost</t>
  </si>
  <si>
    <t>Mrs</t>
  </si>
  <si>
    <t>Linda</t>
  </si>
  <si>
    <t>Duncan</t>
  </si>
  <si>
    <t>4 Davidsons Gardens</t>
  </si>
  <si>
    <t>Harriet</t>
  </si>
  <si>
    <t>Moss</t>
  </si>
  <si>
    <t>3/6 Western Harbour Breakwater</t>
  </si>
  <si>
    <t xml:space="preserve"> </t>
  </si>
  <si>
    <t>Miss</t>
  </si>
  <si>
    <t>Danielle</t>
  </si>
  <si>
    <t>Baillie</t>
  </si>
  <si>
    <t xml:space="preserve"> 18/21 Johns Place</t>
  </si>
  <si>
    <t>Mary</t>
  </si>
  <si>
    <t>Hutchison</t>
  </si>
  <si>
    <t>Flat 2</t>
  </si>
  <si>
    <t>5 Trinity Mains</t>
  </si>
  <si>
    <t>Mr</t>
  </si>
  <si>
    <t>Arthur</t>
  </si>
  <si>
    <t>Reid</t>
  </si>
  <si>
    <t>70 Granton Road</t>
  </si>
  <si>
    <t>Marie</t>
  </si>
  <si>
    <t>Bateman</t>
  </si>
  <si>
    <t>45 Eildon Street</t>
  </si>
  <si>
    <t>Eileen</t>
  </si>
  <si>
    <t>Wilks</t>
  </si>
  <si>
    <t>4 Drum Brae North</t>
  </si>
  <si>
    <t>Joyce</t>
  </si>
  <si>
    <t>Smith</t>
  </si>
  <si>
    <t>177 Craigcrook Road</t>
  </si>
  <si>
    <t>Marjory</t>
  </si>
  <si>
    <t>Aitchison</t>
  </si>
  <si>
    <t>200 Craigcrook Road</t>
  </si>
  <si>
    <t>Hanna</t>
  </si>
  <si>
    <t>Ross</t>
  </si>
  <si>
    <t>63 Saughton Road North</t>
  </si>
  <si>
    <t>Heather</t>
  </si>
  <si>
    <t>Nicolson</t>
  </si>
  <si>
    <t>23/3 Jameson Place</t>
  </si>
  <si>
    <t>Margery</t>
  </si>
  <si>
    <t>Bambrick</t>
  </si>
  <si>
    <t>31 Drylaw Terrace</t>
  </si>
  <si>
    <t>Catherine (Kate)</t>
  </si>
  <si>
    <t>MacMillan</t>
  </si>
  <si>
    <t>Flat 36</t>
  </si>
  <si>
    <t>Home Scott House</t>
  </si>
  <si>
    <t>Goldenacre Terrace</t>
  </si>
  <si>
    <t>Lorraine</t>
  </si>
  <si>
    <t>Bevis</t>
  </si>
  <si>
    <t>13/5 Lindsay Road</t>
  </si>
  <si>
    <t>Sid and Isabel</t>
  </si>
  <si>
    <t>Gaved</t>
  </si>
  <si>
    <t>25 Silverknowes Hill</t>
  </si>
  <si>
    <t>Diana</t>
  </si>
  <si>
    <t>McGovern</t>
  </si>
  <si>
    <t>139 Main Street</t>
  </si>
  <si>
    <t>Davidson's Mains</t>
  </si>
  <si>
    <t>Christian</t>
  </si>
  <si>
    <t>Vietch</t>
  </si>
  <si>
    <t>Lauriston Farm Road</t>
  </si>
  <si>
    <t xml:space="preserve">Edinburgh </t>
  </si>
  <si>
    <t xml:space="preserve">Joanne </t>
  </si>
  <si>
    <t>Bilsland</t>
  </si>
  <si>
    <t>3/5 Starbank Road</t>
  </si>
  <si>
    <t>Scott</t>
  </si>
  <si>
    <t>Kinniburgh</t>
  </si>
  <si>
    <t>26 Avon Road</t>
  </si>
  <si>
    <t>6 Essex Court</t>
  </si>
  <si>
    <t>Marion</t>
  </si>
  <si>
    <t>Stones</t>
  </si>
  <si>
    <t>11 Barnton Park View</t>
  </si>
  <si>
    <t>Irfaan</t>
  </si>
  <si>
    <t>Jogee</t>
  </si>
  <si>
    <t>Brighouse Park Court</t>
  </si>
  <si>
    <t xml:space="preserve">Eidyn </t>
  </si>
  <si>
    <t>Office</t>
  </si>
  <si>
    <t>9 - 11 Maritime Street</t>
  </si>
  <si>
    <t>George</t>
  </si>
  <si>
    <t>9 Stenhouse Place West</t>
  </si>
  <si>
    <t>Donald</t>
  </si>
  <si>
    <t>Hodgert</t>
  </si>
  <si>
    <t>2/31 Barnton Avenue West</t>
  </si>
  <si>
    <t>Irene</t>
  </si>
  <si>
    <t>Tait</t>
  </si>
  <si>
    <t>47 Marine Drive</t>
  </si>
  <si>
    <t>Eleanor</t>
  </si>
  <si>
    <t>Searle</t>
  </si>
  <si>
    <t>7 Glendevon Place</t>
  </si>
  <si>
    <t>Sue</t>
  </si>
  <si>
    <t>Bruce</t>
  </si>
  <si>
    <t>57/3 Calder Gardens</t>
  </si>
  <si>
    <t>Claire</t>
  </si>
  <si>
    <t>Houston</t>
  </si>
  <si>
    <t>46B North Fort Street</t>
  </si>
  <si>
    <t>Sylwia</t>
  </si>
  <si>
    <t>Dost</t>
  </si>
  <si>
    <t>1/5 Clovenstone Gardens</t>
  </si>
  <si>
    <t>Helen</t>
  </si>
  <si>
    <t>Wilson</t>
  </si>
  <si>
    <t>15 Campbell Road</t>
  </si>
  <si>
    <t>Kim</t>
  </si>
  <si>
    <t>Douglas</t>
  </si>
  <si>
    <t>34 Boswall Quadrant</t>
  </si>
  <si>
    <t>Yvonne</t>
  </si>
  <si>
    <t>14 Earl Haig Gardens</t>
  </si>
  <si>
    <t>Lorna</t>
  </si>
  <si>
    <t>Southgate</t>
  </si>
  <si>
    <t>4M Fair a Far</t>
  </si>
  <si>
    <t>Emily</t>
  </si>
  <si>
    <t>Dowling</t>
  </si>
  <si>
    <t>4/2 Whitson Way</t>
  </si>
  <si>
    <t>Lady</t>
  </si>
  <si>
    <t>L</t>
  </si>
  <si>
    <t>Provost</t>
  </si>
  <si>
    <t>Dawn</t>
  </si>
  <si>
    <t>Fair</t>
  </si>
  <si>
    <t>3/20 Arneil Place</t>
  </si>
  <si>
    <t>Cheryl</t>
  </si>
  <si>
    <t>Forsyth</t>
  </si>
  <si>
    <t>11 Harvesters Place</t>
  </si>
  <si>
    <t>Fiona</t>
  </si>
  <si>
    <t>Friel</t>
  </si>
  <si>
    <t>15 Findley Gardens</t>
  </si>
  <si>
    <t>Carla</t>
  </si>
  <si>
    <t>Galinsky</t>
  </si>
  <si>
    <t>Bonnington Grove</t>
  </si>
  <si>
    <t>Jennifer</t>
  </si>
  <si>
    <t>Glass</t>
  </si>
  <si>
    <t>Wishaw Terrace</t>
  </si>
  <si>
    <t>Gorgulho</t>
  </si>
  <si>
    <t>11/12 Arnell Drive</t>
  </si>
  <si>
    <t>Charlie</t>
  </si>
  <si>
    <t>Heerlyn</t>
  </si>
  <si>
    <t>14 Old School Medway</t>
  </si>
  <si>
    <t>April</t>
  </si>
  <si>
    <t>Hogg</t>
  </si>
  <si>
    <t>70 Parkgrove Terrace</t>
  </si>
  <si>
    <t>Rachel</t>
  </si>
  <si>
    <t>Ireland</t>
  </si>
  <si>
    <t>Alison</t>
  </si>
  <si>
    <t>Irvine</t>
  </si>
  <si>
    <t>72 Station Road</t>
  </si>
  <si>
    <t>Colin</t>
  </si>
  <si>
    <t>Milton</t>
  </si>
  <si>
    <t>34a</t>
  </si>
  <si>
    <t>St Johns Road</t>
  </si>
  <si>
    <t>Cathy</t>
  </si>
  <si>
    <t>Kistruck</t>
  </si>
  <si>
    <t>44 Cammo Road</t>
  </si>
  <si>
    <t>Elizabeth</t>
  </si>
  <si>
    <t>Machin</t>
  </si>
  <si>
    <t>140 Saughton Road North</t>
  </si>
  <si>
    <t>Amy</t>
  </si>
  <si>
    <t>McIntosh</t>
  </si>
  <si>
    <t>163 Caroline Terrace</t>
  </si>
  <si>
    <t>Rebecca</t>
  </si>
  <si>
    <t>McLennan</t>
  </si>
  <si>
    <t>Cramond Avenue</t>
  </si>
  <si>
    <t>McMorrin</t>
  </si>
  <si>
    <t>Sailmaker Road</t>
  </si>
  <si>
    <t>Murphy</t>
  </si>
  <si>
    <t>51/2 Ferry Road</t>
  </si>
  <si>
    <t>Katarzyna</t>
  </si>
  <si>
    <t>Murthy</t>
  </si>
  <si>
    <t>12 Crewe Grove</t>
  </si>
  <si>
    <t>Jasmine</t>
  </si>
  <si>
    <t>Romilly</t>
  </si>
  <si>
    <t>11/3 James Court</t>
  </si>
  <si>
    <t>493 Lawnmarket</t>
  </si>
  <si>
    <t>Ms</t>
  </si>
  <si>
    <t>Sinclair</t>
  </si>
  <si>
    <t>48D Barntongate Avenue</t>
  </si>
  <si>
    <t>Katie</t>
  </si>
  <si>
    <t>Stark</t>
  </si>
  <si>
    <t xml:space="preserve"> Hillpark Grove</t>
  </si>
  <si>
    <t>Jodie</t>
  </si>
  <si>
    <t>Stone</t>
  </si>
  <si>
    <t>155 Wester Drylaw Drive</t>
  </si>
  <si>
    <t>Katy</t>
  </si>
  <si>
    <t>Szpunar</t>
  </si>
  <si>
    <t>117/7 Montgomery Street</t>
  </si>
  <si>
    <t>Annette</t>
  </si>
  <si>
    <t>8 Stoneybank Avenue</t>
  </si>
  <si>
    <t>Full time</t>
  </si>
  <si>
    <t>FTE</t>
  </si>
  <si>
    <t>PT hrs:</t>
  </si>
  <si>
    <t>B hrs:</t>
  </si>
  <si>
    <t>Part Time</t>
  </si>
  <si>
    <t>Full-time hrs:</t>
  </si>
  <si>
    <t>Bank</t>
  </si>
  <si>
    <t>FT</t>
  </si>
  <si>
    <t>PT</t>
  </si>
  <si>
    <t>B</t>
  </si>
  <si>
    <t>FT Hours</t>
  </si>
  <si>
    <t>PT Hours</t>
  </si>
  <si>
    <t>Bank Hours</t>
  </si>
  <si>
    <t>ALL=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</si>
</sst>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11"/>
      <color rgb="FF333333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rgb="FF666666"/>
      <name val="Arial"/>
      <family val="2"/>
    </font>
    <font>
      <sz val="9"/>
      <color theme="0"/>
      <name val="Calibri"/>
      <family val="2"/>
      <scheme val="minor"/>
    </font>
    <font>
      <sz val="9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</fills>
  <borders count="30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indexed="64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indexed="64"/>
      </right>
      <top style="thin">
        <color indexed="64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indexed="64"/>
      </bottom>
      <diagonal/>
    </border>
    <border>
      <left/>
      <right/>
      <top style="thin">
        <color theme="4" tint="0.59996337778862885"/>
      </top>
      <bottom style="thin">
        <color indexed="64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theme="1" tint="4.9989318521683403E-2"/>
      </right>
      <top style="thin">
        <color indexed="64"/>
      </top>
      <bottom/>
      <diagonal/>
    </border>
    <border>
      <left style="thin">
        <color indexed="64"/>
      </left>
      <right style="thin">
        <color theme="1" tint="4.9989318521683403E-2"/>
      </right>
      <top/>
      <bottom/>
      <diagonal/>
    </border>
    <border>
      <left style="thin">
        <color indexed="64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indexed="64"/>
      </left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7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3" fillId="14" borderId="24" applyNumberFormat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6" fillId="0" borderId="0" xfId="0" applyFont="1"/>
    <xf numFmtId="0" fontId="4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/>
    <xf numFmtId="0" fontId="0" fillId="0" borderId="2" xfId="0" applyBorder="1" applyAlignment="1">
      <alignment horizontal="center"/>
    </xf>
    <xf numFmtId="0" fontId="0" fillId="0" borderId="2" xfId="0" applyBorder="1"/>
    <xf numFmtId="16" fontId="0" fillId="0" borderId="2" xfId="0" quotePrefix="1" applyNumberFormat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0" xfId="0" applyFont="1"/>
    <xf numFmtId="0" fontId="0" fillId="0" borderId="2" xfId="1" applyFont="1" applyBorder="1"/>
    <xf numFmtId="0" fontId="9" fillId="0" borderId="0" xfId="0" quotePrefix="1" applyFont="1" applyAlignment="1">
      <alignment horizontal="left" vertical="top"/>
    </xf>
    <xf numFmtId="18" fontId="0" fillId="0" borderId="0" xfId="0" applyNumberFormat="1"/>
    <xf numFmtId="167" fontId="10" fillId="5" borderId="0" xfId="2" applyNumberFormat="1" applyFont="1" applyFill="1" applyAlignment="1">
      <alignment horizontal="center" vertical="center"/>
    </xf>
    <xf numFmtId="9" fontId="11" fillId="6" borderId="0" xfId="2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12" fillId="0" borderId="0" xfId="0" applyFont="1"/>
    <xf numFmtId="0" fontId="13" fillId="7" borderId="0" xfId="0" applyFont="1" applyFill="1" applyAlignment="1">
      <alignment horizontal="center" vertical="center"/>
    </xf>
    <xf numFmtId="0" fontId="0" fillId="0" borderId="2" xfId="0" applyBorder="1" applyAlignment="1">
      <alignment vertical="center"/>
    </xf>
    <xf numFmtId="16" fontId="0" fillId="4" borderId="2" xfId="0" applyNumberFormat="1" applyFill="1" applyBorder="1" applyAlignment="1">
      <alignment vertical="center"/>
    </xf>
    <xf numFmtId="16" fontId="0" fillId="0" borderId="2" xfId="0" applyNumberFormat="1" applyBorder="1" applyAlignment="1">
      <alignment vertical="center"/>
    </xf>
    <xf numFmtId="16" fontId="0" fillId="0" borderId="2" xfId="0" quotePrefix="1" applyNumberForma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right"/>
    </xf>
    <xf numFmtId="166" fontId="0" fillId="0" borderId="5" xfId="0" applyNumberForma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" fontId="0" fillId="0" borderId="4" xfId="0" applyNumberForma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8" fontId="0" fillId="8" borderId="6" xfId="0" applyNumberFormat="1" applyFill="1" applyBorder="1"/>
    <xf numFmtId="18" fontId="0" fillId="8" borderId="8" xfId="0" applyNumberFormat="1" applyFill="1" applyBorder="1"/>
    <xf numFmtId="18" fontId="0" fillId="0" borderId="8" xfId="0" applyNumberFormat="1" applyBorder="1"/>
    <xf numFmtId="165" fontId="0" fillId="0" borderId="0" xfId="0" applyNumberFormat="1"/>
    <xf numFmtId="166" fontId="0" fillId="0" borderId="0" xfId="3" applyNumberFormat="1" applyFont="1"/>
    <xf numFmtId="0" fontId="3" fillId="9" borderId="0" xfId="0" applyFont="1" applyFill="1" applyAlignment="1">
      <alignment horizontal="center" vertical="center"/>
    </xf>
    <xf numFmtId="166" fontId="0" fillId="8" borderId="7" xfId="0" applyNumberFormat="1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4" fillId="10" borderId="17" xfId="0" applyFont="1" applyFill="1" applyBorder="1" applyAlignment="1">
      <alignment horizontal="right"/>
    </xf>
    <xf numFmtId="0" fontId="4" fillId="10" borderId="18" xfId="0" applyFont="1" applyFill="1" applyBorder="1" applyAlignment="1">
      <alignment horizontal="right"/>
    </xf>
    <xf numFmtId="0" fontId="4" fillId="10" borderId="19" xfId="0" applyFont="1" applyFill="1" applyBorder="1" applyAlignment="1">
      <alignment horizontal="right"/>
    </xf>
    <xf numFmtId="0" fontId="11" fillId="9" borderId="20" xfId="0" quotePrefix="1" applyFont="1" applyFill="1" applyBorder="1" applyAlignment="1">
      <alignment horizontal="center" vertical="center"/>
    </xf>
    <xf numFmtId="0" fontId="11" fillId="9" borderId="21" xfId="0" quotePrefix="1" applyFont="1" applyFill="1" applyBorder="1" applyAlignment="1">
      <alignment horizontal="center" vertical="center"/>
    </xf>
    <xf numFmtId="0" fontId="11" fillId="9" borderId="22" xfId="0" quotePrefix="1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vertical="center"/>
    </xf>
    <xf numFmtId="0" fontId="4" fillId="9" borderId="12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9" fontId="0" fillId="0" borderId="0" xfId="2" applyFont="1" applyAlignment="1">
      <alignment horizontal="center" vertical="center"/>
    </xf>
    <xf numFmtId="164" fontId="0" fillId="0" borderId="0" xfId="3" applyFont="1" applyAlignment="1">
      <alignment horizontal="center" vertical="center"/>
    </xf>
    <xf numFmtId="18" fontId="4" fillId="0" borderId="0" xfId="0" applyNumberFormat="1" applyFont="1"/>
    <xf numFmtId="16" fontId="0" fillId="0" borderId="0" xfId="0" applyNumberFormat="1"/>
    <xf numFmtId="1" fontId="0" fillId="0" borderId="23" xfId="0" applyNumberFormat="1" applyBorder="1" applyAlignment="1">
      <alignment horizontal="center" vertical="center"/>
    </xf>
    <xf numFmtId="0" fontId="12" fillId="0" borderId="2" xfId="0" applyFont="1" applyBorder="1"/>
    <xf numFmtId="0" fontId="3" fillId="0" borderId="2" xfId="0" applyFont="1" applyBorder="1" applyAlignment="1">
      <alignment horizontal="center" vertical="center"/>
    </xf>
    <xf numFmtId="168" fontId="0" fillId="0" borderId="2" xfId="0" applyNumberFormat="1" applyBorder="1"/>
    <xf numFmtId="9" fontId="0" fillId="0" borderId="2" xfId="0" applyNumberFormat="1" applyBorder="1"/>
    <xf numFmtId="0" fontId="3" fillId="14" borderId="24" xfId="7" applyAlignment="1">
      <alignment horizontal="center" vertical="center"/>
    </xf>
    <xf numFmtId="0" fontId="4" fillId="9" borderId="29" xfId="0" applyFont="1" applyFill="1" applyBorder="1" applyAlignment="1">
      <alignment horizontal="center" vertical="center"/>
    </xf>
    <xf numFmtId="0" fontId="20" fillId="0" borderId="2" xfId="0" applyFont="1" applyBorder="1"/>
    <xf numFmtId="0" fontId="19" fillId="13" borderId="28" xfId="6" applyFont="1" applyBorder="1" applyAlignment="1">
      <alignment horizontal="center" vertical="center" textRotation="90"/>
    </xf>
    <xf numFmtId="0" fontId="19" fillId="13" borderId="26" xfId="6" applyFont="1" applyBorder="1" applyAlignment="1">
      <alignment horizontal="center" vertical="center" textRotation="90"/>
    </xf>
    <xf numFmtId="0" fontId="19" fillId="13" borderId="27" xfId="6" applyFont="1" applyBorder="1" applyAlignment="1">
      <alignment horizontal="center" vertical="center" textRotation="90"/>
    </xf>
    <xf numFmtId="0" fontId="19" fillId="17" borderId="28" xfId="10" applyFont="1" applyBorder="1" applyAlignment="1">
      <alignment horizontal="center" vertical="center" textRotation="90"/>
    </xf>
    <xf numFmtId="0" fontId="19" fillId="17" borderId="26" xfId="10" applyFont="1" applyBorder="1" applyAlignment="1">
      <alignment horizontal="center" vertical="center" textRotation="90"/>
    </xf>
    <xf numFmtId="0" fontId="19" fillId="17" borderId="27" xfId="10" applyFont="1" applyBorder="1" applyAlignment="1">
      <alignment horizontal="center" vertical="center" textRotation="90"/>
    </xf>
    <xf numFmtId="0" fontId="19" fillId="12" borderId="28" xfId="5" applyFont="1" applyBorder="1" applyAlignment="1">
      <alignment horizontal="center" vertical="center" textRotation="90"/>
    </xf>
    <xf numFmtId="0" fontId="19" fillId="12" borderId="26" xfId="5" applyFont="1" applyBorder="1" applyAlignment="1">
      <alignment horizontal="center" vertical="center" textRotation="90"/>
    </xf>
    <xf numFmtId="0" fontId="19" fillId="12" borderId="27" xfId="5" applyFont="1" applyBorder="1" applyAlignment="1">
      <alignment horizontal="center" vertical="center" textRotation="90"/>
    </xf>
    <xf numFmtId="166" fontId="16" fillId="8" borderId="9" xfId="0" applyNumberFormat="1" applyFont="1" applyFill="1" applyBorder="1" applyAlignment="1">
      <alignment horizontal="center" vertical="center"/>
    </xf>
    <xf numFmtId="166" fontId="16" fillId="8" borderId="10" xfId="0" applyNumberFormat="1" applyFont="1" applyFill="1" applyBorder="1" applyAlignment="1">
      <alignment horizontal="center" vertical="center"/>
    </xf>
    <xf numFmtId="166" fontId="16" fillId="8" borderId="11" xfId="0" applyNumberFormat="1" applyFont="1" applyFill="1" applyBorder="1" applyAlignment="1">
      <alignment horizontal="center" vertical="center"/>
    </xf>
    <xf numFmtId="166" fontId="14" fillId="0" borderId="15" xfId="0" applyNumberFormat="1" applyFont="1" applyBorder="1" applyAlignment="1">
      <alignment horizontal="left" textRotation="90" wrapText="1"/>
    </xf>
    <xf numFmtId="166" fontId="14" fillId="0" borderId="16" xfId="0" applyNumberFormat="1" applyFont="1" applyBorder="1" applyAlignment="1">
      <alignment horizontal="left" textRotation="90" wrapText="1"/>
    </xf>
    <xf numFmtId="0" fontId="19" fillId="15" borderId="25" xfId="8" applyFont="1" applyBorder="1" applyAlignment="1">
      <alignment horizontal="center" vertical="center" textRotation="90"/>
    </xf>
    <xf numFmtId="0" fontId="19" fillId="15" borderId="26" xfId="8" applyFont="1" applyBorder="1" applyAlignment="1">
      <alignment horizontal="center" vertical="center" textRotation="90"/>
    </xf>
    <xf numFmtId="0" fontId="19" fillId="15" borderId="27" xfId="8" applyFont="1" applyBorder="1" applyAlignment="1">
      <alignment horizontal="center" vertical="center" textRotation="90"/>
    </xf>
    <xf numFmtId="0" fontId="19" fillId="11" borderId="28" xfId="4" applyFont="1" applyBorder="1" applyAlignment="1">
      <alignment horizontal="center" vertical="center" textRotation="90"/>
    </xf>
    <xf numFmtId="0" fontId="19" fillId="11" borderId="26" xfId="4" applyFont="1" applyBorder="1" applyAlignment="1">
      <alignment horizontal="center" vertical="center" textRotation="90"/>
    </xf>
    <xf numFmtId="0" fontId="19" fillId="11" borderId="27" xfId="4" applyFont="1" applyBorder="1" applyAlignment="1">
      <alignment horizontal="center" vertical="center" textRotation="90"/>
    </xf>
    <xf numFmtId="0" fontId="19" fillId="16" borderId="28" xfId="9" applyFont="1" applyBorder="1" applyAlignment="1">
      <alignment horizontal="center" vertical="center" textRotation="90"/>
    </xf>
    <xf numFmtId="0" fontId="19" fillId="16" borderId="26" xfId="9" applyFont="1" applyBorder="1" applyAlignment="1">
      <alignment horizontal="center" vertical="center" textRotation="90"/>
    </xf>
    <xf numFmtId="0" fontId="19" fillId="16" borderId="27" xfId="9" applyFont="1" applyBorder="1" applyAlignment="1">
      <alignment horizontal="center" vertical="center" textRotation="90"/>
    </xf>
    <xf numFmtId="0" fontId="19" fillId="0" borderId="28" xfId="0" applyFont="1" applyBorder="1" applyAlignment="1">
      <alignment horizontal="center" vertical="center" textRotation="90"/>
    </xf>
    <xf numFmtId="0" fontId="19" fillId="0" borderId="26" xfId="0" applyFont="1" applyBorder="1" applyAlignment="1">
      <alignment horizontal="center" vertical="center" textRotation="90"/>
    </xf>
    <xf numFmtId="0" fontId="19" fillId="0" borderId="27" xfId="0" applyFont="1" applyBorder="1" applyAlignment="1">
      <alignment horizontal="center" vertical="center" textRotation="90"/>
    </xf>
  </cellXfs>
  <cellStyles count="11">
    <cellStyle name="40% - Accent1" xfId="8" builtinId="31"/>
    <cellStyle name="40% - Accent2" xfId="4" builtinId="35"/>
    <cellStyle name="40% - Accent4" xfId="9" builtinId="43"/>
    <cellStyle name="40% - Accent5" xfId="10" builtinId="47"/>
    <cellStyle name="40% - Accent6" xfId="6" builtinId="51"/>
    <cellStyle name="60% - Accent4" xfId="5" builtinId="44"/>
    <cellStyle name="Check Cell" xfId="7" builtinId="23"/>
    <cellStyle name="Comma" xfId="3" builtinId="3"/>
    <cellStyle name="Normal" xfId="0" builtinId="0"/>
    <cellStyle name="Normal 2" xfId="1" xr:uid="{00000000-0005-0000-0000-000002000000}"/>
    <cellStyle name="Percent" xfId="2" builtinId="5"/>
  </cellStyles>
  <dxfs count="3">
    <dxf>
      <fill>
        <patternFill>
          <bgColor theme="8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mruColors>
      <color rgb="FFCCFF33"/>
      <color rgb="FFFFFF99"/>
      <color rgb="FFFFCCFF"/>
      <color rgb="FFCCFFFF"/>
      <color rgb="FF66FF99"/>
      <color rgb="FF66FFCC"/>
      <color rgb="FFCD7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Staff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192283464566929"/>
          <c:y val="0.22004447360746568"/>
          <c:w val="0.34487685914260718"/>
          <c:h val="0.574794765237678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DE-4635-AC24-C12D4117D5D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DDE-4635-AC24-C12D4117D5D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DE-4635-AC24-C12D4117D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Input!$R$7:$R$9</c:f>
              <c:strCache>
                <c:ptCount val="3"/>
                <c:pt idx="0">
                  <c:v>FT Hours</c:v>
                </c:pt>
                <c:pt idx="1">
                  <c:v>PT Hours</c:v>
                </c:pt>
                <c:pt idx="2">
                  <c:v>Bank Hours</c:v>
                </c:pt>
              </c:strCache>
            </c:strRef>
          </c:cat>
          <c:val>
            <c:numRef>
              <c:f>Input!$S$7:$S$9</c:f>
              <c:numCache>
                <c:formatCode>General</c:formatCode>
                <c:ptCount val="3"/>
                <c:pt idx="0">
                  <c:v>158</c:v>
                </c:pt>
                <c:pt idx="1">
                  <c:v>62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DE-4635-AC24-C12D4117D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ALL</a:t>
            </a:r>
            <a:r>
              <a:rPr lang="en-GB" baseline="0"/>
              <a:t> Hours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302108710899033E-2"/>
          <c:y val="6.8057060102758055E-2"/>
          <c:w val="0.90620648505939483"/>
          <c:h val="0.81117599651241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Input!$R$7</c:f>
              <c:strCache>
                <c:ptCount val="1"/>
                <c:pt idx="0">
                  <c:v>FT Hours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Hours; </a:t>
                    </a:r>
                    <a:fld id="{687BFEE1-84EA-45EC-9A27-1FEB0C8677DC}" type="VALUE">
                      <a:rPr lang="en-US" baseline="0"/>
                      <a:pPr>
                        <a:defRPr/>
                      </a:pPr>
                      <a:t>[VALUE]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4CD-49C3-9998-159AD56C9C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Input!$S$7</c:f>
              <c:numCache>
                <c:formatCode>General</c:formatCode>
                <c:ptCount val="1"/>
                <c:pt idx="0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D-49C3-9998-159AD56C9CF3}"/>
            </c:ext>
          </c:extLst>
        </c:ser>
        <c:ser>
          <c:idx val="1"/>
          <c:order val="1"/>
          <c:tx>
            <c:strRef>
              <c:f>Input!$R$8</c:f>
              <c:strCache>
                <c:ptCount val="1"/>
                <c:pt idx="0">
                  <c:v>PT Hours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Hours; </a:t>
                    </a:r>
                    <a:fld id="{A71BDFE3-3DD2-40EF-A010-046106C391D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94CD-49C3-9998-159AD56C9C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Input!$S$8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D-49C3-9998-159AD56C9CF3}"/>
            </c:ext>
          </c:extLst>
        </c:ser>
        <c:ser>
          <c:idx val="2"/>
          <c:order val="2"/>
          <c:tx>
            <c:strRef>
              <c:f>Input!$R$9</c:f>
              <c:strCache>
                <c:ptCount val="1"/>
                <c:pt idx="0">
                  <c:v>Bank Hours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Hours; </a:t>
                    </a:r>
                    <a:fld id="{608A0A82-D6F5-41B1-94B8-EED873ED157E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4CD-49C3-9998-159AD56C9C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Input!$S$9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CD-49C3-9998-159AD56C9C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2606080"/>
        <c:axId val="582606408"/>
      </c:barChart>
      <c:catAx>
        <c:axId val="58260608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Staff</a:t>
                </a:r>
                <a:r>
                  <a:rPr lang="en-GB" baseline="0"/>
                  <a:t> Hours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82606408"/>
        <c:crosses val="autoZero"/>
        <c:auto val="1"/>
        <c:lblAlgn val="ctr"/>
        <c:lblOffset val="100"/>
        <c:noMultiLvlLbl val="0"/>
      </c:catAx>
      <c:valAx>
        <c:axId val="58260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0608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521637724270444"/>
          <c:y val="0.91131862711935296"/>
          <c:w val="0.40956724551459112"/>
          <c:h val="6.0160865765819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11</xdr:row>
      <xdr:rowOff>80962</xdr:rowOff>
    </xdr:from>
    <xdr:to>
      <xdr:col>23</xdr:col>
      <xdr:colOff>390525</xdr:colOff>
      <xdr:row>25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27</xdr:row>
      <xdr:rowOff>57150</xdr:rowOff>
    </xdr:from>
    <xdr:to>
      <xdr:col>24</xdr:col>
      <xdr:colOff>571500</xdr:colOff>
      <xdr:row>45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38100</xdr:rowOff>
        </xdr:from>
        <xdr:to>
          <xdr:col>34</xdr:col>
          <xdr:colOff>123825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666750</xdr:colOff>
          <xdr:row>1</xdr:row>
          <xdr:rowOff>38100</xdr:rowOff>
        </xdr:from>
        <xdr:to>
          <xdr:col>31</xdr:col>
          <xdr:colOff>276225</xdr:colOff>
          <xdr:row>1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180975</xdr:rowOff>
        </xdr:from>
        <xdr:to>
          <xdr:col>10</xdr:col>
          <xdr:colOff>76200</xdr:colOff>
          <xdr:row>3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3</xdr:row>
          <xdr:rowOff>180975</xdr:rowOff>
        </xdr:from>
        <xdr:to>
          <xdr:col>10</xdr:col>
          <xdr:colOff>76200</xdr:colOff>
          <xdr:row>5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9"/>
  <sheetViews>
    <sheetView showGridLines="0" workbookViewId="0">
      <selection activeCell="H20" sqref="H20"/>
    </sheetView>
  </sheetViews>
  <sheetFormatPr defaultRowHeight="15" x14ac:dyDescent="0.25"/>
  <cols>
    <col min="2" max="2" width="2.7109375" customWidth="1"/>
  </cols>
  <sheetData>
    <row r="2" spans="2:4" x14ac:dyDescent="0.25">
      <c r="B2" s="36" t="s">
        <v>95</v>
      </c>
      <c r="C2" t="s">
        <v>85</v>
      </c>
    </row>
    <row r="3" spans="2:4" x14ac:dyDescent="0.25">
      <c r="B3" s="36" t="s">
        <v>96</v>
      </c>
      <c r="C3" t="s">
        <v>84</v>
      </c>
    </row>
    <row r="4" spans="2:4" x14ac:dyDescent="0.25">
      <c r="B4" s="36" t="s">
        <v>97</v>
      </c>
      <c r="C4" t="s">
        <v>86</v>
      </c>
    </row>
    <row r="5" spans="2:4" x14ac:dyDescent="0.25">
      <c r="B5" s="36"/>
      <c r="C5" s="33" t="s">
        <v>87</v>
      </c>
      <c r="D5" t="s">
        <v>90</v>
      </c>
    </row>
    <row r="6" spans="2:4" x14ac:dyDescent="0.25">
      <c r="B6" s="36"/>
      <c r="C6" s="33" t="s">
        <v>88</v>
      </c>
      <c r="D6" t="s">
        <v>89</v>
      </c>
    </row>
    <row r="7" spans="2:4" x14ac:dyDescent="0.25">
      <c r="B7" s="36" t="s">
        <v>98</v>
      </c>
      <c r="C7" t="s">
        <v>91</v>
      </c>
    </row>
    <row r="8" spans="2:4" x14ac:dyDescent="0.25">
      <c r="B8" s="36" t="s">
        <v>99</v>
      </c>
      <c r="C8" t="s">
        <v>92</v>
      </c>
    </row>
    <row r="9" spans="2:4" x14ac:dyDescent="0.25">
      <c r="B9" s="36" t="s">
        <v>100</v>
      </c>
      <c r="C9" t="s">
        <v>93</v>
      </c>
    </row>
  </sheetData>
  <pageMargins left="0.7" right="0.7" top="0.75" bottom="0.75" header="0.3" footer="0.3"/>
  <ignoredErrors>
    <ignoredError sqref="B2:B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</sheetPr>
  <dimension ref="A1:S49"/>
  <sheetViews>
    <sheetView showGridLines="0" tabSelected="1" workbookViewId="0">
      <pane ySplit="1" topLeftCell="A2" activePane="bottomLeft" state="frozen"/>
      <selection activeCell="J21" sqref="J21"/>
      <selection pane="bottomLeft" activeCell="AC29" sqref="AC29"/>
    </sheetView>
  </sheetViews>
  <sheetFormatPr defaultRowHeight="15" x14ac:dyDescent="0.25"/>
  <cols>
    <col min="1" max="1" width="10.5703125" bestFit="1" customWidth="1"/>
    <col min="2" max="2" width="13" style="1" bestFit="1" customWidth="1"/>
    <col min="3" max="3" width="13" style="1" customWidth="1"/>
    <col min="4" max="4" width="18.42578125" style="1" hidden="1" customWidth="1"/>
    <col min="5" max="5" width="23.5703125" style="1" hidden="1" customWidth="1"/>
    <col min="6" max="6" width="29.42578125" style="1" hidden="1" customWidth="1"/>
    <col min="7" max="7" width="8.140625" hidden="1" customWidth="1"/>
    <col min="8" max="8" width="18" bestFit="1" customWidth="1"/>
    <col min="9" max="9" width="18" customWidth="1"/>
    <col min="10" max="10" width="13" customWidth="1"/>
    <col min="11" max="11" width="0" hidden="1" customWidth="1"/>
    <col min="12" max="14" width="9.140625" hidden="1" customWidth="1"/>
    <col min="15" max="16" width="0" hidden="1" customWidth="1"/>
    <col min="17" max="17" width="13.42578125" customWidth="1"/>
  </cols>
  <sheetData>
    <row r="1" spans="1:19" x14ac:dyDescent="0.25">
      <c r="A1" s="6" t="s">
        <v>3</v>
      </c>
      <c r="B1" s="7" t="s">
        <v>4</v>
      </c>
      <c r="C1" s="7" t="s">
        <v>6</v>
      </c>
      <c r="D1" s="7" t="s">
        <v>21</v>
      </c>
      <c r="E1" s="7" t="s">
        <v>24</v>
      </c>
      <c r="F1" s="7" t="s">
        <v>5</v>
      </c>
      <c r="G1" s="8" t="s">
        <v>6</v>
      </c>
      <c r="H1" s="7" t="s">
        <v>61</v>
      </c>
      <c r="I1" s="7" t="s">
        <v>62</v>
      </c>
      <c r="J1" s="7" t="s">
        <v>83</v>
      </c>
      <c r="K1" s="7" t="s">
        <v>8</v>
      </c>
      <c r="L1" s="7" t="s">
        <v>6</v>
      </c>
      <c r="M1" s="7" t="s">
        <v>7</v>
      </c>
      <c r="N1" s="7" t="s">
        <v>9</v>
      </c>
      <c r="O1" s="7" t="s">
        <v>10</v>
      </c>
      <c r="P1" s="7" t="s">
        <v>11</v>
      </c>
    </row>
    <row r="2" spans="1:19" x14ac:dyDescent="0.25">
      <c r="A2" s="17" t="s">
        <v>60</v>
      </c>
      <c r="B2" s="9">
        <v>37.5</v>
      </c>
      <c r="C2" s="9" t="s">
        <v>26</v>
      </c>
      <c r="D2" s="9">
        <v>32.4</v>
      </c>
      <c r="E2" s="9">
        <v>36.4</v>
      </c>
      <c r="F2" s="9">
        <v>37.5</v>
      </c>
      <c r="G2" s="10" t="s">
        <v>12</v>
      </c>
      <c r="H2" s="27"/>
      <c r="I2" s="27"/>
      <c r="J2" s="27" t="s">
        <v>17</v>
      </c>
      <c r="K2" s="10"/>
      <c r="L2" s="10" t="s">
        <v>2</v>
      </c>
      <c r="M2" s="10">
        <v>1</v>
      </c>
      <c r="N2" s="10">
        <v>3</v>
      </c>
      <c r="O2" s="10">
        <v>1</v>
      </c>
      <c r="P2" s="10">
        <f t="shared" ref="P2:P35" si="0">M2*N2*O2</f>
        <v>3</v>
      </c>
    </row>
    <row r="3" spans="1:19" x14ac:dyDescent="0.25">
      <c r="A3" s="17" t="s">
        <v>47</v>
      </c>
      <c r="B3" s="9">
        <v>18</v>
      </c>
      <c r="C3" s="9" t="s">
        <v>26</v>
      </c>
      <c r="D3" s="9"/>
      <c r="E3" s="9">
        <v>35.200000000000003</v>
      </c>
      <c r="F3" s="9">
        <v>30</v>
      </c>
      <c r="G3" s="10" t="s">
        <v>12</v>
      </c>
      <c r="H3" s="27"/>
      <c r="I3" s="27"/>
      <c r="J3" s="27" t="s">
        <v>17</v>
      </c>
      <c r="K3" s="10"/>
      <c r="L3" s="10" t="s">
        <v>2</v>
      </c>
      <c r="M3" s="10">
        <v>2</v>
      </c>
      <c r="N3" s="10">
        <v>3</v>
      </c>
      <c r="O3" s="10">
        <v>2</v>
      </c>
      <c r="P3" s="10">
        <f t="shared" si="0"/>
        <v>12</v>
      </c>
    </row>
    <row r="4" spans="1:19" x14ac:dyDescent="0.25">
      <c r="A4" s="17" t="s">
        <v>55</v>
      </c>
      <c r="B4" s="9">
        <v>30</v>
      </c>
      <c r="C4" s="9" t="s">
        <v>26</v>
      </c>
      <c r="D4" s="9">
        <v>37.1</v>
      </c>
      <c r="E4" s="9">
        <v>24.9</v>
      </c>
      <c r="F4" s="9">
        <v>30</v>
      </c>
      <c r="G4" s="10" t="s">
        <v>12</v>
      </c>
      <c r="H4" s="27"/>
      <c r="I4" s="27"/>
      <c r="J4" s="27" t="s">
        <v>18</v>
      </c>
      <c r="K4" s="10" t="s">
        <v>15</v>
      </c>
      <c r="L4" s="10" t="s">
        <v>1</v>
      </c>
      <c r="M4" s="10">
        <v>2</v>
      </c>
      <c r="N4" s="10">
        <v>1</v>
      </c>
      <c r="O4" s="10">
        <v>3</v>
      </c>
      <c r="P4" s="10">
        <f t="shared" si="0"/>
        <v>6</v>
      </c>
    </row>
    <row r="5" spans="1:19" x14ac:dyDescent="0.25">
      <c r="A5" s="17" t="s">
        <v>29</v>
      </c>
      <c r="B5" s="9">
        <v>37.5</v>
      </c>
      <c r="C5" s="9" t="s">
        <v>26</v>
      </c>
      <c r="D5" s="9">
        <v>35.200000000000003</v>
      </c>
      <c r="E5" s="9">
        <v>35.119999999999997</v>
      </c>
      <c r="F5" s="9">
        <v>37.5</v>
      </c>
      <c r="G5" s="10" t="s">
        <v>12</v>
      </c>
      <c r="H5" s="27" t="s">
        <v>65</v>
      </c>
      <c r="I5" s="27" t="s">
        <v>81</v>
      </c>
      <c r="J5" s="27"/>
      <c r="K5" s="10"/>
      <c r="L5" s="10" t="s">
        <v>1</v>
      </c>
      <c r="M5" s="10">
        <v>3</v>
      </c>
      <c r="N5" s="10">
        <v>2</v>
      </c>
      <c r="O5" s="10">
        <v>3</v>
      </c>
      <c r="P5" s="10">
        <f t="shared" si="0"/>
        <v>18</v>
      </c>
    </row>
    <row r="6" spans="1:19" x14ac:dyDescent="0.25">
      <c r="A6" s="17" t="s">
        <v>52</v>
      </c>
      <c r="B6" s="9">
        <v>25</v>
      </c>
      <c r="C6" s="9" t="s">
        <v>26</v>
      </c>
      <c r="D6" s="9"/>
      <c r="E6" s="9">
        <v>24.9</v>
      </c>
      <c r="F6" s="9">
        <v>25</v>
      </c>
      <c r="G6" s="10" t="s">
        <v>12</v>
      </c>
      <c r="H6" s="27"/>
      <c r="I6" s="27"/>
      <c r="J6" s="27" t="s">
        <v>17</v>
      </c>
      <c r="K6" s="10"/>
      <c r="L6" s="10" t="s">
        <v>1</v>
      </c>
      <c r="M6" s="10">
        <v>3</v>
      </c>
      <c r="N6" s="10">
        <v>3</v>
      </c>
      <c r="O6" s="10">
        <v>3</v>
      </c>
      <c r="P6" s="10">
        <f t="shared" si="0"/>
        <v>27</v>
      </c>
    </row>
    <row r="7" spans="1:19" x14ac:dyDescent="0.25">
      <c r="A7" s="17" t="s">
        <v>44</v>
      </c>
      <c r="B7" s="9">
        <v>10</v>
      </c>
      <c r="C7" s="9" t="s">
        <v>26</v>
      </c>
      <c r="D7" s="9">
        <v>10</v>
      </c>
      <c r="E7" s="9">
        <v>7.1</v>
      </c>
      <c r="F7" s="9">
        <v>10</v>
      </c>
      <c r="G7" s="10" t="s">
        <v>12</v>
      </c>
      <c r="H7" s="27"/>
      <c r="I7" s="27"/>
      <c r="J7" s="27" t="s">
        <v>17</v>
      </c>
      <c r="K7" s="10"/>
      <c r="L7" s="10" t="s">
        <v>1</v>
      </c>
      <c r="M7" s="10">
        <v>3</v>
      </c>
      <c r="N7" s="10">
        <v>2</v>
      </c>
      <c r="O7" s="10">
        <v>2</v>
      </c>
      <c r="P7" s="10">
        <f t="shared" si="0"/>
        <v>12</v>
      </c>
      <c r="R7" t="s">
        <v>450</v>
      </c>
      <c r="S7">
        <f>SUM(B2:B7)</f>
        <v>158</v>
      </c>
    </row>
    <row r="8" spans="1:19" x14ac:dyDescent="0.25">
      <c r="A8" s="17" t="s">
        <v>34</v>
      </c>
      <c r="B8" s="9">
        <v>0</v>
      </c>
      <c r="C8" s="9" t="s">
        <v>25</v>
      </c>
      <c r="D8" s="9">
        <v>16.3</v>
      </c>
      <c r="E8" s="9">
        <v>27.7</v>
      </c>
      <c r="F8" s="9">
        <v>25</v>
      </c>
      <c r="G8" s="10" t="s">
        <v>12</v>
      </c>
      <c r="H8" s="27"/>
      <c r="I8" s="27"/>
      <c r="J8" s="27" t="s">
        <v>17</v>
      </c>
      <c r="K8" s="10"/>
      <c r="L8" s="10" t="s">
        <v>2</v>
      </c>
      <c r="M8" s="10">
        <v>2</v>
      </c>
      <c r="N8" s="10">
        <v>3</v>
      </c>
      <c r="O8" s="10">
        <v>2</v>
      </c>
      <c r="P8" s="10">
        <f t="shared" si="0"/>
        <v>12</v>
      </c>
      <c r="R8" t="s">
        <v>451</v>
      </c>
      <c r="S8">
        <f>SUM(B8:B12)</f>
        <v>62</v>
      </c>
    </row>
    <row r="9" spans="1:19" x14ac:dyDescent="0.25">
      <c r="A9" s="17" t="s">
        <v>53</v>
      </c>
      <c r="B9" s="9">
        <v>14</v>
      </c>
      <c r="C9" s="9" t="s">
        <v>25</v>
      </c>
      <c r="D9" s="9">
        <v>16.399999999999999</v>
      </c>
      <c r="E9" s="9">
        <v>16.100000000000001</v>
      </c>
      <c r="F9" s="9">
        <v>16</v>
      </c>
      <c r="G9" s="10" t="s">
        <v>12</v>
      </c>
      <c r="H9" s="27"/>
      <c r="I9" s="27"/>
      <c r="J9" s="27" t="s">
        <v>18</v>
      </c>
      <c r="K9" s="11" t="s">
        <v>13</v>
      </c>
      <c r="L9" s="10" t="s">
        <v>2</v>
      </c>
      <c r="M9" s="10">
        <v>3</v>
      </c>
      <c r="N9" s="10">
        <v>3</v>
      </c>
      <c r="O9" s="10">
        <v>2</v>
      </c>
      <c r="P9" s="10">
        <f t="shared" si="0"/>
        <v>18</v>
      </c>
      <c r="R9" t="s">
        <v>452</v>
      </c>
      <c r="S9">
        <f>SUM(B13:B33)</f>
        <v>60</v>
      </c>
    </row>
    <row r="10" spans="1:19" x14ac:dyDescent="0.25">
      <c r="A10" s="17" t="s">
        <v>27</v>
      </c>
      <c r="B10" s="9">
        <v>16</v>
      </c>
      <c r="C10" s="9" t="s">
        <v>25</v>
      </c>
      <c r="D10" s="9"/>
      <c r="E10" s="9">
        <v>13.8</v>
      </c>
      <c r="F10" s="9">
        <v>16</v>
      </c>
      <c r="G10" s="10" t="s">
        <v>12</v>
      </c>
      <c r="H10" s="10"/>
      <c r="I10" s="10"/>
      <c r="J10" s="10"/>
      <c r="K10" s="10"/>
      <c r="L10" s="10" t="s">
        <v>2</v>
      </c>
      <c r="M10" s="10">
        <v>3</v>
      </c>
      <c r="N10" s="10">
        <v>3</v>
      </c>
      <c r="O10" s="10">
        <v>3</v>
      </c>
      <c r="P10" s="10">
        <f t="shared" si="0"/>
        <v>27</v>
      </c>
      <c r="R10" t="s">
        <v>453</v>
      </c>
      <c r="S10">
        <f>SUM(S7:S9)</f>
        <v>280</v>
      </c>
    </row>
    <row r="11" spans="1:19" x14ac:dyDescent="0.25">
      <c r="A11" s="17" t="s">
        <v>28</v>
      </c>
      <c r="B11" s="9">
        <v>16</v>
      </c>
      <c r="C11" s="9" t="s">
        <v>25</v>
      </c>
      <c r="D11" s="9"/>
      <c r="E11" s="9">
        <v>13.4</v>
      </c>
      <c r="F11" s="9">
        <v>16</v>
      </c>
      <c r="G11" s="10" t="s">
        <v>12</v>
      </c>
      <c r="H11" s="27" t="s">
        <v>64</v>
      </c>
      <c r="I11" s="27" t="s">
        <v>63</v>
      </c>
      <c r="J11" s="27"/>
      <c r="K11" s="10"/>
      <c r="L11" s="10" t="s">
        <v>0</v>
      </c>
      <c r="M11" s="10">
        <v>2</v>
      </c>
      <c r="N11" s="10">
        <v>2</v>
      </c>
      <c r="O11" s="10">
        <v>1</v>
      </c>
      <c r="P11" s="10">
        <f t="shared" si="0"/>
        <v>4</v>
      </c>
    </row>
    <row r="12" spans="1:19" x14ac:dyDescent="0.25">
      <c r="A12" s="17" t="s">
        <v>30</v>
      </c>
      <c r="B12" s="9">
        <v>16</v>
      </c>
      <c r="C12" s="9" t="s">
        <v>25</v>
      </c>
      <c r="D12" s="9">
        <v>24.6</v>
      </c>
      <c r="E12" s="9">
        <v>0.43</v>
      </c>
      <c r="F12" s="9">
        <v>16</v>
      </c>
      <c r="G12" s="10" t="s">
        <v>12</v>
      </c>
      <c r="H12" s="28" t="s">
        <v>82</v>
      </c>
      <c r="I12" s="29" t="s">
        <v>14</v>
      </c>
      <c r="J12" s="30"/>
      <c r="K12" s="10"/>
      <c r="L12" s="10" t="s">
        <v>2</v>
      </c>
      <c r="M12" s="10">
        <v>3</v>
      </c>
      <c r="N12" s="10">
        <v>3</v>
      </c>
      <c r="O12" s="10">
        <v>3</v>
      </c>
      <c r="P12" s="10">
        <f t="shared" si="0"/>
        <v>27</v>
      </c>
    </row>
    <row r="13" spans="1:19" x14ac:dyDescent="0.25">
      <c r="A13" s="17" t="s">
        <v>56</v>
      </c>
      <c r="B13" s="9">
        <v>16</v>
      </c>
      <c r="C13" s="9" t="s">
        <v>16</v>
      </c>
      <c r="D13" s="9"/>
      <c r="E13" s="9"/>
      <c r="F13" s="9">
        <v>0</v>
      </c>
      <c r="G13" s="10" t="s">
        <v>23</v>
      </c>
      <c r="H13" s="27"/>
      <c r="I13" s="27"/>
      <c r="J13" s="27" t="s">
        <v>18</v>
      </c>
      <c r="K13" s="10"/>
      <c r="L13" s="12" t="s">
        <v>2</v>
      </c>
      <c r="M13" s="13">
        <v>2</v>
      </c>
      <c r="N13" s="13">
        <v>3</v>
      </c>
      <c r="O13" s="10">
        <v>2</v>
      </c>
      <c r="P13" s="10">
        <f t="shared" si="0"/>
        <v>12</v>
      </c>
    </row>
    <row r="14" spans="1:19" x14ac:dyDescent="0.25">
      <c r="A14" s="17" t="s">
        <v>36</v>
      </c>
      <c r="B14" s="9">
        <v>16</v>
      </c>
      <c r="C14" s="9" t="s">
        <v>16</v>
      </c>
      <c r="D14" s="9"/>
      <c r="E14" s="9">
        <v>1.8</v>
      </c>
      <c r="F14" s="9">
        <v>16</v>
      </c>
      <c r="G14" s="10" t="s">
        <v>12</v>
      </c>
      <c r="H14" s="27" t="s">
        <v>66</v>
      </c>
      <c r="I14" s="27"/>
      <c r="J14" s="27"/>
      <c r="K14" s="10"/>
      <c r="L14" s="10" t="s">
        <v>0</v>
      </c>
      <c r="M14" s="10">
        <v>1</v>
      </c>
      <c r="N14" s="10">
        <v>2</v>
      </c>
      <c r="O14" s="10">
        <v>2</v>
      </c>
      <c r="P14" s="10">
        <f t="shared" si="0"/>
        <v>4</v>
      </c>
    </row>
    <row r="15" spans="1:19" x14ac:dyDescent="0.25">
      <c r="A15" s="17" t="s">
        <v>41</v>
      </c>
      <c r="B15" s="9">
        <v>16</v>
      </c>
      <c r="C15" s="9" t="s">
        <v>16</v>
      </c>
      <c r="D15" s="9"/>
      <c r="E15" s="9"/>
      <c r="F15" s="9">
        <v>0</v>
      </c>
      <c r="G15" s="10" t="s">
        <v>23</v>
      </c>
      <c r="H15" s="27"/>
      <c r="I15" s="27"/>
      <c r="J15" s="27"/>
      <c r="K15" s="10"/>
      <c r="L15" s="10" t="s">
        <v>2</v>
      </c>
      <c r="M15" s="10">
        <v>1</v>
      </c>
      <c r="N15" s="10">
        <v>3</v>
      </c>
      <c r="O15" s="10">
        <v>2</v>
      </c>
      <c r="P15" s="10">
        <f t="shared" si="0"/>
        <v>6</v>
      </c>
    </row>
    <row r="16" spans="1:19" x14ac:dyDescent="0.25">
      <c r="A16" s="17" t="s">
        <v>43</v>
      </c>
      <c r="B16" s="9">
        <v>12</v>
      </c>
      <c r="C16" s="9" t="s">
        <v>16</v>
      </c>
      <c r="D16" s="9"/>
      <c r="E16" s="9"/>
      <c r="F16" s="9">
        <v>0</v>
      </c>
      <c r="G16" s="10" t="s">
        <v>23</v>
      </c>
      <c r="H16" s="27" t="s">
        <v>64</v>
      </c>
      <c r="I16" s="27"/>
      <c r="J16" s="27"/>
      <c r="K16" s="10"/>
      <c r="L16" s="10" t="s">
        <v>2</v>
      </c>
      <c r="M16" s="10">
        <v>1</v>
      </c>
      <c r="N16" s="10">
        <v>3</v>
      </c>
      <c r="O16" s="10">
        <v>2</v>
      </c>
      <c r="P16" s="10">
        <f t="shared" si="0"/>
        <v>6</v>
      </c>
    </row>
    <row r="17" spans="1:19" x14ac:dyDescent="0.25">
      <c r="A17" s="17" t="s">
        <v>31</v>
      </c>
      <c r="B17" s="9">
        <v>0</v>
      </c>
      <c r="C17" s="9" t="s">
        <v>16</v>
      </c>
      <c r="D17" s="9"/>
      <c r="E17" s="9"/>
      <c r="F17" s="9">
        <v>0</v>
      </c>
      <c r="G17" s="10" t="s">
        <v>23</v>
      </c>
      <c r="H17" s="27" t="s">
        <v>64</v>
      </c>
      <c r="I17" s="27" t="s">
        <v>63</v>
      </c>
      <c r="J17" s="27"/>
      <c r="K17" s="10"/>
      <c r="L17" s="10" t="s">
        <v>2</v>
      </c>
      <c r="M17" s="10">
        <v>2</v>
      </c>
      <c r="N17" s="10">
        <v>3</v>
      </c>
      <c r="O17" s="10">
        <v>2</v>
      </c>
      <c r="P17" s="10">
        <f t="shared" si="0"/>
        <v>12</v>
      </c>
      <c r="S17">
        <v>0</v>
      </c>
    </row>
    <row r="18" spans="1:19" x14ac:dyDescent="0.25">
      <c r="A18" s="17" t="s">
        <v>32</v>
      </c>
      <c r="B18" s="9">
        <v>0</v>
      </c>
      <c r="C18" s="9" t="s">
        <v>16</v>
      </c>
      <c r="D18" s="9"/>
      <c r="E18" s="9">
        <v>10.1</v>
      </c>
      <c r="F18" s="9">
        <v>10</v>
      </c>
      <c r="G18" s="10" t="s">
        <v>16</v>
      </c>
      <c r="H18" s="27"/>
      <c r="I18" s="27"/>
      <c r="J18" s="27"/>
      <c r="K18" s="10"/>
      <c r="L18" s="10" t="s">
        <v>2</v>
      </c>
      <c r="M18" s="10">
        <v>1</v>
      </c>
      <c r="N18" s="10">
        <v>3</v>
      </c>
      <c r="O18" s="10">
        <v>3</v>
      </c>
      <c r="P18" s="10">
        <f t="shared" si="0"/>
        <v>9</v>
      </c>
    </row>
    <row r="19" spans="1:19" x14ac:dyDescent="0.25">
      <c r="A19" s="17" t="s">
        <v>33</v>
      </c>
      <c r="B19" s="9">
        <v>0</v>
      </c>
      <c r="C19" s="9" t="s">
        <v>16</v>
      </c>
      <c r="D19" s="9">
        <v>7.3</v>
      </c>
      <c r="E19" s="9">
        <v>7.4</v>
      </c>
      <c r="F19" s="9">
        <v>5</v>
      </c>
      <c r="G19" s="10" t="s">
        <v>16</v>
      </c>
      <c r="H19" s="27"/>
      <c r="I19" s="27"/>
      <c r="J19" s="27"/>
      <c r="K19" s="10"/>
      <c r="L19" s="10" t="s">
        <v>1</v>
      </c>
      <c r="M19" s="10">
        <v>1</v>
      </c>
      <c r="N19" s="10">
        <v>1</v>
      </c>
      <c r="O19" s="10">
        <v>2</v>
      </c>
      <c r="P19" s="10">
        <f t="shared" si="0"/>
        <v>2</v>
      </c>
    </row>
    <row r="20" spans="1:19" x14ac:dyDescent="0.25">
      <c r="A20" s="17" t="s">
        <v>35</v>
      </c>
      <c r="B20" s="9">
        <v>0</v>
      </c>
      <c r="C20" s="9" t="s">
        <v>16</v>
      </c>
      <c r="D20" s="9">
        <v>16.3</v>
      </c>
      <c r="E20" s="9">
        <v>0</v>
      </c>
      <c r="F20" s="9">
        <v>0</v>
      </c>
      <c r="G20" s="10" t="s">
        <v>23</v>
      </c>
      <c r="H20" s="27"/>
      <c r="I20" s="27"/>
      <c r="J20" s="27"/>
      <c r="K20" s="10"/>
      <c r="L20" s="10" t="s">
        <v>1</v>
      </c>
      <c r="M20" s="10">
        <v>1</v>
      </c>
      <c r="N20" s="10">
        <v>3</v>
      </c>
      <c r="O20" s="10">
        <v>3</v>
      </c>
      <c r="P20" s="10"/>
    </row>
    <row r="21" spans="1:19" x14ac:dyDescent="0.25">
      <c r="A21" s="17" t="s">
        <v>37</v>
      </c>
      <c r="B21" s="9">
        <v>0</v>
      </c>
      <c r="C21" s="9" t="s">
        <v>16</v>
      </c>
      <c r="D21" s="9">
        <v>14</v>
      </c>
      <c r="E21" s="9">
        <v>1.5</v>
      </c>
      <c r="F21" s="9">
        <v>0</v>
      </c>
      <c r="G21" s="10" t="s">
        <v>16</v>
      </c>
      <c r="H21" s="27"/>
      <c r="I21" s="27"/>
      <c r="J21" s="27"/>
      <c r="K21" s="10"/>
      <c r="L21" s="10" t="s">
        <v>1</v>
      </c>
      <c r="M21" s="10">
        <v>2</v>
      </c>
      <c r="N21" s="10">
        <v>2</v>
      </c>
      <c r="O21" s="10">
        <v>2</v>
      </c>
      <c r="P21" s="10">
        <f t="shared" si="0"/>
        <v>8</v>
      </c>
    </row>
    <row r="22" spans="1:19" x14ac:dyDescent="0.25">
      <c r="A22" s="17" t="s">
        <v>38</v>
      </c>
      <c r="B22" s="9">
        <v>0</v>
      </c>
      <c r="C22" s="9" t="s">
        <v>16</v>
      </c>
      <c r="D22" s="9">
        <v>24.9</v>
      </c>
      <c r="E22" s="9">
        <v>6.25</v>
      </c>
      <c r="F22" s="9">
        <v>5</v>
      </c>
      <c r="G22" s="10" t="s">
        <v>16</v>
      </c>
      <c r="H22" s="27"/>
      <c r="I22" s="27"/>
      <c r="J22" s="27"/>
      <c r="K22" s="10"/>
      <c r="L22" s="10" t="s">
        <v>1</v>
      </c>
      <c r="M22" s="10">
        <v>1</v>
      </c>
      <c r="N22" s="10">
        <v>1</v>
      </c>
      <c r="O22" s="10">
        <v>2</v>
      </c>
      <c r="P22" s="10">
        <f t="shared" si="0"/>
        <v>2</v>
      </c>
    </row>
    <row r="23" spans="1:19" x14ac:dyDescent="0.25">
      <c r="A23" s="17" t="s">
        <v>39</v>
      </c>
      <c r="B23" s="9">
        <v>0</v>
      </c>
      <c r="C23" s="9" t="s">
        <v>16</v>
      </c>
      <c r="D23" s="9">
        <v>20</v>
      </c>
      <c r="E23" s="9">
        <v>7.6</v>
      </c>
      <c r="F23" s="9">
        <v>7</v>
      </c>
      <c r="G23" s="10" t="s">
        <v>16</v>
      </c>
      <c r="H23" s="27"/>
      <c r="I23" s="27"/>
      <c r="J23" s="27"/>
      <c r="K23" s="10"/>
      <c r="L23" s="10" t="s">
        <v>2</v>
      </c>
      <c r="M23" s="10">
        <v>1</v>
      </c>
      <c r="N23" s="10">
        <v>3</v>
      </c>
      <c r="O23" s="10">
        <v>2</v>
      </c>
      <c r="P23" s="10">
        <f t="shared" si="0"/>
        <v>6</v>
      </c>
    </row>
    <row r="24" spans="1:19" x14ac:dyDescent="0.25">
      <c r="A24" s="17" t="s">
        <v>40</v>
      </c>
      <c r="B24" s="9">
        <v>0</v>
      </c>
      <c r="C24" s="9" t="s">
        <v>16</v>
      </c>
      <c r="D24" s="9">
        <v>8.9</v>
      </c>
      <c r="E24" s="9">
        <v>12.6</v>
      </c>
      <c r="F24" s="9">
        <v>12</v>
      </c>
      <c r="G24" s="10" t="s">
        <v>16</v>
      </c>
      <c r="H24" s="27" t="s">
        <v>67</v>
      </c>
      <c r="I24" s="27"/>
      <c r="J24" s="27"/>
      <c r="K24" s="10"/>
      <c r="L24" s="10" t="s">
        <v>1</v>
      </c>
      <c r="M24" s="10">
        <v>2</v>
      </c>
      <c r="N24" s="10">
        <v>1</v>
      </c>
      <c r="O24" s="10">
        <v>2</v>
      </c>
      <c r="P24" s="10">
        <f t="shared" si="0"/>
        <v>4</v>
      </c>
    </row>
    <row r="25" spans="1:19" x14ac:dyDescent="0.25">
      <c r="A25" s="17" t="s">
        <v>42</v>
      </c>
      <c r="B25" s="9">
        <v>0</v>
      </c>
      <c r="C25" s="9" t="s">
        <v>16</v>
      </c>
      <c r="D25" s="9">
        <v>0</v>
      </c>
      <c r="E25" s="9">
        <v>2.9</v>
      </c>
      <c r="F25" s="9">
        <v>0</v>
      </c>
      <c r="G25" s="10" t="s">
        <v>16</v>
      </c>
      <c r="H25" s="27"/>
      <c r="I25" s="27"/>
      <c r="J25" s="27"/>
      <c r="K25" s="10"/>
      <c r="L25" s="10"/>
      <c r="M25" s="10"/>
      <c r="N25" s="10"/>
      <c r="O25" s="10"/>
      <c r="P25" s="10">
        <f t="shared" si="0"/>
        <v>0</v>
      </c>
    </row>
    <row r="26" spans="1:19" x14ac:dyDescent="0.25">
      <c r="A26" s="17" t="s">
        <v>45</v>
      </c>
      <c r="B26" s="9">
        <v>0</v>
      </c>
      <c r="C26" s="9" t="s">
        <v>16</v>
      </c>
      <c r="D26" s="9"/>
      <c r="E26" s="9"/>
      <c r="F26" s="9">
        <v>0</v>
      </c>
      <c r="G26" s="10" t="s">
        <v>23</v>
      </c>
      <c r="H26" s="27"/>
      <c r="I26" s="27"/>
      <c r="J26" s="27"/>
      <c r="K26" s="10"/>
      <c r="L26" s="10" t="s">
        <v>1</v>
      </c>
      <c r="M26" s="10">
        <v>1</v>
      </c>
      <c r="N26" s="10">
        <v>1</v>
      </c>
      <c r="O26" s="10">
        <v>2</v>
      </c>
      <c r="P26" s="10">
        <f t="shared" si="0"/>
        <v>2</v>
      </c>
    </row>
    <row r="27" spans="1:19" x14ac:dyDescent="0.25">
      <c r="A27" s="17" t="s">
        <v>46</v>
      </c>
      <c r="B27" s="9">
        <v>0</v>
      </c>
      <c r="C27" s="9" t="s">
        <v>16</v>
      </c>
      <c r="D27" s="9"/>
      <c r="E27" s="9">
        <v>5.3</v>
      </c>
      <c r="F27" s="9">
        <v>0</v>
      </c>
      <c r="G27" s="10" t="s">
        <v>16</v>
      </c>
      <c r="H27" s="27"/>
      <c r="I27" s="27"/>
      <c r="J27" s="27"/>
      <c r="K27" s="10"/>
      <c r="L27" s="10" t="s">
        <v>2</v>
      </c>
      <c r="M27" s="10">
        <v>1</v>
      </c>
      <c r="N27" s="10">
        <v>3</v>
      </c>
      <c r="O27" s="10">
        <v>2</v>
      </c>
      <c r="P27" s="10">
        <f t="shared" si="0"/>
        <v>6</v>
      </c>
    </row>
    <row r="28" spans="1:19" x14ac:dyDescent="0.25">
      <c r="A28" s="17" t="s">
        <v>48</v>
      </c>
      <c r="B28" s="9">
        <v>0</v>
      </c>
      <c r="C28" s="9" t="s">
        <v>16</v>
      </c>
      <c r="D28" s="9">
        <v>5.5</v>
      </c>
      <c r="E28" s="9">
        <v>7.9</v>
      </c>
      <c r="F28" s="9">
        <v>0</v>
      </c>
      <c r="G28" s="10" t="s">
        <v>16</v>
      </c>
      <c r="H28" s="27"/>
      <c r="I28" s="27"/>
      <c r="J28" s="27"/>
      <c r="K28" s="10"/>
      <c r="L28" s="10" t="s">
        <v>2</v>
      </c>
      <c r="M28" s="10">
        <v>2</v>
      </c>
      <c r="N28" s="10">
        <v>3</v>
      </c>
      <c r="O28" s="10">
        <v>1</v>
      </c>
      <c r="P28" s="10">
        <f t="shared" si="0"/>
        <v>6</v>
      </c>
    </row>
    <row r="29" spans="1:19" x14ac:dyDescent="0.25">
      <c r="A29" s="17" t="s">
        <v>49</v>
      </c>
      <c r="B29" s="9">
        <v>0</v>
      </c>
      <c r="C29" s="9" t="s">
        <v>16</v>
      </c>
      <c r="D29" s="9">
        <v>25.5</v>
      </c>
      <c r="E29" s="9">
        <v>15</v>
      </c>
      <c r="F29" s="9">
        <v>10</v>
      </c>
      <c r="G29" s="10" t="s">
        <v>16</v>
      </c>
      <c r="H29" s="27" t="s">
        <v>68</v>
      </c>
      <c r="I29" s="27"/>
      <c r="J29" s="27"/>
      <c r="K29" s="10"/>
      <c r="L29" s="10" t="s">
        <v>2</v>
      </c>
      <c r="M29" s="10">
        <v>1</v>
      </c>
      <c r="N29" s="10">
        <v>3</v>
      </c>
      <c r="O29" s="10">
        <v>3</v>
      </c>
      <c r="P29" s="10">
        <f t="shared" si="0"/>
        <v>9</v>
      </c>
    </row>
    <row r="30" spans="1:19" x14ac:dyDescent="0.25">
      <c r="A30" s="17" t="s">
        <v>50</v>
      </c>
      <c r="B30" s="9">
        <v>0</v>
      </c>
      <c r="C30" s="9" t="s">
        <v>16</v>
      </c>
      <c r="D30" s="9">
        <v>20.9</v>
      </c>
      <c r="E30" s="9">
        <v>9.6999999999999993</v>
      </c>
      <c r="F30" s="9">
        <v>10</v>
      </c>
      <c r="G30" s="10" t="s">
        <v>16</v>
      </c>
      <c r="H30" s="27"/>
      <c r="I30" s="27"/>
      <c r="J30" s="27"/>
      <c r="K30" s="10"/>
      <c r="L30" s="10" t="s">
        <v>2</v>
      </c>
      <c r="M30" s="10">
        <v>1</v>
      </c>
      <c r="N30" s="10">
        <v>3</v>
      </c>
      <c r="O30" s="10">
        <v>3</v>
      </c>
      <c r="P30" s="10">
        <f t="shared" si="0"/>
        <v>9</v>
      </c>
    </row>
    <row r="31" spans="1:19" x14ac:dyDescent="0.25">
      <c r="A31" s="17" t="s">
        <v>51</v>
      </c>
      <c r="B31" s="9">
        <v>0</v>
      </c>
      <c r="C31" s="9" t="s">
        <v>16</v>
      </c>
      <c r="D31" s="9">
        <v>4.9000000000000004</v>
      </c>
      <c r="E31" s="9">
        <v>1</v>
      </c>
      <c r="F31" s="9">
        <v>0</v>
      </c>
      <c r="G31" s="10" t="s">
        <v>16</v>
      </c>
      <c r="H31" s="27"/>
      <c r="I31" s="27"/>
      <c r="J31" s="27"/>
      <c r="K31" s="10"/>
      <c r="L31" s="10" t="s">
        <v>1</v>
      </c>
      <c r="M31" s="10">
        <v>1</v>
      </c>
      <c r="N31" s="10">
        <v>2</v>
      </c>
      <c r="O31" s="10">
        <v>1</v>
      </c>
      <c r="P31" s="10">
        <f t="shared" si="0"/>
        <v>2</v>
      </c>
    </row>
    <row r="32" spans="1:19" s="16" customFormat="1" x14ac:dyDescent="0.25">
      <c r="A32" s="17" t="s">
        <v>54</v>
      </c>
      <c r="B32" s="9">
        <v>0</v>
      </c>
      <c r="C32" s="9" t="s">
        <v>16</v>
      </c>
      <c r="D32" s="9">
        <v>10.199999999999999</v>
      </c>
      <c r="E32" s="9">
        <v>12.3</v>
      </c>
      <c r="F32" s="9">
        <v>12</v>
      </c>
      <c r="G32" s="10" t="s">
        <v>16</v>
      </c>
      <c r="H32" s="27"/>
      <c r="I32" s="27"/>
      <c r="J32" s="27"/>
      <c r="K32" s="10"/>
      <c r="L32" s="10" t="s">
        <v>2</v>
      </c>
      <c r="M32" s="10">
        <v>3</v>
      </c>
      <c r="N32" s="10">
        <v>3</v>
      </c>
      <c r="O32" s="10">
        <v>2</v>
      </c>
      <c r="P32" s="15">
        <f t="shared" si="0"/>
        <v>18</v>
      </c>
    </row>
    <row r="33" spans="1:16" x14ac:dyDescent="0.25">
      <c r="A33" s="17" t="s">
        <v>58</v>
      </c>
      <c r="B33" s="9">
        <v>0</v>
      </c>
      <c r="C33" s="9" t="s">
        <v>16</v>
      </c>
      <c r="D33" s="9">
        <v>13.6</v>
      </c>
      <c r="E33" s="9">
        <v>2.9</v>
      </c>
      <c r="F33" s="9">
        <v>3</v>
      </c>
      <c r="G33" s="10" t="s">
        <v>16</v>
      </c>
      <c r="H33" s="27" t="s">
        <v>69</v>
      </c>
      <c r="I33" s="27"/>
      <c r="J33" s="27"/>
      <c r="K33" s="10"/>
      <c r="L33" s="10" t="s">
        <v>2</v>
      </c>
      <c r="M33" s="10">
        <v>2</v>
      </c>
      <c r="N33" s="10">
        <v>3</v>
      </c>
      <c r="O33" s="10">
        <v>2</v>
      </c>
      <c r="P33" s="10">
        <f t="shared" si="0"/>
        <v>12</v>
      </c>
    </row>
    <row r="34" spans="1:16" s="16" customFormat="1" x14ac:dyDescent="0.25">
      <c r="A34" s="17" t="s">
        <v>57</v>
      </c>
      <c r="B34" s="14">
        <v>0</v>
      </c>
      <c r="C34" s="14"/>
      <c r="D34" s="14">
        <v>42.3</v>
      </c>
      <c r="E34" s="14">
        <v>8.5</v>
      </c>
      <c r="F34" s="14">
        <v>0</v>
      </c>
      <c r="G34" s="15" t="s">
        <v>22</v>
      </c>
      <c r="H34" s="32"/>
      <c r="I34" s="31"/>
      <c r="J34" s="31" t="s">
        <v>17</v>
      </c>
      <c r="K34" s="15" t="s">
        <v>19</v>
      </c>
      <c r="L34" s="15" t="s">
        <v>2</v>
      </c>
      <c r="M34" s="15">
        <v>3</v>
      </c>
      <c r="N34" s="15">
        <v>3</v>
      </c>
      <c r="O34" s="15">
        <v>1</v>
      </c>
      <c r="P34" s="15">
        <f t="shared" si="0"/>
        <v>9</v>
      </c>
    </row>
    <row r="35" spans="1:16" x14ac:dyDescent="0.25">
      <c r="A35" s="17" t="s">
        <v>59</v>
      </c>
      <c r="B35" s="14">
        <v>0</v>
      </c>
      <c r="C35" s="14"/>
      <c r="D35" s="14">
        <v>2.2000000000000002</v>
      </c>
      <c r="E35" s="14"/>
      <c r="F35" s="14">
        <v>0</v>
      </c>
      <c r="G35" s="15" t="s">
        <v>22</v>
      </c>
      <c r="H35" s="31"/>
      <c r="I35" s="31" t="s">
        <v>63</v>
      </c>
      <c r="J35" s="31"/>
      <c r="K35" s="15"/>
      <c r="L35" s="15" t="s">
        <v>1</v>
      </c>
      <c r="M35" s="15">
        <v>2</v>
      </c>
      <c r="N35" s="15">
        <v>1</v>
      </c>
      <c r="O35" s="15">
        <v>1</v>
      </c>
      <c r="P35" s="10">
        <f t="shared" si="0"/>
        <v>2</v>
      </c>
    </row>
    <row r="37" spans="1:16" s="5" customFormat="1" ht="18.75" x14ac:dyDescent="0.3">
      <c r="A37" s="4" t="s">
        <v>20</v>
      </c>
      <c r="B37" s="4">
        <f>SUM(B2:B35)</f>
        <v>280</v>
      </c>
      <c r="C37" s="4"/>
      <c r="D37" s="4">
        <f>SUM(D2:D36)</f>
        <v>388.5</v>
      </c>
      <c r="E37" s="4">
        <f>SUM(E2:E36)</f>
        <v>347.8</v>
      </c>
      <c r="F37" s="4">
        <f>SUM(F2:F36)</f>
        <v>349</v>
      </c>
    </row>
    <row r="38" spans="1:16" x14ac:dyDescent="0.25">
      <c r="A38" s="2"/>
    </row>
    <row r="42" spans="1:16" x14ac:dyDescent="0.25">
      <c r="A42" s="3"/>
    </row>
    <row r="43" spans="1:16" x14ac:dyDescent="0.25">
      <c r="A43" s="3"/>
    </row>
    <row r="44" spans="1:16" x14ac:dyDescent="0.25">
      <c r="A44" s="3"/>
    </row>
    <row r="45" spans="1:16" x14ac:dyDescent="0.25">
      <c r="A45" s="3"/>
    </row>
    <row r="46" spans="1:16" x14ac:dyDescent="0.25">
      <c r="A46" s="3"/>
    </row>
    <row r="47" spans="1:16" x14ac:dyDescent="0.25">
      <c r="A47" s="3"/>
    </row>
    <row r="48" spans="1:16" x14ac:dyDescent="0.25">
      <c r="A48" s="3"/>
    </row>
    <row r="49" spans="1:1" x14ac:dyDescent="0.25">
      <c r="A49" s="3"/>
    </row>
  </sheetData>
  <sortState ref="A2:J35">
    <sortCondition ref="C2:C35" customList="full-time,part-time,bank"/>
    <sortCondition ref="J2:J35"/>
    <sortCondition descending="1" ref="B2:B35"/>
  </sortState>
  <conditionalFormatting sqref="C2:C35">
    <cfRule type="expression" dxfId="2" priority="1">
      <formula>full-time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S18"/>
  <sheetViews>
    <sheetView showGridLines="0" workbookViewId="0">
      <selection activeCell="B1" sqref="B1"/>
    </sheetView>
  </sheetViews>
  <sheetFormatPr defaultRowHeight="15" x14ac:dyDescent="0.25"/>
  <cols>
    <col min="1" max="1" width="11" bestFit="1" customWidth="1"/>
    <col min="2" max="2" width="13.28515625" bestFit="1" customWidth="1"/>
    <col min="3" max="3" width="8" bestFit="1" customWidth="1"/>
  </cols>
  <sheetData>
    <row r="1" spans="1:19" x14ac:dyDescent="0.25">
      <c r="A1" s="25" t="s">
        <v>80</v>
      </c>
      <c r="B1" s="26">
        <v>515</v>
      </c>
      <c r="C1" s="25" t="s">
        <v>79</v>
      </c>
    </row>
    <row r="2" spans="1:19" x14ac:dyDescent="0.25">
      <c r="C2" s="19">
        <v>0.25</v>
      </c>
      <c r="D2" s="19">
        <v>0.29166666666666669</v>
      </c>
      <c r="E2" s="19">
        <v>0.33333333333333298</v>
      </c>
      <c r="F2" s="19">
        <v>0.375</v>
      </c>
      <c r="G2" s="19">
        <v>0.41666666666666702</v>
      </c>
      <c r="H2" s="19">
        <v>0.45833333333333298</v>
      </c>
      <c r="I2" s="19">
        <v>0.5</v>
      </c>
      <c r="J2" s="19">
        <v>0.54166666666666696</v>
      </c>
      <c r="K2" s="19">
        <v>0.58333333333333304</v>
      </c>
      <c r="L2" s="19">
        <v>0.625</v>
      </c>
      <c r="M2" s="19">
        <v>0.66666666666666696</v>
      </c>
      <c r="N2" s="19">
        <v>0.70833333333333404</v>
      </c>
      <c r="O2" s="19">
        <v>0.75</v>
      </c>
      <c r="P2" s="19">
        <v>0.79166666666666696</v>
      </c>
      <c r="Q2" s="19">
        <v>0.83333333333333404</v>
      </c>
      <c r="R2" s="19">
        <v>0.875</v>
      </c>
      <c r="S2" s="62">
        <v>0.91666666666666663</v>
      </c>
    </row>
    <row r="3" spans="1:19" x14ac:dyDescent="0.25">
      <c r="A3" t="s">
        <v>70</v>
      </c>
      <c r="B3" s="22" t="s">
        <v>78</v>
      </c>
      <c r="C3" s="20">
        <f>COUNTIFS('Raw data'!$X$3:$X$2350, "&gt;="&amp;'Call distribution'!C$2, 'Raw data'!$X$3:$X$2350, "&lt;"&amp;'Call distribution'!D$2)/COUNT('Raw data'!$X$3:$X$2350)</f>
        <v>3.3860045146726862E-3</v>
      </c>
      <c r="D3" s="20">
        <f>COUNTIFS('Raw data'!$X$3:$X$2350, "&gt;="&amp;'Call distribution'!D$2, 'Raw data'!$X$3:$X$2350, "&lt;"&amp;'Call distribution'!E$2)/COUNT('Raw data'!$X$3:$X$2350)</f>
        <v>6.4898419864559825E-2</v>
      </c>
      <c r="E3" s="20">
        <f>COUNTIFS('Raw data'!$X$3:$X$2350, "&gt;="&amp;'Call distribution'!E$2, 'Raw data'!$X$3:$X$2350, "&lt;"&amp;'Call distribution'!F$2)/COUNT('Raw data'!$X$3:$X$2350)</f>
        <v>0.24322799097065462</v>
      </c>
      <c r="F3" s="20">
        <f>COUNTIFS('Raw data'!$X$3:$X$2350, "&gt;="&amp;'Call distribution'!F$2, 'Raw data'!$X$3:$X$2350, "&lt;"&amp;'Call distribution'!G$2)/COUNT('Raw data'!$X$3:$X$2350)</f>
        <v>0.14164785553047404</v>
      </c>
      <c r="G3" s="20">
        <f>COUNTIFS('Raw data'!$X$3:$X$2350, "&gt;="&amp;'Call distribution'!G$2, 'Raw data'!$X$3:$X$2350, "&lt;"&amp;'Call distribution'!H$2)/COUNT('Raw data'!$X$3:$X$2350)</f>
        <v>0.11060948081264109</v>
      </c>
      <c r="H3" s="20">
        <f>COUNTIFS('Raw data'!$X$3:$X$2350, "&gt;="&amp;'Call distribution'!H$2, 'Raw data'!$X$3:$X$2350, "&lt;"&amp;'Call distribution'!I$2)/COUNT('Raw data'!$X$3:$X$2350)</f>
        <v>3.8374717832957109E-2</v>
      </c>
      <c r="I3" s="20">
        <f>COUNTIFS('Raw data'!$X$3:$X$2350, "&gt;="&amp;'Call distribution'!I$2, 'Raw data'!$X$3:$X$2350, "&lt;"&amp;'Call distribution'!J$2)/COUNT('Raw data'!$X$3:$X$2350)</f>
        <v>5.4176072234762979E-2</v>
      </c>
      <c r="J3" s="20">
        <f>COUNTIFS('Raw data'!$X$3:$X$2350, "&gt;="&amp;'Call distribution'!J$2, 'Raw data'!$X$3:$X$2350, "&lt;"&amp;'Call distribution'!K$2)/COUNT('Raw data'!$X$3:$X$2350)</f>
        <v>1.6930022573363433E-2</v>
      </c>
      <c r="K3" s="20">
        <f>COUNTIFS('Raw data'!$X$3:$X$2350, "&gt;="&amp;'Call distribution'!K$2, 'Raw data'!$X$3:$X$2350, "&lt;"&amp;'Call distribution'!L$2)/COUNT('Raw data'!$X$3:$X$2350)</f>
        <v>1.0158013544018058E-2</v>
      </c>
      <c r="L3" s="20">
        <f>COUNTIFS('Raw data'!$X$3:$X$2350, "&gt;="&amp;'Call distribution'!L$2, 'Raw data'!$X$3:$X$2350, "&lt;"&amp;'Call distribution'!M$2)/COUNT('Raw data'!$X$3:$X$2350)</f>
        <v>1.8058690744920992E-2</v>
      </c>
      <c r="M3" s="20">
        <f>COUNTIFS('Raw data'!$X$3:$X$2350, "&gt;="&amp;'Call distribution'!M$2, 'Raw data'!$X$3:$X$2350, "&lt;"&amp;'Call distribution'!N$2)/COUNT('Raw data'!$X$3:$X$2350)</f>
        <v>8.8036117381489837E-2</v>
      </c>
      <c r="N3" s="20">
        <f>COUNTIFS('Raw data'!$X$3:$X$2350, "&gt;="&amp;'Call distribution'!N$2, 'Raw data'!$X$3:$X$2350, "&lt;"&amp;'Call distribution'!O$2)/COUNT('Raw data'!$X$3:$X$2350)</f>
        <v>1.3544018058690745E-2</v>
      </c>
      <c r="O3" s="20">
        <f>COUNTIFS('Raw data'!$X$3:$X$2350, "&gt;="&amp;'Call distribution'!O$2, 'Raw data'!$X$3:$X$2350, "&lt;"&amp;'Call distribution'!P$2)/COUNT('Raw data'!$X$3:$X$2350)</f>
        <v>6.0383747178329568E-2</v>
      </c>
      <c r="P3" s="20">
        <f>COUNTIFS('Raw data'!$X$3:$X$2350, "&gt;="&amp;'Call distribution'!P$2, 'Raw data'!$X$3:$X$2350, "&lt;"&amp;'Call distribution'!Q$2)/COUNT('Raw data'!$X$3:$X$2350)</f>
        <v>7.6185101580135445E-2</v>
      </c>
      <c r="Q3" s="20">
        <f>COUNTIFS('Raw data'!$X$3:$X$2350, "&gt;="&amp;'Call distribution'!Q$2, 'Raw data'!$X$3:$X$2350, "&lt;"&amp;'Call distribution'!R$2)/COUNT('Raw data'!$X$3:$X$2350)</f>
        <v>5.1354401805869074E-2</v>
      </c>
      <c r="R3" s="20">
        <f>COUNTIFS('Raw data'!$X$3:$X$2350, "&gt;="&amp;'Call distribution'!R$2, 'Raw data'!$X$3:$X$2350, "&lt;"&amp;'Call distribution'!S$2)/COUNT('Raw data'!$X$3:$X$2350)</f>
        <v>9.0293453724604959E-3</v>
      </c>
    </row>
    <row r="4" spans="1:19" x14ac:dyDescent="0.25">
      <c r="A4" s="18" t="s">
        <v>71</v>
      </c>
      <c r="B4" s="21">
        <f>COUNTIF('Raw data'!$V$3:$V$2350,'Call distribution'!$A4)/COUNTA('Raw data'!$V$3:$V$2350)</f>
        <v>0.12866817155756208</v>
      </c>
      <c r="C4" s="23">
        <f>$B4*C$3*$B$1</f>
        <v>0.22437057004112124</v>
      </c>
      <c r="D4" s="24">
        <f>$B4*D$3*$B$1</f>
        <v>4.3004359257881566</v>
      </c>
      <c r="E4" s="24">
        <f t="shared" ref="D4:R10" si="0">$B4*E$3*$B$1</f>
        <v>16.117285947953874</v>
      </c>
      <c r="F4" s="24">
        <f t="shared" si="0"/>
        <v>9.3861688467202384</v>
      </c>
      <c r="G4" s="24">
        <f t="shared" si="0"/>
        <v>7.3294386213432938</v>
      </c>
      <c r="H4" s="24">
        <f t="shared" si="0"/>
        <v>2.5428664604660405</v>
      </c>
      <c r="I4" s="24">
        <f t="shared" si="0"/>
        <v>3.5899291206579398</v>
      </c>
      <c r="J4" s="24">
        <f t="shared" si="0"/>
        <v>1.1218528502056062</v>
      </c>
      <c r="K4" s="24">
        <f t="shared" si="0"/>
        <v>0.67311171012336368</v>
      </c>
      <c r="L4" s="24">
        <f t="shared" si="0"/>
        <v>1.1966430402193131</v>
      </c>
      <c r="M4" s="24">
        <f t="shared" si="0"/>
        <v>5.8336348210691513</v>
      </c>
      <c r="N4" s="24">
        <f t="shared" si="0"/>
        <v>0.89748228016448495</v>
      </c>
      <c r="O4" s="24">
        <f t="shared" si="0"/>
        <v>4.0012751657333281</v>
      </c>
      <c r="P4" s="24">
        <f t="shared" si="0"/>
        <v>5.0483378259252278</v>
      </c>
      <c r="Q4" s="24">
        <f t="shared" si="0"/>
        <v>3.402953645623672</v>
      </c>
      <c r="R4" s="23">
        <f t="shared" si="0"/>
        <v>0.59832152010965656</v>
      </c>
      <c r="S4" s="42"/>
    </row>
    <row r="5" spans="1:19" x14ac:dyDescent="0.25">
      <c r="A5" s="18" t="s">
        <v>72</v>
      </c>
      <c r="B5" s="21">
        <f>COUNTIF('Raw data'!$V$3:$V$2350,'Call distribution'!$A5)/COUNTA('Raw data'!$V$3:$V$2350)</f>
        <v>0.16309255079006771</v>
      </c>
      <c r="C5" s="23">
        <f t="shared" ref="C5:C10" si="1">$B5*C$3*$B$1</f>
        <v>0.28439953834159659</v>
      </c>
      <c r="D5" s="24">
        <f t="shared" si="0"/>
        <v>5.4509911515472691</v>
      </c>
      <c r="E5" s="24">
        <f t="shared" si="0"/>
        <v>20.429366837538023</v>
      </c>
      <c r="F5" s="24">
        <f t="shared" si="0"/>
        <v>11.897380687290125</v>
      </c>
      <c r="G5" s="24">
        <f t="shared" si="0"/>
        <v>9.2903849191588233</v>
      </c>
      <c r="H5" s="24">
        <f t="shared" si="0"/>
        <v>3.2231947678714281</v>
      </c>
      <c r="I5" s="24">
        <f t="shared" si="0"/>
        <v>4.5503926134655455</v>
      </c>
      <c r="J5" s="24">
        <f t="shared" si="0"/>
        <v>1.4219976917079833</v>
      </c>
      <c r="K5" s="24">
        <f t="shared" si="0"/>
        <v>0.85319861502478989</v>
      </c>
      <c r="L5" s="24">
        <f t="shared" si="0"/>
        <v>1.5167975378218486</v>
      </c>
      <c r="M5" s="24">
        <f t="shared" si="0"/>
        <v>7.3943879968815116</v>
      </c>
      <c r="N5" s="24">
        <f t="shared" si="0"/>
        <v>1.1375981533663864</v>
      </c>
      <c r="O5" s="24">
        <f t="shared" si="0"/>
        <v>5.0717917670918062</v>
      </c>
      <c r="P5" s="24">
        <f t="shared" si="0"/>
        <v>6.3989896126859245</v>
      </c>
      <c r="Q5" s="24">
        <f t="shared" si="0"/>
        <v>4.3133929981808823</v>
      </c>
      <c r="R5" s="23">
        <f t="shared" si="0"/>
        <v>0.75839876891092428</v>
      </c>
      <c r="S5" s="42"/>
    </row>
    <row r="6" spans="1:19" x14ac:dyDescent="0.25">
      <c r="A6" s="18" t="s">
        <v>73</v>
      </c>
      <c r="B6" s="21">
        <f>COUNTIF('Raw data'!$V$3:$V$2350,'Call distribution'!$A6)/COUNTA('Raw data'!$V$3:$V$2350)</f>
        <v>0.1489841986455982</v>
      </c>
      <c r="C6" s="23">
        <f t="shared" si="1"/>
        <v>0.25979750215287722</v>
      </c>
      <c r="D6" s="24">
        <f t="shared" si="0"/>
        <v>4.979452124596814</v>
      </c>
      <c r="E6" s="24">
        <f t="shared" si="0"/>
        <v>18.662120571315011</v>
      </c>
      <c r="F6" s="24">
        <f t="shared" si="0"/>
        <v>10.868195506728696</v>
      </c>
      <c r="G6" s="24">
        <f t="shared" si="0"/>
        <v>8.4867184036606567</v>
      </c>
      <c r="H6" s="24">
        <f t="shared" si="0"/>
        <v>2.9443716910659417</v>
      </c>
      <c r="I6" s="24">
        <f t="shared" si="0"/>
        <v>4.1567600344460356</v>
      </c>
      <c r="J6" s="24">
        <f t="shared" si="0"/>
        <v>1.2989875107643862</v>
      </c>
      <c r="K6" s="24">
        <f t="shared" si="0"/>
        <v>0.77939250645863167</v>
      </c>
      <c r="L6" s="24">
        <f t="shared" si="0"/>
        <v>1.3855866781486785</v>
      </c>
      <c r="M6" s="24">
        <f t="shared" si="0"/>
        <v>6.7547350559748072</v>
      </c>
      <c r="N6" s="24">
        <f t="shared" si="0"/>
        <v>1.0391900086115089</v>
      </c>
      <c r="O6" s="24">
        <f t="shared" si="0"/>
        <v>4.633055455059643</v>
      </c>
      <c r="P6" s="24">
        <f t="shared" si="0"/>
        <v>5.8454437984397378</v>
      </c>
      <c r="Q6" s="24">
        <f t="shared" si="0"/>
        <v>3.9402621159853046</v>
      </c>
      <c r="R6" s="23">
        <f t="shared" si="0"/>
        <v>0.69279333907433926</v>
      </c>
      <c r="S6" s="42"/>
    </row>
    <row r="7" spans="1:19" x14ac:dyDescent="0.25">
      <c r="A7" s="18" t="s">
        <v>74</v>
      </c>
      <c r="B7" s="21">
        <f>COUNTIF('Raw data'!$V$3:$V$2350,'Call distribution'!$A7)/COUNTA('Raw data'!$V$3:$V$2350)</f>
        <v>0.14164785553047404</v>
      </c>
      <c r="C7" s="23">
        <f t="shared" si="1"/>
        <v>0.24700444333474311</v>
      </c>
      <c r="D7" s="24">
        <f t="shared" si="0"/>
        <v>4.7342518305825765</v>
      </c>
      <c r="E7" s="24">
        <f t="shared" si="0"/>
        <v>17.743152512879046</v>
      </c>
      <c r="F7" s="24">
        <f t="shared" si="0"/>
        <v>10.333019212836753</v>
      </c>
      <c r="G7" s="24">
        <f t="shared" si="0"/>
        <v>8.0688118156016095</v>
      </c>
      <c r="H7" s="24">
        <f t="shared" si="0"/>
        <v>2.7993836911270882</v>
      </c>
      <c r="I7" s="24">
        <f t="shared" si="0"/>
        <v>3.9520710933558898</v>
      </c>
      <c r="J7" s="24">
        <f t="shared" si="0"/>
        <v>1.2350222166737157</v>
      </c>
      <c r="K7" s="24">
        <f t="shared" si="0"/>
        <v>0.74101333000422931</v>
      </c>
      <c r="L7" s="24">
        <f t="shared" si="0"/>
        <v>1.31735703111863</v>
      </c>
      <c r="M7" s="24">
        <f t="shared" si="0"/>
        <v>6.4221155267033199</v>
      </c>
      <c r="N7" s="24">
        <f t="shared" si="0"/>
        <v>0.98801777333897245</v>
      </c>
      <c r="O7" s="24">
        <f t="shared" si="0"/>
        <v>4.4049125728029193</v>
      </c>
      <c r="P7" s="24">
        <f t="shared" si="0"/>
        <v>5.55759997503172</v>
      </c>
      <c r="Q7" s="24">
        <f t="shared" si="0"/>
        <v>3.7462340572436039</v>
      </c>
      <c r="R7" s="23">
        <f t="shared" si="0"/>
        <v>0.658678515559315</v>
      </c>
      <c r="S7" s="42"/>
    </row>
    <row r="8" spans="1:19" x14ac:dyDescent="0.25">
      <c r="A8" s="18" t="s">
        <v>75</v>
      </c>
      <c r="B8" s="21">
        <f>COUNTIF('Raw data'!$V$3:$V$2350,'Call distribution'!$A8)/COUNTA('Raw data'!$V$3:$V$2350)</f>
        <v>0.13148984198645597</v>
      </c>
      <c r="C8" s="23">
        <f t="shared" si="1"/>
        <v>0.2292909772788651</v>
      </c>
      <c r="D8" s="24">
        <f t="shared" si="0"/>
        <v>4.3947437311782478</v>
      </c>
      <c r="E8" s="24">
        <f t="shared" si="0"/>
        <v>16.470735201198476</v>
      </c>
      <c r="F8" s="24">
        <f t="shared" si="0"/>
        <v>9.5920058828325221</v>
      </c>
      <c r="G8" s="24">
        <f t="shared" si="0"/>
        <v>7.4901719244429268</v>
      </c>
      <c r="H8" s="24">
        <f t="shared" si="0"/>
        <v>2.5986310758271371</v>
      </c>
      <c r="I8" s="24">
        <f t="shared" si="0"/>
        <v>3.6686556364618417</v>
      </c>
      <c r="J8" s="24">
        <f t="shared" si="0"/>
        <v>1.1464548863943256</v>
      </c>
      <c r="K8" s="24">
        <f t="shared" si="0"/>
        <v>0.68787293183659526</v>
      </c>
      <c r="L8" s="24">
        <f t="shared" si="0"/>
        <v>1.2228852121539471</v>
      </c>
      <c r="M8" s="24">
        <f t="shared" si="0"/>
        <v>5.9615654092504924</v>
      </c>
      <c r="N8" s="24">
        <f t="shared" si="0"/>
        <v>0.91716390911546042</v>
      </c>
      <c r="O8" s="24">
        <f t="shared" si="0"/>
        <v>4.0890224281397609</v>
      </c>
      <c r="P8" s="24">
        <f t="shared" si="0"/>
        <v>5.159046988774465</v>
      </c>
      <c r="Q8" s="24">
        <f t="shared" si="0"/>
        <v>3.4775798220627872</v>
      </c>
      <c r="R8" s="23">
        <f t="shared" si="0"/>
        <v>0.61144260607697354</v>
      </c>
      <c r="S8" s="42"/>
    </row>
    <row r="9" spans="1:19" x14ac:dyDescent="0.25">
      <c r="A9" s="18" t="s">
        <v>76</v>
      </c>
      <c r="B9" s="21">
        <f>COUNTIF('Raw data'!$V$3:$V$2350,'Call distribution'!$A9)/COUNTA('Raw data'!$V$3:$V$2350)</f>
        <v>0.14841986455981943</v>
      </c>
      <c r="C9" s="23">
        <f t="shared" si="1"/>
        <v>0.25881342070532848</v>
      </c>
      <c r="D9" s="24">
        <f t="shared" si="0"/>
        <v>4.9605905635187959</v>
      </c>
      <c r="E9" s="24">
        <f t="shared" si="0"/>
        <v>18.591430720666093</v>
      </c>
      <c r="F9" s="24">
        <f t="shared" si="0"/>
        <v>10.82702809950624</v>
      </c>
      <c r="G9" s="24">
        <f t="shared" si="0"/>
        <v>8.4545717430407308</v>
      </c>
      <c r="H9" s="24">
        <f t="shared" si="0"/>
        <v>2.9332187679937225</v>
      </c>
      <c r="I9" s="24">
        <f t="shared" si="0"/>
        <v>4.1410147312852557</v>
      </c>
      <c r="J9" s="24">
        <f t="shared" si="0"/>
        <v>1.2940671035266422</v>
      </c>
      <c r="K9" s="24">
        <f t="shared" si="0"/>
        <v>0.77644026211598538</v>
      </c>
      <c r="L9" s="24">
        <f t="shared" si="0"/>
        <v>1.3803382437617517</v>
      </c>
      <c r="M9" s="24">
        <f t="shared" si="0"/>
        <v>6.7291489383385397</v>
      </c>
      <c r="N9" s="24">
        <f t="shared" si="0"/>
        <v>1.0352536828213139</v>
      </c>
      <c r="O9" s="24">
        <f t="shared" si="0"/>
        <v>4.615506002578357</v>
      </c>
      <c r="P9" s="24">
        <f t="shared" si="0"/>
        <v>5.8233019658698906</v>
      </c>
      <c r="Q9" s="24">
        <f t="shared" si="0"/>
        <v>3.9253368806974818</v>
      </c>
      <c r="R9" s="23">
        <f t="shared" si="0"/>
        <v>0.69016912188087587</v>
      </c>
      <c r="S9" s="42"/>
    </row>
    <row r="10" spans="1:19" x14ac:dyDescent="0.25">
      <c r="A10" s="18" t="s">
        <v>77</v>
      </c>
      <c r="B10" s="21">
        <f>COUNTIF('Raw data'!$V$3:$V$2350,'Call distribution'!$A10)/COUNTA('Raw data'!$V$3:$V$2350)</f>
        <v>0.13769751693002258</v>
      </c>
      <c r="C10" s="23">
        <f t="shared" si="1"/>
        <v>0.24011587320190167</v>
      </c>
      <c r="D10" s="24">
        <f t="shared" si="0"/>
        <v>4.6022209030364492</v>
      </c>
      <c r="E10" s="24">
        <f t="shared" si="0"/>
        <v>17.248323558336605</v>
      </c>
      <c r="F10" s="24">
        <f t="shared" si="0"/>
        <v>10.044847362279553</v>
      </c>
      <c r="G10" s="24">
        <f t="shared" si="0"/>
        <v>7.8437851912621213</v>
      </c>
      <c r="H10" s="24">
        <f t="shared" si="0"/>
        <v>2.7213132296215523</v>
      </c>
      <c r="I10" s="24">
        <f t="shared" si="0"/>
        <v>3.8418539712304267</v>
      </c>
      <c r="J10" s="24">
        <f t="shared" si="0"/>
        <v>1.2005793660095083</v>
      </c>
      <c r="K10" s="24">
        <f t="shared" si="0"/>
        <v>0.72034761960570504</v>
      </c>
      <c r="L10" s="24">
        <f t="shared" si="0"/>
        <v>1.2806179904101422</v>
      </c>
      <c r="M10" s="24">
        <f t="shared" si="0"/>
        <v>6.2430127032494438</v>
      </c>
      <c r="N10" s="24">
        <f t="shared" si="0"/>
        <v>0.96046349280760668</v>
      </c>
      <c r="O10" s="24">
        <f t="shared" si="0"/>
        <v>4.2820664054339126</v>
      </c>
      <c r="P10" s="24">
        <f t="shared" si="0"/>
        <v>5.4026071470427874</v>
      </c>
      <c r="Q10" s="24">
        <f t="shared" si="0"/>
        <v>3.6417574102288421</v>
      </c>
      <c r="R10" s="23">
        <f t="shared" si="0"/>
        <v>0.64030899520507112</v>
      </c>
      <c r="S10" s="42"/>
    </row>
    <row r="12" spans="1:19" x14ac:dyDescent="0.25"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</row>
    <row r="13" spans="1:19" x14ac:dyDescent="0.25"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</row>
    <row r="14" spans="1:19" x14ac:dyDescent="0.25"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</row>
    <row r="15" spans="1:19" x14ac:dyDescent="0.25">
      <c r="C15" s="61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</row>
    <row r="16" spans="1:19" x14ac:dyDescent="0.25">
      <c r="C16" s="61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</row>
    <row r="17" spans="3:18" x14ac:dyDescent="0.25">
      <c r="C17" s="61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</row>
    <row r="18" spans="3:18" x14ac:dyDescent="0.25">
      <c r="C18" s="61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</sheetPr>
  <dimension ref="A1:AK107"/>
  <sheetViews>
    <sheetView showGridLines="0" workbookViewId="0">
      <pane xSplit="29" ySplit="2" topLeftCell="AD3" activePane="bottomRight" state="frozen"/>
      <selection pane="topRight" activeCell="N1" sqref="N1"/>
      <selection pane="bottomLeft" activeCell="A3" sqref="A3"/>
      <selection pane="bottomRight" activeCell="AL11" sqref="AL11"/>
    </sheetView>
  </sheetViews>
  <sheetFormatPr defaultRowHeight="15" x14ac:dyDescent="0.25"/>
  <cols>
    <col min="2" max="2" width="9" bestFit="1" customWidth="1"/>
    <col min="3" max="3" width="6" customWidth="1"/>
    <col min="4" max="20" width="3.7109375" customWidth="1"/>
    <col min="21" max="26" width="3.42578125" customWidth="1"/>
    <col min="27" max="27" width="3.85546875" customWidth="1"/>
    <col min="28" max="28" width="3.7109375" customWidth="1"/>
    <col min="29" max="29" width="8.5703125" customWidth="1"/>
    <col min="30" max="30" width="12.7109375" customWidth="1"/>
    <col min="31" max="31" width="4.140625" customWidth="1"/>
    <col min="32" max="32" width="5.28515625" customWidth="1"/>
    <col min="33" max="33" width="7" customWidth="1"/>
    <col min="34" max="34" width="3.85546875" customWidth="1"/>
    <col min="35" max="35" width="6.5703125" customWidth="1"/>
    <col min="36" max="36" width="9.85546875" bestFit="1" customWidth="1"/>
    <col min="37" max="37" width="5.85546875" customWidth="1"/>
    <col min="38" max="38" width="14.5703125" customWidth="1"/>
    <col min="39" max="39" width="9.42578125" bestFit="1" customWidth="1"/>
    <col min="40" max="40" width="7.85546875" bestFit="1" customWidth="1"/>
    <col min="41" max="41" width="10.5703125" bestFit="1" customWidth="1"/>
    <col min="43" max="43" width="6.140625" customWidth="1"/>
    <col min="45" max="45" width="9.5703125" customWidth="1"/>
  </cols>
  <sheetData>
    <row r="1" spans="1:37" ht="18" customHeight="1" thickTop="1" thickBot="1" x14ac:dyDescent="0.3">
      <c r="C1" s="34"/>
      <c r="D1" s="81" t="s">
        <v>106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3"/>
      <c r="AC1" s="84" t="s">
        <v>20</v>
      </c>
      <c r="AD1" s="53" t="s">
        <v>445</v>
      </c>
      <c r="AE1" s="69">
        <f>COUNTIF(D3:AB107,"FT")</f>
        <v>173</v>
      </c>
      <c r="AG1" s="53" t="s">
        <v>442</v>
      </c>
      <c r="AH1" s="44">
        <f>COUNTIF(D3:AB107,"PT")</f>
        <v>105</v>
      </c>
      <c r="AJ1" s="54" t="s">
        <v>443</v>
      </c>
      <c r="AK1" s="44">
        <f>COUNTIF(D3:AB107,"B")</f>
        <v>230</v>
      </c>
    </row>
    <row r="2" spans="1:37" ht="22.5" customHeight="1" thickTop="1" x14ac:dyDescent="0.25">
      <c r="A2" s="38" t="s">
        <v>101</v>
      </c>
      <c r="B2" s="38" t="s">
        <v>102</v>
      </c>
      <c r="C2" s="35" t="s">
        <v>94</v>
      </c>
      <c r="D2" s="55">
        <v>1</v>
      </c>
      <c r="E2" s="56">
        <v>2</v>
      </c>
      <c r="F2" s="56">
        <v>3</v>
      </c>
      <c r="G2" s="56">
        <v>4</v>
      </c>
      <c r="H2" s="56">
        <v>5</v>
      </c>
      <c r="I2" s="56">
        <v>6</v>
      </c>
      <c r="J2" s="56">
        <v>7</v>
      </c>
      <c r="K2" s="56">
        <v>8</v>
      </c>
      <c r="L2" s="70">
        <v>9</v>
      </c>
      <c r="M2" s="70">
        <v>10</v>
      </c>
      <c r="N2" s="70">
        <v>11</v>
      </c>
      <c r="O2" s="70">
        <v>12</v>
      </c>
      <c r="P2" s="70">
        <v>13</v>
      </c>
      <c r="Q2" s="70">
        <v>14</v>
      </c>
      <c r="R2" s="70">
        <v>15</v>
      </c>
      <c r="S2" s="70">
        <v>16</v>
      </c>
      <c r="T2" s="70">
        <v>17</v>
      </c>
      <c r="U2" s="70">
        <v>18</v>
      </c>
      <c r="V2" s="70">
        <v>19</v>
      </c>
      <c r="W2" s="70">
        <v>20</v>
      </c>
      <c r="X2" s="70">
        <v>21</v>
      </c>
      <c r="Y2" s="70">
        <v>22</v>
      </c>
      <c r="Z2" s="70">
        <v>23</v>
      </c>
      <c r="AA2" s="70">
        <v>24</v>
      </c>
      <c r="AB2" s="57">
        <v>25</v>
      </c>
      <c r="AC2" s="85"/>
    </row>
    <row r="3" spans="1:37" x14ac:dyDescent="0.25">
      <c r="A3" s="86" t="s">
        <v>71</v>
      </c>
      <c r="B3" s="39">
        <v>0.29166666666666669</v>
      </c>
      <c r="C3" s="45">
        <f>IF(INDEX('Call distribution'!$C$4:$R$10,MATCH('Weekly Roster'!$A3,'Call distribution'!$A$4:$A$10,0),MATCH('Weekly Roster'!$B3,'Call distribution'!$C$2:$R$2,0))&lt;1, ROUNDUP(INDEX('Call distribution'!$C$4:$R$10,MATCH('Weekly Roster'!$A3,'Call distribution'!$A$4:$A$10,0),MATCH('Weekly Roster'!$B3,'Call distribution'!$C$2:$R$2,0)),0),ROUND(INDEX('Call distribution'!$C$4:$R$10,MATCH('Weekly Roster'!$A3,'Call distribution'!$A$4:$A$10,0),MATCH('Weekly Roster'!$B3,'Call distribution'!$C$2:$R$2,0)),0))</f>
        <v>4</v>
      </c>
      <c r="D3" s="71" t="s">
        <v>447</v>
      </c>
      <c r="E3" s="71" t="s">
        <v>448</v>
      </c>
      <c r="F3" s="71" t="s">
        <v>448</v>
      </c>
      <c r="G3" s="71" t="s">
        <v>448</v>
      </c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10"/>
      <c r="X3" s="10"/>
      <c r="Y3" s="10"/>
      <c r="Z3" s="10"/>
      <c r="AA3" s="10"/>
      <c r="AB3" s="10"/>
      <c r="AC3" s="37">
        <f>COUNTA(D3:AB3)</f>
        <v>4</v>
      </c>
    </row>
    <row r="4" spans="1:37" x14ac:dyDescent="0.25">
      <c r="A4" s="87"/>
      <c r="B4" s="40">
        <v>0.33333333333333298</v>
      </c>
      <c r="C4" s="45">
        <f>IF(INDEX('Call distribution'!$C$4:$R$10,MATCH('Weekly Roster'!$A3,'Call distribution'!$A$4:$A$10,0),MATCH('Weekly Roster'!$B4,'Call distribution'!$C$2:$R$2,0))&lt;1, ROUNDUP(INDEX('Call distribution'!$C$4:$R$10,MATCH('Weekly Roster'!$A3,'Call distribution'!$A$4:$A$10,0),MATCH('Weekly Roster'!$B4,'Call distribution'!$C$2:$R$2,0)),0),ROUND(INDEX('Call distribution'!$C$4:$R$10,MATCH('Weekly Roster'!$A3,'Call distribution'!$A$4:$A$10,0),MATCH('Weekly Roster'!$B4,'Call distribution'!$C$2:$R$2,0)),0))</f>
        <v>16</v>
      </c>
      <c r="D4" s="71" t="s">
        <v>447</v>
      </c>
      <c r="E4" s="71" t="s">
        <v>447</v>
      </c>
      <c r="F4" s="71" t="s">
        <v>448</v>
      </c>
      <c r="G4" s="71" t="s">
        <v>448</v>
      </c>
      <c r="H4" s="71" t="s">
        <v>448</v>
      </c>
      <c r="I4" s="71" t="s">
        <v>448</v>
      </c>
      <c r="J4" s="71" t="s">
        <v>448</v>
      </c>
      <c r="K4" s="71" t="s">
        <v>449</v>
      </c>
      <c r="L4" s="71" t="s">
        <v>449</v>
      </c>
      <c r="M4" s="71" t="s">
        <v>449</v>
      </c>
      <c r="N4" s="71" t="s">
        <v>449</v>
      </c>
      <c r="O4" s="71" t="s">
        <v>449</v>
      </c>
      <c r="P4" s="71" t="s">
        <v>449</v>
      </c>
      <c r="Q4" s="71" t="s">
        <v>449</v>
      </c>
      <c r="R4" s="71" t="s">
        <v>449</v>
      </c>
      <c r="S4" s="71" t="s">
        <v>449</v>
      </c>
      <c r="T4" s="71"/>
      <c r="U4" s="71"/>
      <c r="V4" s="71"/>
      <c r="W4" s="10"/>
      <c r="X4" s="10"/>
      <c r="Y4" s="10"/>
      <c r="Z4" s="10"/>
      <c r="AA4" s="10"/>
      <c r="AB4" s="10"/>
      <c r="AC4" s="37">
        <f t="shared" ref="AC4:AC20" si="0">COUNTA(D4:AB4)</f>
        <v>16</v>
      </c>
    </row>
    <row r="5" spans="1:37" x14ac:dyDescent="0.25">
      <c r="A5" s="87"/>
      <c r="B5" s="40">
        <v>0.375</v>
      </c>
      <c r="C5" s="45">
        <f>IF(INDEX('Call distribution'!$C$4:$R$10,MATCH('Weekly Roster'!$A3,'Call distribution'!$A$4:$A$10,0),MATCH('Weekly Roster'!$B5,'Call distribution'!$C$2:$R$2,0))&lt;1, ROUNDUP(INDEX('Call distribution'!$C$4:$R$10,MATCH('Weekly Roster'!$A3,'Call distribution'!$A$4:$A$10,0),MATCH('Weekly Roster'!$B5,'Call distribution'!$C$2:$R$2,0)),0),ROUND(INDEX('Call distribution'!$C$4:$R$10,MATCH('Weekly Roster'!$A3,'Call distribution'!$A$4:$A$10,0),MATCH('Weekly Roster'!$B5,'Call distribution'!$C$2:$R$2,0)),0))</f>
        <v>9</v>
      </c>
      <c r="D5" s="71" t="s">
        <v>447</v>
      </c>
      <c r="E5" s="71" t="s">
        <v>447</v>
      </c>
      <c r="F5" s="71" t="s">
        <v>448</v>
      </c>
      <c r="G5" s="71" t="s">
        <v>448</v>
      </c>
      <c r="H5" s="71" t="s">
        <v>448</v>
      </c>
      <c r="I5" s="71" t="s">
        <v>448</v>
      </c>
      <c r="J5" s="71" t="s">
        <v>448</v>
      </c>
      <c r="K5" s="71" t="s">
        <v>449</v>
      </c>
      <c r="L5" s="71" t="s">
        <v>449</v>
      </c>
      <c r="M5" s="71"/>
      <c r="N5" s="71"/>
      <c r="O5" s="71"/>
      <c r="P5" s="71"/>
      <c r="Q5" s="71"/>
      <c r="R5" s="71"/>
      <c r="S5" s="71"/>
      <c r="T5" s="71"/>
      <c r="U5" s="71"/>
      <c r="V5" s="71"/>
      <c r="W5" s="10"/>
      <c r="X5" s="10"/>
      <c r="Y5" s="10"/>
      <c r="Z5" s="10"/>
      <c r="AA5" s="10"/>
      <c r="AB5" s="10"/>
      <c r="AC5" s="37">
        <f t="shared" si="0"/>
        <v>9</v>
      </c>
    </row>
    <row r="6" spans="1:37" x14ac:dyDescent="0.25">
      <c r="A6" s="87"/>
      <c r="B6" s="40">
        <v>0.41666666666666702</v>
      </c>
      <c r="C6" s="45">
        <f>IF(INDEX('Call distribution'!$C$4:$R$10,MATCH('Weekly Roster'!$A3,'Call distribution'!$A$4:$A$10,0),MATCH('Weekly Roster'!$B6,'Call distribution'!$C$2:$R$2,0))&lt;1, ROUNDUP(INDEX('Call distribution'!$C$4:$R$10,MATCH('Weekly Roster'!$A3,'Call distribution'!$A$4:$A$10,0),MATCH('Weekly Roster'!$B6,'Call distribution'!$C$2:$R$2,0)),0),ROUND(INDEX('Call distribution'!$C$4:$R$10,MATCH('Weekly Roster'!$A3,'Call distribution'!$A$4:$A$10,0),MATCH('Weekly Roster'!$B6,'Call distribution'!$C$2:$R$2,0)),0))</f>
        <v>7</v>
      </c>
      <c r="D6" s="71" t="s">
        <v>447</v>
      </c>
      <c r="E6" s="71" t="s">
        <v>447</v>
      </c>
      <c r="F6" s="71" t="s">
        <v>448</v>
      </c>
      <c r="G6" s="71" t="s">
        <v>448</v>
      </c>
      <c r="H6" s="71" t="s">
        <v>449</v>
      </c>
      <c r="I6" s="71" t="s">
        <v>449</v>
      </c>
      <c r="J6" s="71" t="s">
        <v>449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10"/>
      <c r="X6" s="10"/>
      <c r="Y6" s="10"/>
      <c r="Z6" s="10"/>
      <c r="AA6" s="10"/>
      <c r="AB6" s="10"/>
      <c r="AC6" s="64">
        <f t="shared" si="0"/>
        <v>7</v>
      </c>
      <c r="AD6" s="10"/>
      <c r="AE6" s="65" t="s">
        <v>441</v>
      </c>
      <c r="AF6" s="66"/>
      <c r="AG6" s="68">
        <v>0.2</v>
      </c>
      <c r="AH6" s="10"/>
      <c r="AI6" s="10"/>
      <c r="AJ6" s="13" t="s">
        <v>133</v>
      </c>
    </row>
    <row r="7" spans="1:37" x14ac:dyDescent="0.25">
      <c r="A7" s="87"/>
      <c r="B7" s="40">
        <v>0.45833333333333298</v>
      </c>
      <c r="C7" s="45">
        <f>IF(INDEX('Call distribution'!$C$4:$R$10,MATCH('Weekly Roster'!$A3,'Call distribution'!$A$4:$A$10,0),MATCH('Weekly Roster'!$B7,'Call distribution'!$C$2:$R$2,0))&lt;1, ROUNDUP(INDEX('Call distribution'!$C$4:$R$10,MATCH('Weekly Roster'!$A3,'Call distribution'!$A$4:$A$10,0),MATCH('Weekly Roster'!$B7,'Call distribution'!$C$2:$R$2,0)),0),ROUND(INDEX('Call distribution'!$C$4:$R$10,MATCH('Weekly Roster'!$A3,'Call distribution'!$A$4:$A$10,0),MATCH('Weekly Roster'!$B7,'Call distribution'!$C$2:$R$2,0)),0))</f>
        <v>3</v>
      </c>
      <c r="D7" s="71" t="s">
        <v>447</v>
      </c>
      <c r="E7" s="71" t="s">
        <v>447</v>
      </c>
      <c r="F7" s="71" t="s">
        <v>449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10"/>
      <c r="X7" s="10"/>
      <c r="Y7" s="10"/>
      <c r="Z7" s="10"/>
      <c r="AA7" s="10"/>
      <c r="AB7" s="10"/>
      <c r="AC7" s="64">
        <f t="shared" si="0"/>
        <v>3</v>
      </c>
      <c r="AD7" s="10" t="s">
        <v>440</v>
      </c>
      <c r="AE7" s="10">
        <f>AE1/35</f>
        <v>4.9428571428571431</v>
      </c>
      <c r="AF7" s="10"/>
      <c r="AG7" s="67">
        <f>AE7*1.2</f>
        <v>5.9314285714285715</v>
      </c>
      <c r="AH7" s="67"/>
      <c r="AI7" s="67"/>
      <c r="AJ7" s="67">
        <f>AE7/(AE7+AE8)*100</f>
        <v>41.387559808612437</v>
      </c>
    </row>
    <row r="8" spans="1:37" x14ac:dyDescent="0.25">
      <c r="A8" s="87"/>
      <c r="B8" s="40">
        <v>0.5</v>
      </c>
      <c r="C8" s="45">
        <f>IF(INDEX('Call distribution'!$C$4:$R$10,MATCH('Weekly Roster'!$A3,'Call distribution'!$A$4:$A$10,0),MATCH('Weekly Roster'!$B8,'Call distribution'!$C$2:$R$2,0))&lt;1, ROUNDUP(INDEX('Call distribution'!$C$4:$R$10,MATCH('Weekly Roster'!$A3,'Call distribution'!$A$4:$A$10,0),MATCH('Weekly Roster'!$B8,'Call distribution'!$C$2:$R$2,0)),0),ROUND(INDEX('Call distribution'!$C$4:$R$10,MATCH('Weekly Roster'!$A3,'Call distribution'!$A$4:$A$10,0),MATCH('Weekly Roster'!$B8,'Call distribution'!$C$2:$R$2,0)),0))</f>
        <v>4</v>
      </c>
      <c r="D8" s="71" t="s">
        <v>447</v>
      </c>
      <c r="E8" s="71" t="s">
        <v>447</v>
      </c>
      <c r="F8" s="71" t="s">
        <v>449</v>
      </c>
      <c r="G8" s="71" t="s">
        <v>449</v>
      </c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10"/>
      <c r="X8" s="10"/>
      <c r="Y8" s="10"/>
      <c r="Z8" s="10"/>
      <c r="AA8" s="10"/>
      <c r="AB8" s="10"/>
      <c r="AC8" s="64">
        <f t="shared" si="0"/>
        <v>4</v>
      </c>
      <c r="AD8" s="10" t="s">
        <v>444</v>
      </c>
      <c r="AE8" s="10">
        <f>AH1/15</f>
        <v>7</v>
      </c>
      <c r="AF8" s="66"/>
      <c r="AG8" s="67">
        <f>AE8*1.2</f>
        <v>8.4</v>
      </c>
      <c r="AH8" s="67"/>
      <c r="AI8" s="67"/>
      <c r="AJ8" s="67">
        <f>AE8/(AE7+AE8)*100</f>
        <v>58.612440191387563</v>
      </c>
    </row>
    <row r="9" spans="1:37" x14ac:dyDescent="0.25">
      <c r="A9" s="87"/>
      <c r="B9" s="40">
        <v>0.54166666666666696</v>
      </c>
      <c r="C9" s="45">
        <f>IF(INDEX('Call distribution'!$C$4:$R$10,MATCH('Weekly Roster'!$A3,'Call distribution'!$A$4:$A$10,0),MATCH('Weekly Roster'!$B9,'Call distribution'!$C$2:$R$2,0))&lt;1, ROUNDUP(INDEX('Call distribution'!$C$4:$R$10,MATCH('Weekly Roster'!$A3,'Call distribution'!$A$4:$A$10,0),MATCH('Weekly Roster'!$B9,'Call distribution'!$C$2:$R$2,0)),0),ROUND(INDEX('Call distribution'!$C$4:$R$10,MATCH('Weekly Roster'!$A3,'Call distribution'!$A$4:$A$10,0),MATCH('Weekly Roster'!$B9,'Call distribution'!$C$2:$R$2,0)),0))</f>
        <v>1</v>
      </c>
      <c r="D9" s="71" t="s">
        <v>447</v>
      </c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10"/>
      <c r="X9" s="10"/>
      <c r="Y9" s="10"/>
      <c r="Z9" s="10"/>
      <c r="AA9" s="10"/>
      <c r="AB9" s="10"/>
      <c r="AC9" s="64">
        <f t="shared" si="0"/>
        <v>1</v>
      </c>
      <c r="AD9" s="10" t="s">
        <v>446</v>
      </c>
      <c r="AE9" s="10">
        <f>AK1/5</f>
        <v>46</v>
      </c>
      <c r="AF9" s="10"/>
      <c r="AG9" s="67">
        <f>AE9*1.2</f>
        <v>55.199999999999996</v>
      </c>
      <c r="AH9" s="67"/>
      <c r="AI9" s="67"/>
      <c r="AJ9" s="67"/>
    </row>
    <row r="10" spans="1:37" x14ac:dyDescent="0.25">
      <c r="A10" s="87"/>
      <c r="B10" s="40">
        <v>0.58333333333333304</v>
      </c>
      <c r="C10" s="45">
        <f>IF(INDEX('Call distribution'!$C$4:$R$10,MATCH('Weekly Roster'!$A3,'Call distribution'!$A$4:$A$10,0),MATCH('Weekly Roster'!$B10,'Call distribution'!$C$2:$R$2,0))&lt;1, ROUNDUP(INDEX('Call distribution'!$C$4:$R$10,MATCH('Weekly Roster'!$A3,'Call distribution'!$A$4:$A$10,0),MATCH('Weekly Roster'!$B10,'Call distribution'!$C$2:$R$2,0)),0),ROUND(INDEX('Call distribution'!$C$4:$R$10,MATCH('Weekly Roster'!$A3,'Call distribution'!$A$4:$A$10,0),MATCH('Weekly Roster'!$B10,'Call distribution'!$C$2:$R$2,0)),0))</f>
        <v>1</v>
      </c>
      <c r="D10" s="71" t="s">
        <v>447</v>
      </c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10"/>
      <c r="X10" s="10"/>
      <c r="Y10" s="10"/>
      <c r="Z10" s="10"/>
      <c r="AA10" s="10"/>
      <c r="AB10" s="10"/>
      <c r="AC10" s="37">
        <f t="shared" si="0"/>
        <v>1</v>
      </c>
    </row>
    <row r="11" spans="1:37" x14ac:dyDescent="0.25">
      <c r="A11" s="87"/>
      <c r="B11" s="40">
        <v>0.625</v>
      </c>
      <c r="C11" s="45">
        <f>IF(INDEX('Call distribution'!$C$4:$R$10,MATCH('Weekly Roster'!$A3,'Call distribution'!$A$4:$A$10,0),MATCH('Weekly Roster'!$B11,'Call distribution'!$C$2:$R$2,0))&lt;1, ROUNDUP(INDEX('Call distribution'!$C$4:$R$10,MATCH('Weekly Roster'!$A3,'Call distribution'!$A$4:$A$10,0),MATCH('Weekly Roster'!$B11,'Call distribution'!$C$2:$R$2,0)),0),ROUND(INDEX('Call distribution'!$C$4:$R$10,MATCH('Weekly Roster'!$A3,'Call distribution'!$A$4:$A$10,0),MATCH('Weekly Roster'!$B11,'Call distribution'!$C$2:$R$2,0)),0))</f>
        <v>1</v>
      </c>
      <c r="D11" s="71" t="s">
        <v>447</v>
      </c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10"/>
      <c r="X11" s="10"/>
      <c r="Y11" s="10"/>
      <c r="Z11" s="10"/>
      <c r="AA11" s="10"/>
      <c r="AB11" s="10"/>
      <c r="AC11" s="37">
        <f t="shared" si="0"/>
        <v>1</v>
      </c>
    </row>
    <row r="12" spans="1:37" x14ac:dyDescent="0.25">
      <c r="A12" s="87"/>
      <c r="B12" s="40">
        <v>0.66666666666666696</v>
      </c>
      <c r="C12" s="45">
        <f>IF(INDEX('Call distribution'!$C$4:$R$10,MATCH('Weekly Roster'!$A3,'Call distribution'!$A$4:$A$10,0),MATCH('Weekly Roster'!$B12,'Call distribution'!$C$2:$R$2,0))&lt;1, ROUNDUP(INDEX('Call distribution'!$C$4:$R$10,MATCH('Weekly Roster'!$A3,'Call distribution'!$A$4:$A$10,0),MATCH('Weekly Roster'!$B12,'Call distribution'!$C$2:$R$2,0)),0),ROUND(INDEX('Call distribution'!$C$4:$R$10,MATCH('Weekly Roster'!$A3,'Call distribution'!$A$4:$A$10,0),MATCH('Weekly Roster'!$B12,'Call distribution'!$C$2:$R$2,0)),0))</f>
        <v>6</v>
      </c>
      <c r="D12" s="71" t="s">
        <v>447</v>
      </c>
      <c r="E12" s="71" t="s">
        <v>447</v>
      </c>
      <c r="F12" s="71" t="s">
        <v>449</v>
      </c>
      <c r="G12" s="71" t="s">
        <v>449</v>
      </c>
      <c r="H12" s="71" t="s">
        <v>449</v>
      </c>
      <c r="I12" s="71" t="s">
        <v>449</v>
      </c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10"/>
      <c r="X12" s="10"/>
      <c r="Y12" s="10"/>
      <c r="Z12" s="10"/>
      <c r="AA12" s="10"/>
      <c r="AB12" s="10"/>
      <c r="AC12" s="37">
        <f t="shared" si="0"/>
        <v>6</v>
      </c>
    </row>
    <row r="13" spans="1:37" x14ac:dyDescent="0.25">
      <c r="A13" s="87"/>
      <c r="B13" s="40">
        <v>0.70833333333333404</v>
      </c>
      <c r="C13" s="45">
        <f>IF(INDEX('Call distribution'!$C$4:$R$10,MATCH('Weekly Roster'!$A3,'Call distribution'!$A$4:$A$10,0),MATCH('Weekly Roster'!$B13,'Call distribution'!$C$2:$R$2,0))&lt;1, ROUNDUP(INDEX('Call distribution'!$C$4:$R$10,MATCH('Weekly Roster'!$A3,'Call distribution'!$A$4:$A$10,0),MATCH('Weekly Roster'!$B13,'Call distribution'!$C$2:$R$2,0)),0),ROUND(INDEX('Call distribution'!$C$4:$R$10,MATCH('Weekly Roster'!$A3,'Call distribution'!$A$4:$A$10,0),MATCH('Weekly Roster'!$B13,'Call distribution'!$C$2:$R$2,0)),0))</f>
        <v>1</v>
      </c>
      <c r="D13" s="71" t="s">
        <v>447</v>
      </c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10"/>
      <c r="X13" s="10"/>
      <c r="Y13" s="10"/>
      <c r="Z13" s="10"/>
      <c r="AA13" s="10"/>
      <c r="AB13" s="10"/>
      <c r="AC13" s="37">
        <f t="shared" si="0"/>
        <v>1</v>
      </c>
    </row>
    <row r="14" spans="1:37" x14ac:dyDescent="0.25">
      <c r="A14" s="87"/>
      <c r="B14" s="40">
        <v>0.75</v>
      </c>
      <c r="C14" s="45">
        <f>IF(INDEX('Call distribution'!$C$4:$R$10,MATCH('Weekly Roster'!$A3,'Call distribution'!$A$4:$A$10,0),MATCH('Weekly Roster'!$B14,'Call distribution'!$C$2:$R$2,0))&lt;1, ROUNDUP(INDEX('Call distribution'!$C$4:$R$10,MATCH('Weekly Roster'!$A3,'Call distribution'!$A$4:$A$10,0),MATCH('Weekly Roster'!$B14,'Call distribution'!$C$2:$R$2,0)),0),ROUND(INDEX('Call distribution'!$C$4:$R$10,MATCH('Weekly Roster'!$A3,'Call distribution'!$A$4:$A$10,0),MATCH('Weekly Roster'!$B14,'Call distribution'!$C$2:$R$2,0)),0))</f>
        <v>4</v>
      </c>
      <c r="D14" s="71" t="s">
        <v>447</v>
      </c>
      <c r="E14" s="71" t="s">
        <v>447</v>
      </c>
      <c r="F14" s="71" t="s">
        <v>449</v>
      </c>
      <c r="G14" s="71" t="s">
        <v>449</v>
      </c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10"/>
      <c r="X14" s="10"/>
      <c r="Y14" s="10"/>
      <c r="Z14" s="10"/>
      <c r="AA14" s="10"/>
      <c r="AB14" s="10"/>
      <c r="AC14" s="37">
        <f t="shared" si="0"/>
        <v>4</v>
      </c>
    </row>
    <row r="15" spans="1:37" x14ac:dyDescent="0.25">
      <c r="A15" s="87"/>
      <c r="B15" s="40">
        <v>0.79166666666666696</v>
      </c>
      <c r="C15" s="45">
        <f>IF(INDEX('Call distribution'!$C$4:$R$10,MATCH('Weekly Roster'!$A3,'Call distribution'!$A$4:$A$10,0),MATCH('Weekly Roster'!$B15,'Call distribution'!$C$2:$R$2,0))&lt;1, ROUNDUP(INDEX('Call distribution'!$C$4:$R$10,MATCH('Weekly Roster'!$A3,'Call distribution'!$A$4:$A$10,0),MATCH('Weekly Roster'!$B15,'Call distribution'!$C$2:$R$2,0)),0),ROUND(INDEX('Call distribution'!$C$4:$R$10,MATCH('Weekly Roster'!$A3,'Call distribution'!$A$4:$A$10,0),MATCH('Weekly Roster'!$B15,'Call distribution'!$C$2:$R$2,0)),0))</f>
        <v>5</v>
      </c>
      <c r="D15" s="71" t="s">
        <v>447</v>
      </c>
      <c r="E15" s="71" t="s">
        <v>447</v>
      </c>
      <c r="F15" s="71" t="s">
        <v>449</v>
      </c>
      <c r="G15" s="71" t="s">
        <v>449</v>
      </c>
      <c r="H15" s="71" t="s">
        <v>449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10"/>
      <c r="X15" s="10"/>
      <c r="Y15" s="10"/>
      <c r="Z15" s="10"/>
      <c r="AA15" s="10"/>
      <c r="AB15" s="10"/>
      <c r="AC15" s="37">
        <f t="shared" si="0"/>
        <v>5</v>
      </c>
    </row>
    <row r="16" spans="1:37" x14ac:dyDescent="0.25">
      <c r="A16" s="87"/>
      <c r="B16" s="40">
        <v>0.83333333333333404</v>
      </c>
      <c r="C16" s="45">
        <f>IF(INDEX('Call distribution'!$C$4:$R$10,MATCH('Weekly Roster'!$A3,'Call distribution'!$A$4:$A$10,0),MATCH('Weekly Roster'!$B16,'Call distribution'!$C$2:$R$2,0))&lt;1, ROUNDUP(INDEX('Call distribution'!$C$4:$R$10,MATCH('Weekly Roster'!$A3,'Call distribution'!$A$4:$A$10,0),MATCH('Weekly Roster'!$B16,'Call distribution'!$C$2:$R$2,0)),0),ROUND(INDEX('Call distribution'!$C$4:$R$10,MATCH('Weekly Roster'!$A3,'Call distribution'!$A$4:$A$10,0),MATCH('Weekly Roster'!$B16,'Call distribution'!$C$2:$R$2,0)),0))</f>
        <v>3</v>
      </c>
      <c r="D16" s="71" t="s">
        <v>447</v>
      </c>
      <c r="E16" s="71" t="s">
        <v>447</v>
      </c>
      <c r="F16" s="71" t="s">
        <v>449</v>
      </c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10"/>
      <c r="X16" s="10"/>
      <c r="Y16" s="10"/>
      <c r="Z16" s="10"/>
      <c r="AA16" s="10"/>
      <c r="AB16" s="10"/>
      <c r="AC16" s="37">
        <f t="shared" si="0"/>
        <v>3</v>
      </c>
    </row>
    <row r="17" spans="1:29" x14ac:dyDescent="0.25">
      <c r="A17" s="88"/>
      <c r="B17" s="40">
        <v>0.875</v>
      </c>
      <c r="C17" s="45">
        <f>IF(INDEX('Call distribution'!$C$4:$R$10,MATCH('Weekly Roster'!$A3,'Call distribution'!$A$4:$A$10,0),MATCH('Weekly Roster'!$B17,'Call distribution'!$C$2:$R$2,0))&lt;1, ROUNDUP(INDEX('Call distribution'!$C$4:$R$10,MATCH('Weekly Roster'!$A3,'Call distribution'!$A$4:$A$10,0),MATCH('Weekly Roster'!$B17,'Call distribution'!$C$2:$R$2,0)),0),ROUND(INDEX('Call distribution'!$C$4:$R$10,MATCH('Weekly Roster'!$A3,'Call distribution'!$A$4:$A$10,0),MATCH('Weekly Roster'!$B17,'Call distribution'!$C$2:$R$2,0)),0))</f>
        <v>1</v>
      </c>
      <c r="D17" s="71" t="s">
        <v>447</v>
      </c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10"/>
      <c r="X17" s="10"/>
      <c r="Y17" s="10"/>
      <c r="Z17" s="10"/>
      <c r="AA17" s="10"/>
      <c r="AB17" s="10"/>
      <c r="AC17" s="37">
        <f t="shared" si="0"/>
        <v>1</v>
      </c>
    </row>
    <row r="18" spans="1:29" x14ac:dyDescent="0.25">
      <c r="A18" s="89" t="s">
        <v>72</v>
      </c>
      <c r="B18" s="41">
        <v>0.29166666666666669</v>
      </c>
      <c r="C18" s="46">
        <f>IF(INDEX('Call distribution'!$C$4:$R$10,MATCH('Weekly Roster'!$A18,'Call distribution'!$A$4:$A$10,0),MATCH('Weekly Roster'!$B18,'Call distribution'!$C$2:$R$2,0))&lt;1, ROUNDUP(INDEX('Call distribution'!$C$4:$R$10,MATCH('Weekly Roster'!$A18,'Call distribution'!$A$4:$A$10,0),MATCH('Weekly Roster'!$B18,'Call distribution'!$C$2:$R$2,0)),0),ROUND(INDEX('Call distribution'!$C$4:$R$10,MATCH('Weekly Roster'!$A18,'Call distribution'!$A$4:$A$10,0),MATCH('Weekly Roster'!$B18,'Call distribution'!$C$2:$R$2,0)),0))</f>
        <v>5</v>
      </c>
      <c r="D18" s="71" t="s">
        <v>447</v>
      </c>
      <c r="E18" s="71" t="s">
        <v>447</v>
      </c>
      <c r="F18" s="71" t="s">
        <v>448</v>
      </c>
      <c r="G18" s="71" t="s">
        <v>448</v>
      </c>
      <c r="H18" s="71" t="s">
        <v>448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10"/>
      <c r="X18" s="10"/>
      <c r="Y18" s="10"/>
      <c r="Z18" s="10"/>
      <c r="AA18" s="10"/>
      <c r="AB18" s="10"/>
      <c r="AC18" s="37">
        <f t="shared" si="0"/>
        <v>5</v>
      </c>
    </row>
    <row r="19" spans="1:29" x14ac:dyDescent="0.25">
      <c r="A19" s="90"/>
      <c r="B19" s="41">
        <v>0.33333333333333298</v>
      </c>
      <c r="C19" s="46">
        <f>IF(INDEX('Call distribution'!$C$4:$R$10,MATCH('Weekly Roster'!$A18,'Call distribution'!$A$4:$A$10,0),MATCH('Weekly Roster'!$B19,'Call distribution'!$C$2:$R$2,0))&lt;1, ROUNDUP(INDEX('Call distribution'!$C$4:$R$10,MATCH('Weekly Roster'!$A18,'Call distribution'!$A$4:$A$10,0),MATCH('Weekly Roster'!$B19,'Call distribution'!$C$2:$R$2,0)),0),ROUND(INDEX('Call distribution'!$C$4:$R$10,MATCH('Weekly Roster'!$A18,'Call distribution'!$A$4:$A$10,0),MATCH('Weekly Roster'!$B19,'Call distribution'!$C$2:$R$2,0)),0))</f>
        <v>20</v>
      </c>
      <c r="D19" s="71" t="s">
        <v>447</v>
      </c>
      <c r="E19" s="71" t="s">
        <v>447</v>
      </c>
      <c r="F19" s="71" t="s">
        <v>448</v>
      </c>
      <c r="G19" s="71" t="s">
        <v>448</v>
      </c>
      <c r="H19" s="71" t="s">
        <v>448</v>
      </c>
      <c r="I19" s="71" t="s">
        <v>448</v>
      </c>
      <c r="J19" s="71" t="s">
        <v>448</v>
      </c>
      <c r="K19" s="71" t="s">
        <v>449</v>
      </c>
      <c r="L19" s="71" t="s">
        <v>449</v>
      </c>
      <c r="M19" s="71" t="s">
        <v>449</v>
      </c>
      <c r="N19" s="71" t="s">
        <v>449</v>
      </c>
      <c r="O19" s="71" t="s">
        <v>449</v>
      </c>
      <c r="P19" s="71" t="s">
        <v>449</v>
      </c>
      <c r="Q19" s="71" t="s">
        <v>449</v>
      </c>
      <c r="R19" s="71" t="s">
        <v>449</v>
      </c>
      <c r="S19" s="71" t="s">
        <v>449</v>
      </c>
      <c r="T19" s="71" t="s">
        <v>449</v>
      </c>
      <c r="U19" s="71" t="s">
        <v>449</v>
      </c>
      <c r="V19" s="71" t="s">
        <v>449</v>
      </c>
      <c r="W19" s="10" t="s">
        <v>449</v>
      </c>
      <c r="X19" s="10"/>
      <c r="Y19" s="10"/>
      <c r="Z19" s="10"/>
      <c r="AA19" s="10"/>
      <c r="AB19" s="10"/>
      <c r="AC19" s="37">
        <f t="shared" si="0"/>
        <v>20</v>
      </c>
    </row>
    <row r="20" spans="1:29" x14ac:dyDescent="0.25">
      <c r="A20" s="90"/>
      <c r="B20" s="41">
        <v>0.375</v>
      </c>
      <c r="C20" s="46">
        <f>IF(INDEX('Call distribution'!$C$4:$R$10,MATCH('Weekly Roster'!$A18,'Call distribution'!$A$4:$A$10,0),MATCH('Weekly Roster'!$B20,'Call distribution'!$C$2:$R$2,0))&lt;1, ROUNDUP(INDEX('Call distribution'!$C$4:$R$10,MATCH('Weekly Roster'!$A18,'Call distribution'!$A$4:$A$10,0),MATCH('Weekly Roster'!$B20,'Call distribution'!$C$2:$R$2,0)),0),ROUND(INDEX('Call distribution'!$C$4:$R$10,MATCH('Weekly Roster'!$A18,'Call distribution'!$A$4:$A$10,0),MATCH('Weekly Roster'!$B20,'Call distribution'!$C$2:$R$2,0)),0))</f>
        <v>12</v>
      </c>
      <c r="D20" s="71" t="s">
        <v>447</v>
      </c>
      <c r="E20" s="71" t="s">
        <v>447</v>
      </c>
      <c r="F20" s="71" t="s">
        <v>448</v>
      </c>
      <c r="G20" s="71" t="s">
        <v>448</v>
      </c>
      <c r="H20" s="71" t="s">
        <v>448</v>
      </c>
      <c r="I20" s="71" t="s">
        <v>448</v>
      </c>
      <c r="J20" s="71" t="s">
        <v>448</v>
      </c>
      <c r="K20" s="71" t="s">
        <v>449</v>
      </c>
      <c r="L20" s="71" t="s">
        <v>449</v>
      </c>
      <c r="M20" s="71" t="s">
        <v>449</v>
      </c>
      <c r="N20" s="71" t="s">
        <v>449</v>
      </c>
      <c r="O20" s="71" t="s">
        <v>449</v>
      </c>
      <c r="P20" s="71"/>
      <c r="Q20" s="71"/>
      <c r="R20" s="71"/>
      <c r="S20" s="71"/>
      <c r="T20" s="71"/>
      <c r="U20" s="71"/>
      <c r="V20" s="71"/>
      <c r="W20" s="10"/>
      <c r="X20" s="10"/>
      <c r="Y20" s="10"/>
      <c r="Z20" s="10"/>
      <c r="AA20" s="10"/>
      <c r="AB20" s="10"/>
      <c r="AC20" s="37">
        <f t="shared" si="0"/>
        <v>12</v>
      </c>
    </row>
    <row r="21" spans="1:29" x14ac:dyDescent="0.25">
      <c r="A21" s="90"/>
      <c r="B21" s="41">
        <v>0.41666666666666702</v>
      </c>
      <c r="C21" s="46">
        <f>IF(INDEX('Call distribution'!$C$4:$R$10,MATCH('Weekly Roster'!$A18,'Call distribution'!$A$4:$A$10,0),MATCH('Weekly Roster'!$B21,'Call distribution'!$C$2:$R$2,0))&lt;1, ROUNDUP(INDEX('Call distribution'!$C$4:$R$10,MATCH('Weekly Roster'!$A18,'Call distribution'!$A$4:$A$10,0),MATCH('Weekly Roster'!$B21,'Call distribution'!$C$2:$R$2,0)),0),ROUND(INDEX('Call distribution'!$C$4:$R$10,MATCH('Weekly Roster'!$A18,'Call distribution'!$A$4:$A$10,0),MATCH('Weekly Roster'!$B21,'Call distribution'!$C$2:$R$2,0)),0))</f>
        <v>9</v>
      </c>
      <c r="D21" s="71" t="s">
        <v>447</v>
      </c>
      <c r="E21" s="71" t="s">
        <v>447</v>
      </c>
      <c r="F21" s="71" t="s">
        <v>448</v>
      </c>
      <c r="G21" s="71" t="s">
        <v>448</v>
      </c>
      <c r="H21" s="71" t="s">
        <v>449</v>
      </c>
      <c r="I21" s="71" t="s">
        <v>449</v>
      </c>
      <c r="J21" s="71" t="s">
        <v>449</v>
      </c>
      <c r="K21" s="71" t="s">
        <v>449</v>
      </c>
      <c r="L21" s="71" t="s">
        <v>449</v>
      </c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10"/>
      <c r="X21" s="10"/>
      <c r="Y21" s="10"/>
      <c r="Z21" s="10"/>
      <c r="AA21" s="10"/>
      <c r="AB21" s="10"/>
      <c r="AC21" s="37">
        <f t="shared" ref="AC21:AC32" si="1">COUNTA(D21:AB21)</f>
        <v>9</v>
      </c>
    </row>
    <row r="22" spans="1:29" x14ac:dyDescent="0.25">
      <c r="A22" s="90"/>
      <c r="B22" s="41">
        <v>0.45833333333333298</v>
      </c>
      <c r="C22" s="46">
        <f>IF(INDEX('Call distribution'!$C$4:$R$10,MATCH('Weekly Roster'!$A18,'Call distribution'!$A$4:$A$10,0),MATCH('Weekly Roster'!$B22,'Call distribution'!$C$2:$R$2,0))&lt;1, ROUNDUP(INDEX('Call distribution'!$C$4:$R$10,MATCH('Weekly Roster'!$A18,'Call distribution'!$A$4:$A$10,0),MATCH('Weekly Roster'!$B22,'Call distribution'!$C$2:$R$2,0)),0),ROUND(INDEX('Call distribution'!$C$4:$R$10,MATCH('Weekly Roster'!$A18,'Call distribution'!$A$4:$A$10,0),MATCH('Weekly Roster'!$B22,'Call distribution'!$C$2:$R$2,0)),0))</f>
        <v>3</v>
      </c>
      <c r="D22" s="71" t="s">
        <v>447</v>
      </c>
      <c r="E22" s="71" t="s">
        <v>447</v>
      </c>
      <c r="F22" s="71" t="s">
        <v>449</v>
      </c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10"/>
      <c r="X22" s="10"/>
      <c r="Y22" s="10"/>
      <c r="Z22" s="10"/>
      <c r="AA22" s="10"/>
      <c r="AB22" s="10"/>
      <c r="AC22" s="37">
        <f t="shared" si="1"/>
        <v>3</v>
      </c>
    </row>
    <row r="23" spans="1:29" x14ac:dyDescent="0.25">
      <c r="A23" s="90"/>
      <c r="B23" s="41">
        <v>0.5</v>
      </c>
      <c r="C23" s="46">
        <f>IF(INDEX('Call distribution'!$C$4:$R$10,MATCH('Weekly Roster'!$A18,'Call distribution'!$A$4:$A$10,0),MATCH('Weekly Roster'!$B23,'Call distribution'!$C$2:$R$2,0))&lt;1, ROUNDUP(INDEX('Call distribution'!$C$4:$R$10,MATCH('Weekly Roster'!$A18,'Call distribution'!$A$4:$A$10,0),MATCH('Weekly Roster'!$B23,'Call distribution'!$C$2:$R$2,0)),0),ROUND(INDEX('Call distribution'!$C$4:$R$10,MATCH('Weekly Roster'!$A18,'Call distribution'!$A$4:$A$10,0),MATCH('Weekly Roster'!$B23,'Call distribution'!$C$2:$R$2,0)),0))</f>
        <v>5</v>
      </c>
      <c r="D23" s="71" t="s">
        <v>447</v>
      </c>
      <c r="E23" s="71" t="s">
        <v>447</v>
      </c>
      <c r="F23" s="71" t="s">
        <v>449</v>
      </c>
      <c r="G23" s="71" t="s">
        <v>449</v>
      </c>
      <c r="H23" s="71" t="s">
        <v>449</v>
      </c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10"/>
      <c r="X23" s="10"/>
      <c r="Y23" s="10"/>
      <c r="Z23" s="10"/>
      <c r="AA23" s="10"/>
      <c r="AB23" s="10"/>
      <c r="AC23" s="37">
        <f t="shared" si="1"/>
        <v>5</v>
      </c>
    </row>
    <row r="24" spans="1:29" x14ac:dyDescent="0.25">
      <c r="A24" s="90"/>
      <c r="B24" s="41">
        <v>0.54166666666666696</v>
      </c>
      <c r="C24" s="46">
        <f>IF(INDEX('Call distribution'!$C$4:$R$10,MATCH('Weekly Roster'!$A18,'Call distribution'!$A$4:$A$10,0),MATCH('Weekly Roster'!$B24,'Call distribution'!$C$2:$R$2,0))&lt;1, ROUNDUP(INDEX('Call distribution'!$C$4:$R$10,MATCH('Weekly Roster'!$A18,'Call distribution'!$A$4:$A$10,0),MATCH('Weekly Roster'!$B24,'Call distribution'!$C$2:$R$2,0)),0),ROUND(INDEX('Call distribution'!$C$4:$R$10,MATCH('Weekly Roster'!$A18,'Call distribution'!$A$4:$A$10,0),MATCH('Weekly Roster'!$B24,'Call distribution'!$C$2:$R$2,0)),0))</f>
        <v>1</v>
      </c>
      <c r="D24" s="71" t="s">
        <v>447</v>
      </c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10"/>
      <c r="X24" s="10"/>
      <c r="Y24" s="10"/>
      <c r="Z24" s="10"/>
      <c r="AA24" s="10"/>
      <c r="AB24" s="10"/>
      <c r="AC24" s="37">
        <f t="shared" si="1"/>
        <v>1</v>
      </c>
    </row>
    <row r="25" spans="1:29" x14ac:dyDescent="0.25">
      <c r="A25" s="90"/>
      <c r="B25" s="41">
        <v>0.58333333333333304</v>
      </c>
      <c r="C25" s="46">
        <f>IF(INDEX('Call distribution'!$C$4:$R$10,MATCH('Weekly Roster'!$A18,'Call distribution'!$A$4:$A$10,0),MATCH('Weekly Roster'!$B25,'Call distribution'!$C$2:$R$2,0))&lt;1, ROUNDUP(INDEX('Call distribution'!$C$4:$R$10,MATCH('Weekly Roster'!$A18,'Call distribution'!$A$4:$A$10,0),MATCH('Weekly Roster'!$B25,'Call distribution'!$C$2:$R$2,0)),0),ROUND(INDEX('Call distribution'!$C$4:$R$10,MATCH('Weekly Roster'!$A18,'Call distribution'!$A$4:$A$10,0),MATCH('Weekly Roster'!$B25,'Call distribution'!$C$2:$R$2,0)),0))</f>
        <v>1</v>
      </c>
      <c r="D25" s="71" t="s">
        <v>447</v>
      </c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10"/>
      <c r="X25" s="10"/>
      <c r="Y25" s="10"/>
      <c r="Z25" s="10"/>
      <c r="AA25" s="10"/>
      <c r="AB25" s="10"/>
      <c r="AC25" s="37">
        <f t="shared" si="1"/>
        <v>1</v>
      </c>
    </row>
    <row r="26" spans="1:29" x14ac:dyDescent="0.25">
      <c r="A26" s="90"/>
      <c r="B26" s="41">
        <v>0.625</v>
      </c>
      <c r="C26" s="46">
        <f>IF(INDEX('Call distribution'!$C$4:$R$10,MATCH('Weekly Roster'!$A18,'Call distribution'!$A$4:$A$10,0),MATCH('Weekly Roster'!$B26,'Call distribution'!$C$2:$R$2,0))&lt;1, ROUNDUP(INDEX('Call distribution'!$C$4:$R$10,MATCH('Weekly Roster'!$A18,'Call distribution'!$A$4:$A$10,0),MATCH('Weekly Roster'!$B26,'Call distribution'!$C$2:$R$2,0)),0),ROUND(INDEX('Call distribution'!$C$4:$R$10,MATCH('Weekly Roster'!$A18,'Call distribution'!$A$4:$A$10,0),MATCH('Weekly Roster'!$B26,'Call distribution'!$C$2:$R$2,0)),0))</f>
        <v>2</v>
      </c>
      <c r="D26" s="71" t="s">
        <v>447</v>
      </c>
      <c r="E26" s="71" t="s">
        <v>447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10"/>
      <c r="X26" s="10"/>
      <c r="Y26" s="10"/>
      <c r="Z26" s="10"/>
      <c r="AA26" s="10"/>
      <c r="AB26" s="10"/>
      <c r="AC26" s="37">
        <f t="shared" si="1"/>
        <v>2</v>
      </c>
    </row>
    <row r="27" spans="1:29" x14ac:dyDescent="0.25">
      <c r="A27" s="90"/>
      <c r="B27" s="41">
        <v>0.66666666666666696</v>
      </c>
      <c r="C27" s="46">
        <f>IF(INDEX('Call distribution'!$C$4:$R$10,MATCH('Weekly Roster'!$A18,'Call distribution'!$A$4:$A$10,0),MATCH('Weekly Roster'!$B27,'Call distribution'!$C$2:$R$2,0))&lt;1, ROUNDUP(INDEX('Call distribution'!$C$4:$R$10,MATCH('Weekly Roster'!$A18,'Call distribution'!$A$4:$A$10,0),MATCH('Weekly Roster'!$B27,'Call distribution'!$C$2:$R$2,0)),0),ROUND(INDEX('Call distribution'!$C$4:$R$10,MATCH('Weekly Roster'!$A18,'Call distribution'!$A$4:$A$10,0),MATCH('Weekly Roster'!$B27,'Call distribution'!$C$2:$R$2,0)),0))</f>
        <v>7</v>
      </c>
      <c r="D27" s="71" t="s">
        <v>447</v>
      </c>
      <c r="E27" s="71" t="s">
        <v>447</v>
      </c>
      <c r="F27" s="71" t="s">
        <v>449</v>
      </c>
      <c r="G27" s="71" t="s">
        <v>449</v>
      </c>
      <c r="H27" s="71" t="s">
        <v>449</v>
      </c>
      <c r="I27" s="71" t="s">
        <v>449</v>
      </c>
      <c r="J27" s="71" t="s">
        <v>449</v>
      </c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10"/>
      <c r="X27" s="10"/>
      <c r="Y27" s="10"/>
      <c r="Z27" s="10"/>
      <c r="AA27" s="10"/>
      <c r="AB27" s="10"/>
      <c r="AC27" s="37">
        <f t="shared" si="1"/>
        <v>7</v>
      </c>
    </row>
    <row r="28" spans="1:29" x14ac:dyDescent="0.25">
      <c r="A28" s="90"/>
      <c r="B28" s="41">
        <v>0.70833333333333404</v>
      </c>
      <c r="C28" s="46">
        <f>IF(INDEX('Call distribution'!$C$4:$R$10,MATCH('Weekly Roster'!$A18,'Call distribution'!$A$4:$A$10,0),MATCH('Weekly Roster'!$B28,'Call distribution'!$C$2:$R$2,0))&lt;1, ROUNDUP(INDEX('Call distribution'!$C$4:$R$10,MATCH('Weekly Roster'!$A18,'Call distribution'!$A$4:$A$10,0),MATCH('Weekly Roster'!$B28,'Call distribution'!$C$2:$R$2,0)),0),ROUND(INDEX('Call distribution'!$C$4:$R$10,MATCH('Weekly Roster'!$A18,'Call distribution'!$A$4:$A$10,0),MATCH('Weekly Roster'!$B28,'Call distribution'!$C$2:$R$2,0)),0))</f>
        <v>1</v>
      </c>
      <c r="D28" s="71" t="s">
        <v>447</v>
      </c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10"/>
      <c r="X28" s="10"/>
      <c r="Y28" s="10"/>
      <c r="Z28" s="10"/>
      <c r="AA28" s="10"/>
      <c r="AB28" s="10"/>
      <c r="AC28" s="37">
        <f t="shared" si="1"/>
        <v>1</v>
      </c>
    </row>
    <row r="29" spans="1:29" x14ac:dyDescent="0.25">
      <c r="A29" s="90"/>
      <c r="B29" s="41">
        <v>0.75</v>
      </c>
      <c r="C29" s="46">
        <f>IF(INDEX('Call distribution'!$C$4:$R$10,MATCH('Weekly Roster'!$A18,'Call distribution'!$A$4:$A$10,0),MATCH('Weekly Roster'!$B29,'Call distribution'!$C$2:$R$2,0))&lt;1, ROUNDUP(INDEX('Call distribution'!$C$4:$R$10,MATCH('Weekly Roster'!$A18,'Call distribution'!$A$4:$A$10,0),MATCH('Weekly Roster'!$B29,'Call distribution'!$C$2:$R$2,0)),0),ROUND(INDEX('Call distribution'!$C$4:$R$10,MATCH('Weekly Roster'!$A18,'Call distribution'!$A$4:$A$10,0),MATCH('Weekly Roster'!$B29,'Call distribution'!$C$2:$R$2,0)),0))</f>
        <v>5</v>
      </c>
      <c r="D29" s="71" t="s">
        <v>447</v>
      </c>
      <c r="E29" s="71" t="s">
        <v>447</v>
      </c>
      <c r="F29" s="71" t="s">
        <v>449</v>
      </c>
      <c r="G29" s="71" t="s">
        <v>449</v>
      </c>
      <c r="H29" s="71" t="s">
        <v>449</v>
      </c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10"/>
      <c r="X29" s="10"/>
      <c r="Y29" s="10"/>
      <c r="Z29" s="10"/>
      <c r="AA29" s="10"/>
      <c r="AB29" s="10"/>
      <c r="AC29" s="37">
        <f t="shared" si="1"/>
        <v>5</v>
      </c>
    </row>
    <row r="30" spans="1:29" x14ac:dyDescent="0.25">
      <c r="A30" s="90"/>
      <c r="B30" s="41">
        <v>0.79166666666666696</v>
      </c>
      <c r="C30" s="46">
        <f>IF(INDEX('Call distribution'!$C$4:$R$10,MATCH('Weekly Roster'!$A18,'Call distribution'!$A$4:$A$10,0),MATCH('Weekly Roster'!$B30,'Call distribution'!$C$2:$R$2,0))&lt;1, ROUNDUP(INDEX('Call distribution'!$C$4:$R$10,MATCH('Weekly Roster'!$A18,'Call distribution'!$A$4:$A$10,0),MATCH('Weekly Roster'!$B30,'Call distribution'!$C$2:$R$2,0)),0),ROUND(INDEX('Call distribution'!$C$4:$R$10,MATCH('Weekly Roster'!$A18,'Call distribution'!$A$4:$A$10,0),MATCH('Weekly Roster'!$B30,'Call distribution'!$C$2:$R$2,0)),0))</f>
        <v>6</v>
      </c>
      <c r="D30" s="71" t="s">
        <v>447</v>
      </c>
      <c r="E30" s="71" t="s">
        <v>447</v>
      </c>
      <c r="F30" s="71" t="s">
        <v>449</v>
      </c>
      <c r="G30" s="71" t="s">
        <v>449</v>
      </c>
      <c r="H30" s="71" t="s">
        <v>449</v>
      </c>
      <c r="I30" s="71" t="s">
        <v>449</v>
      </c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10"/>
      <c r="X30" s="10"/>
      <c r="Y30" s="10"/>
      <c r="Z30" s="10"/>
      <c r="AA30" s="10"/>
      <c r="AB30" s="10"/>
      <c r="AC30" s="37">
        <f t="shared" si="1"/>
        <v>6</v>
      </c>
    </row>
    <row r="31" spans="1:29" x14ac:dyDescent="0.25">
      <c r="A31" s="90"/>
      <c r="B31" s="41">
        <v>0.83333333333333404</v>
      </c>
      <c r="C31" s="46">
        <f>IF(INDEX('Call distribution'!$C$4:$R$10,MATCH('Weekly Roster'!$A18,'Call distribution'!$A$4:$A$10,0),MATCH('Weekly Roster'!$B31,'Call distribution'!$C$2:$R$2,0))&lt;1, ROUNDUP(INDEX('Call distribution'!$C$4:$R$10,MATCH('Weekly Roster'!$A18,'Call distribution'!$A$4:$A$10,0),MATCH('Weekly Roster'!$B31,'Call distribution'!$C$2:$R$2,0)),0),ROUND(INDEX('Call distribution'!$C$4:$R$10,MATCH('Weekly Roster'!$A18,'Call distribution'!$A$4:$A$10,0),MATCH('Weekly Roster'!$B31,'Call distribution'!$C$2:$R$2,0)),0))</f>
        <v>4</v>
      </c>
      <c r="D31" s="71" t="s">
        <v>447</v>
      </c>
      <c r="E31" s="71" t="s">
        <v>447</v>
      </c>
      <c r="F31" s="71" t="s">
        <v>449</v>
      </c>
      <c r="G31" s="71" t="s">
        <v>449</v>
      </c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10"/>
      <c r="X31" s="10"/>
      <c r="Y31" s="10"/>
      <c r="Z31" s="10"/>
      <c r="AA31" s="10"/>
      <c r="AB31" s="10"/>
      <c r="AC31" s="37">
        <f t="shared" si="1"/>
        <v>4</v>
      </c>
    </row>
    <row r="32" spans="1:29" x14ac:dyDescent="0.25">
      <c r="A32" s="91"/>
      <c r="B32" s="41">
        <v>0.875</v>
      </c>
      <c r="C32" s="46">
        <f>IF(INDEX('Call distribution'!$C$4:$R$10,MATCH('Weekly Roster'!$A18,'Call distribution'!$A$4:$A$10,0),MATCH('Weekly Roster'!$B32,'Call distribution'!$C$2:$R$2,0))&lt;1, ROUNDUP(INDEX('Call distribution'!$C$4:$R$10,MATCH('Weekly Roster'!$A18,'Call distribution'!$A$4:$A$10,0),MATCH('Weekly Roster'!$B32,'Call distribution'!$C$2:$R$2,0)),0),ROUND(INDEX('Call distribution'!$C$4:$R$10,MATCH('Weekly Roster'!$A18,'Call distribution'!$A$4:$A$10,0),MATCH('Weekly Roster'!$B32,'Call distribution'!$C$2:$R$2,0)),0))</f>
        <v>1</v>
      </c>
      <c r="D32" s="71" t="s">
        <v>447</v>
      </c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10"/>
      <c r="X32" s="10"/>
      <c r="Y32" s="10"/>
      <c r="Z32" s="10"/>
      <c r="AA32" s="10"/>
      <c r="AB32" s="10"/>
      <c r="AC32" s="37">
        <f t="shared" si="1"/>
        <v>1</v>
      </c>
    </row>
    <row r="33" spans="1:29" x14ac:dyDescent="0.25">
      <c r="A33" s="92" t="s">
        <v>73</v>
      </c>
      <c r="B33" s="40">
        <v>0.29166666666666669</v>
      </c>
      <c r="C33" s="45">
        <f>IF(INDEX('Call distribution'!$C$4:$R$10,MATCH('Weekly Roster'!$A33,'Call distribution'!$A$4:$A$10,0),MATCH('Weekly Roster'!$B33,'Call distribution'!$C$2:$R$2,0))&lt;1, ROUNDUP(INDEX('Call distribution'!$C$4:$R$10,MATCH('Weekly Roster'!$A33,'Call distribution'!$A$4:$A$10,0),MATCH('Weekly Roster'!$B33,'Call distribution'!$C$2:$R$2,0)),0),ROUND(INDEX('Call distribution'!$C$4:$R$10,MATCH('Weekly Roster'!$A33,'Call distribution'!$A$4:$A$10,0),MATCH('Weekly Roster'!$B33,'Call distribution'!$C$2:$R$2,0)),0))</f>
        <v>5</v>
      </c>
      <c r="D33" s="71" t="s">
        <v>447</v>
      </c>
      <c r="E33" s="71" t="s">
        <v>447</v>
      </c>
      <c r="F33" s="71" t="s">
        <v>448</v>
      </c>
      <c r="G33" s="71" t="s">
        <v>448</v>
      </c>
      <c r="H33" s="71" t="s">
        <v>448</v>
      </c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10"/>
      <c r="X33" s="10"/>
      <c r="Y33" s="10"/>
      <c r="Z33" s="10"/>
      <c r="AA33" s="10"/>
      <c r="AB33" s="10"/>
      <c r="AC33" s="37">
        <f t="shared" ref="AC33:AC47" si="2">COUNTA(D33:AB33)</f>
        <v>5</v>
      </c>
    </row>
    <row r="34" spans="1:29" x14ac:dyDescent="0.25">
      <c r="A34" s="93"/>
      <c r="B34" s="40">
        <v>0.33333333333333298</v>
      </c>
      <c r="C34" s="45">
        <f>IF(INDEX('Call distribution'!$C$4:$R$10,MATCH('Weekly Roster'!$A33,'Call distribution'!$A$4:$A$10,0),MATCH('Weekly Roster'!$B34,'Call distribution'!$C$2:$R$2,0))&lt;1, ROUNDUP(INDEX('Call distribution'!$C$4:$R$10,MATCH('Weekly Roster'!$A33,'Call distribution'!$A$4:$A$10,0),MATCH('Weekly Roster'!$B34,'Call distribution'!$C$2:$R$2,0)),0),ROUND(INDEX('Call distribution'!$C$4:$R$10,MATCH('Weekly Roster'!$A33,'Call distribution'!$A$4:$A$10,0),MATCH('Weekly Roster'!$B34,'Call distribution'!$C$2:$R$2,0)),0))</f>
        <v>19</v>
      </c>
      <c r="D34" s="71" t="s">
        <v>447</v>
      </c>
      <c r="E34" s="71" t="s">
        <v>447</v>
      </c>
      <c r="F34" s="71" t="s">
        <v>448</v>
      </c>
      <c r="G34" s="71" t="s">
        <v>448</v>
      </c>
      <c r="H34" s="71" t="s">
        <v>448</v>
      </c>
      <c r="I34" s="71" t="s">
        <v>448</v>
      </c>
      <c r="J34" s="71" t="s">
        <v>448</v>
      </c>
      <c r="K34" s="71" t="s">
        <v>449</v>
      </c>
      <c r="L34" s="71" t="s">
        <v>449</v>
      </c>
      <c r="M34" s="71" t="s">
        <v>449</v>
      </c>
      <c r="N34" s="71" t="s">
        <v>449</v>
      </c>
      <c r="O34" s="71" t="s">
        <v>449</v>
      </c>
      <c r="P34" s="71" t="s">
        <v>449</v>
      </c>
      <c r="Q34" s="71" t="s">
        <v>449</v>
      </c>
      <c r="R34" s="71" t="s">
        <v>449</v>
      </c>
      <c r="S34" s="71" t="s">
        <v>449</v>
      </c>
      <c r="T34" s="71" t="s">
        <v>449</v>
      </c>
      <c r="U34" s="71" t="s">
        <v>449</v>
      </c>
      <c r="V34" s="71" t="s">
        <v>449</v>
      </c>
      <c r="W34" s="10"/>
      <c r="X34" s="10"/>
      <c r="Y34" s="10"/>
      <c r="Z34" s="10"/>
      <c r="AA34" s="10"/>
      <c r="AB34" s="10"/>
      <c r="AC34" s="37">
        <f>COUNTA(D34:AB34)</f>
        <v>19</v>
      </c>
    </row>
    <row r="35" spans="1:29" x14ac:dyDescent="0.25">
      <c r="A35" s="93"/>
      <c r="B35" s="40">
        <v>0.375</v>
      </c>
      <c r="C35" s="45">
        <f>IF(INDEX('Call distribution'!$C$4:$R$10,MATCH('Weekly Roster'!$A33,'Call distribution'!$A$4:$A$10,0),MATCH('Weekly Roster'!$B35,'Call distribution'!$C$2:$R$2,0))&lt;1, ROUNDUP(INDEX('Call distribution'!$C$4:$R$10,MATCH('Weekly Roster'!$A33,'Call distribution'!$A$4:$A$10,0),MATCH('Weekly Roster'!$B35,'Call distribution'!$C$2:$R$2,0)),0),ROUND(INDEX('Call distribution'!$C$4:$R$10,MATCH('Weekly Roster'!$A33,'Call distribution'!$A$4:$A$10,0),MATCH('Weekly Roster'!$B35,'Call distribution'!$C$2:$R$2,0)),0))</f>
        <v>11</v>
      </c>
      <c r="D35" s="71" t="s">
        <v>447</v>
      </c>
      <c r="E35" s="71" t="s">
        <v>447</v>
      </c>
      <c r="F35" s="71" t="s">
        <v>448</v>
      </c>
      <c r="G35" s="71" t="s">
        <v>448</v>
      </c>
      <c r="H35" s="71" t="s">
        <v>448</v>
      </c>
      <c r="I35" s="71" t="s">
        <v>448</v>
      </c>
      <c r="J35" s="71" t="s">
        <v>448</v>
      </c>
      <c r="K35" s="71" t="s">
        <v>449</v>
      </c>
      <c r="L35" s="71" t="s">
        <v>449</v>
      </c>
      <c r="M35" s="71" t="s">
        <v>449</v>
      </c>
      <c r="N35" s="71" t="s">
        <v>449</v>
      </c>
      <c r="O35" s="71"/>
      <c r="P35" s="71"/>
      <c r="Q35" s="71"/>
      <c r="R35" s="71"/>
      <c r="S35" s="71"/>
      <c r="T35" s="71"/>
      <c r="U35" s="71"/>
      <c r="V35" s="71"/>
      <c r="W35" s="10"/>
      <c r="X35" s="10"/>
      <c r="Y35" s="10"/>
      <c r="Z35" s="10"/>
      <c r="AA35" s="10"/>
      <c r="AB35" s="10"/>
      <c r="AC35" s="37">
        <f>COUNTA(D35:AB35)</f>
        <v>11</v>
      </c>
    </row>
    <row r="36" spans="1:29" x14ac:dyDescent="0.25">
      <c r="A36" s="93"/>
      <c r="B36" s="40">
        <v>0.41666666666666702</v>
      </c>
      <c r="C36" s="45">
        <f>IF(INDEX('Call distribution'!$C$4:$R$10,MATCH('Weekly Roster'!$A33,'Call distribution'!$A$4:$A$10,0),MATCH('Weekly Roster'!$B36,'Call distribution'!$C$2:$R$2,0))&lt;1, ROUNDUP(INDEX('Call distribution'!$C$4:$R$10,MATCH('Weekly Roster'!$A33,'Call distribution'!$A$4:$A$10,0),MATCH('Weekly Roster'!$B36,'Call distribution'!$C$2:$R$2,0)),0),ROUND(INDEX('Call distribution'!$C$4:$R$10,MATCH('Weekly Roster'!$A33,'Call distribution'!$A$4:$A$10,0),MATCH('Weekly Roster'!$B36,'Call distribution'!$C$2:$R$2,0)),0))</f>
        <v>8</v>
      </c>
      <c r="D36" s="71" t="s">
        <v>447</v>
      </c>
      <c r="E36" s="71" t="s">
        <v>447</v>
      </c>
      <c r="F36" s="71" t="s">
        <v>448</v>
      </c>
      <c r="G36" s="71" t="s">
        <v>448</v>
      </c>
      <c r="H36" s="71" t="s">
        <v>449</v>
      </c>
      <c r="I36" s="71" t="s">
        <v>449</v>
      </c>
      <c r="J36" s="71" t="s">
        <v>449</v>
      </c>
      <c r="K36" s="71" t="s">
        <v>449</v>
      </c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10"/>
      <c r="X36" s="10"/>
      <c r="Y36" s="10"/>
      <c r="Z36" s="10"/>
      <c r="AA36" s="10"/>
      <c r="AB36" s="10"/>
      <c r="AC36" s="37">
        <f t="shared" si="2"/>
        <v>8</v>
      </c>
    </row>
    <row r="37" spans="1:29" x14ac:dyDescent="0.25">
      <c r="A37" s="93"/>
      <c r="B37" s="40">
        <v>0.45833333333333298</v>
      </c>
      <c r="C37" s="45">
        <f>IF(INDEX('Call distribution'!$C$4:$R$10,MATCH('Weekly Roster'!$A33,'Call distribution'!$A$4:$A$10,0),MATCH('Weekly Roster'!$B37,'Call distribution'!$C$2:$R$2,0))&lt;1, ROUNDUP(INDEX('Call distribution'!$C$4:$R$10,MATCH('Weekly Roster'!$A33,'Call distribution'!$A$4:$A$10,0),MATCH('Weekly Roster'!$B37,'Call distribution'!$C$2:$R$2,0)),0),ROUND(INDEX('Call distribution'!$C$4:$R$10,MATCH('Weekly Roster'!$A33,'Call distribution'!$A$4:$A$10,0),MATCH('Weekly Roster'!$B37,'Call distribution'!$C$2:$R$2,0)),0))</f>
        <v>3</v>
      </c>
      <c r="D37" s="71" t="s">
        <v>447</v>
      </c>
      <c r="E37" s="71" t="s">
        <v>447</v>
      </c>
      <c r="F37" s="71" t="s">
        <v>449</v>
      </c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10"/>
      <c r="X37" s="10"/>
      <c r="Y37" s="10"/>
      <c r="Z37" s="10"/>
      <c r="AA37" s="10"/>
      <c r="AB37" s="10"/>
      <c r="AC37" s="37">
        <f t="shared" si="2"/>
        <v>3</v>
      </c>
    </row>
    <row r="38" spans="1:29" x14ac:dyDescent="0.25">
      <c r="A38" s="93"/>
      <c r="B38" s="40">
        <v>0.5</v>
      </c>
      <c r="C38" s="45">
        <f>IF(INDEX('Call distribution'!$C$4:$R$10,MATCH('Weekly Roster'!$A33,'Call distribution'!$A$4:$A$10,0),MATCH('Weekly Roster'!$B38,'Call distribution'!$C$2:$R$2,0))&lt;1, ROUNDUP(INDEX('Call distribution'!$C$4:$R$10,MATCH('Weekly Roster'!$A33,'Call distribution'!$A$4:$A$10,0),MATCH('Weekly Roster'!$B38,'Call distribution'!$C$2:$R$2,0)),0),ROUND(INDEX('Call distribution'!$C$4:$R$10,MATCH('Weekly Roster'!$A33,'Call distribution'!$A$4:$A$10,0),MATCH('Weekly Roster'!$B38,'Call distribution'!$C$2:$R$2,0)),0))</f>
        <v>4</v>
      </c>
      <c r="D38" s="71" t="s">
        <v>447</v>
      </c>
      <c r="E38" s="71" t="s">
        <v>447</v>
      </c>
      <c r="F38" s="71" t="s">
        <v>449</v>
      </c>
      <c r="G38" s="71" t="s">
        <v>449</v>
      </c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10"/>
      <c r="X38" s="10"/>
      <c r="Y38" s="10"/>
      <c r="Z38" s="10"/>
      <c r="AA38" s="10"/>
      <c r="AB38" s="10"/>
      <c r="AC38" s="37">
        <f t="shared" si="2"/>
        <v>4</v>
      </c>
    </row>
    <row r="39" spans="1:29" x14ac:dyDescent="0.25">
      <c r="A39" s="93"/>
      <c r="B39" s="40">
        <v>0.54166666666666696</v>
      </c>
      <c r="C39" s="45">
        <f>IF(INDEX('Call distribution'!$C$4:$R$10,MATCH('Weekly Roster'!$A33,'Call distribution'!$A$4:$A$10,0),MATCH('Weekly Roster'!$B39,'Call distribution'!$C$2:$R$2,0))&lt;1, ROUNDUP(INDEX('Call distribution'!$C$4:$R$10,MATCH('Weekly Roster'!$A33,'Call distribution'!$A$4:$A$10,0),MATCH('Weekly Roster'!$B39,'Call distribution'!$C$2:$R$2,0)),0),ROUND(INDEX('Call distribution'!$C$4:$R$10,MATCH('Weekly Roster'!$A33,'Call distribution'!$A$4:$A$10,0),MATCH('Weekly Roster'!$B39,'Call distribution'!$C$2:$R$2,0)),0))</f>
        <v>1</v>
      </c>
      <c r="D39" s="71" t="s">
        <v>447</v>
      </c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10"/>
      <c r="X39" s="10"/>
      <c r="Y39" s="10"/>
      <c r="Z39" s="10"/>
      <c r="AA39" s="10"/>
      <c r="AB39" s="10"/>
      <c r="AC39" s="37">
        <f t="shared" si="2"/>
        <v>1</v>
      </c>
    </row>
    <row r="40" spans="1:29" x14ac:dyDescent="0.25">
      <c r="A40" s="93"/>
      <c r="B40" s="40">
        <v>0.58333333333333304</v>
      </c>
      <c r="C40" s="45">
        <f>IF(INDEX('Call distribution'!$C$4:$R$10,MATCH('Weekly Roster'!$A33,'Call distribution'!$A$4:$A$10,0),MATCH('Weekly Roster'!$B40,'Call distribution'!$C$2:$R$2,0))&lt;1, ROUNDUP(INDEX('Call distribution'!$C$4:$R$10,MATCH('Weekly Roster'!$A33,'Call distribution'!$A$4:$A$10,0),MATCH('Weekly Roster'!$B40,'Call distribution'!$C$2:$R$2,0)),0),ROUND(INDEX('Call distribution'!$C$4:$R$10,MATCH('Weekly Roster'!$A33,'Call distribution'!$A$4:$A$10,0),MATCH('Weekly Roster'!$B40,'Call distribution'!$C$2:$R$2,0)),0))</f>
        <v>1</v>
      </c>
      <c r="D40" s="71" t="s">
        <v>447</v>
      </c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10"/>
      <c r="X40" s="10"/>
      <c r="Y40" s="10"/>
      <c r="Z40" s="10"/>
      <c r="AA40" s="10"/>
      <c r="AB40" s="10"/>
      <c r="AC40" s="37">
        <f t="shared" si="2"/>
        <v>1</v>
      </c>
    </row>
    <row r="41" spans="1:29" x14ac:dyDescent="0.25">
      <c r="A41" s="93"/>
      <c r="B41" s="40">
        <v>0.625</v>
      </c>
      <c r="C41" s="45">
        <f>IF(INDEX('Call distribution'!$C$4:$R$10,MATCH('Weekly Roster'!$A33,'Call distribution'!$A$4:$A$10,0),MATCH('Weekly Roster'!$B41,'Call distribution'!$C$2:$R$2,0))&lt;1, ROUNDUP(INDEX('Call distribution'!$C$4:$R$10,MATCH('Weekly Roster'!$A33,'Call distribution'!$A$4:$A$10,0),MATCH('Weekly Roster'!$B41,'Call distribution'!$C$2:$R$2,0)),0),ROUND(INDEX('Call distribution'!$C$4:$R$10,MATCH('Weekly Roster'!$A33,'Call distribution'!$A$4:$A$10,0),MATCH('Weekly Roster'!$B41,'Call distribution'!$C$2:$R$2,0)),0))</f>
        <v>1</v>
      </c>
      <c r="D41" s="71" t="s">
        <v>447</v>
      </c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10"/>
      <c r="X41" s="10"/>
      <c r="Y41" s="10"/>
      <c r="Z41" s="10"/>
      <c r="AA41" s="10"/>
      <c r="AB41" s="10"/>
      <c r="AC41" s="37">
        <f t="shared" si="2"/>
        <v>1</v>
      </c>
    </row>
    <row r="42" spans="1:29" x14ac:dyDescent="0.25">
      <c r="A42" s="93"/>
      <c r="B42" s="40">
        <v>0.66666666666666696</v>
      </c>
      <c r="C42" s="45">
        <f>IF(INDEX('Call distribution'!$C$4:$R$10,MATCH('Weekly Roster'!$A33,'Call distribution'!$A$4:$A$10,0),MATCH('Weekly Roster'!$B42,'Call distribution'!$C$2:$R$2,0))&lt;1, ROUNDUP(INDEX('Call distribution'!$C$4:$R$10,MATCH('Weekly Roster'!$A33,'Call distribution'!$A$4:$A$10,0),MATCH('Weekly Roster'!$B42,'Call distribution'!$C$2:$R$2,0)),0),ROUND(INDEX('Call distribution'!$C$4:$R$10,MATCH('Weekly Roster'!$A33,'Call distribution'!$A$4:$A$10,0),MATCH('Weekly Roster'!$B42,'Call distribution'!$C$2:$R$2,0)),0))</f>
        <v>7</v>
      </c>
      <c r="D42" s="71" t="s">
        <v>447</v>
      </c>
      <c r="E42" s="71" t="s">
        <v>447</v>
      </c>
      <c r="F42" s="71" t="s">
        <v>449</v>
      </c>
      <c r="G42" s="71" t="s">
        <v>449</v>
      </c>
      <c r="H42" s="71" t="s">
        <v>449</v>
      </c>
      <c r="I42" s="71" t="s">
        <v>449</v>
      </c>
      <c r="J42" s="71" t="s">
        <v>449</v>
      </c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10"/>
      <c r="X42" s="10"/>
      <c r="Y42" s="10"/>
      <c r="Z42" s="10"/>
      <c r="AA42" s="10"/>
      <c r="AB42" s="10"/>
      <c r="AC42" s="37">
        <f t="shared" si="2"/>
        <v>7</v>
      </c>
    </row>
    <row r="43" spans="1:29" x14ac:dyDescent="0.25">
      <c r="A43" s="93"/>
      <c r="B43" s="40">
        <v>0.70833333333333404</v>
      </c>
      <c r="C43" s="45">
        <f>IF(INDEX('Call distribution'!$C$4:$R$10,MATCH('Weekly Roster'!$A33,'Call distribution'!$A$4:$A$10,0),MATCH('Weekly Roster'!$B43,'Call distribution'!$C$2:$R$2,0))&lt;1, ROUNDUP(INDEX('Call distribution'!$C$4:$R$10,MATCH('Weekly Roster'!$A33,'Call distribution'!$A$4:$A$10,0),MATCH('Weekly Roster'!$B43,'Call distribution'!$C$2:$R$2,0)),0),ROUND(INDEX('Call distribution'!$C$4:$R$10,MATCH('Weekly Roster'!$A33,'Call distribution'!$A$4:$A$10,0),MATCH('Weekly Roster'!$B43,'Call distribution'!$C$2:$R$2,0)),0))</f>
        <v>1</v>
      </c>
      <c r="D43" s="71" t="s">
        <v>447</v>
      </c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10"/>
      <c r="X43" s="10"/>
      <c r="Y43" s="10"/>
      <c r="Z43" s="10"/>
      <c r="AA43" s="10"/>
      <c r="AB43" s="10"/>
      <c r="AC43" s="37">
        <f t="shared" si="2"/>
        <v>1</v>
      </c>
    </row>
    <row r="44" spans="1:29" x14ac:dyDescent="0.25">
      <c r="A44" s="93"/>
      <c r="B44" s="40">
        <v>0.75</v>
      </c>
      <c r="C44" s="45">
        <f>IF(INDEX('Call distribution'!$C$4:$R$10,MATCH('Weekly Roster'!$A33,'Call distribution'!$A$4:$A$10,0),MATCH('Weekly Roster'!$B44,'Call distribution'!$C$2:$R$2,0))&lt;1, ROUNDUP(INDEX('Call distribution'!$C$4:$R$10,MATCH('Weekly Roster'!$A33,'Call distribution'!$A$4:$A$10,0),MATCH('Weekly Roster'!$B44,'Call distribution'!$C$2:$R$2,0)),0),ROUND(INDEX('Call distribution'!$C$4:$R$10,MATCH('Weekly Roster'!$A33,'Call distribution'!$A$4:$A$10,0),MATCH('Weekly Roster'!$B44,'Call distribution'!$C$2:$R$2,0)),0))</f>
        <v>5</v>
      </c>
      <c r="D44" s="71" t="s">
        <v>447</v>
      </c>
      <c r="E44" s="71" t="s">
        <v>447</v>
      </c>
      <c r="F44" s="71" t="s">
        <v>449</v>
      </c>
      <c r="G44" s="71" t="s">
        <v>449</v>
      </c>
      <c r="H44" s="71" t="s">
        <v>449</v>
      </c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10"/>
      <c r="X44" s="10"/>
      <c r="Y44" s="10"/>
      <c r="Z44" s="10"/>
      <c r="AA44" s="10"/>
      <c r="AB44" s="10"/>
      <c r="AC44" s="37">
        <f t="shared" si="2"/>
        <v>5</v>
      </c>
    </row>
    <row r="45" spans="1:29" x14ac:dyDescent="0.25">
      <c r="A45" s="93"/>
      <c r="B45" s="40">
        <v>0.79166666666666696</v>
      </c>
      <c r="C45" s="45">
        <f>IF(INDEX('Call distribution'!$C$4:$R$10,MATCH('Weekly Roster'!$A33,'Call distribution'!$A$4:$A$10,0),MATCH('Weekly Roster'!$B45,'Call distribution'!$C$2:$R$2,0))&lt;1, ROUNDUP(INDEX('Call distribution'!$C$4:$R$10,MATCH('Weekly Roster'!$A33,'Call distribution'!$A$4:$A$10,0),MATCH('Weekly Roster'!$B45,'Call distribution'!$C$2:$R$2,0)),0),ROUND(INDEX('Call distribution'!$C$4:$R$10,MATCH('Weekly Roster'!$A33,'Call distribution'!$A$4:$A$10,0),MATCH('Weekly Roster'!$B45,'Call distribution'!$C$2:$R$2,0)),0))</f>
        <v>6</v>
      </c>
      <c r="D45" s="71" t="s">
        <v>447</v>
      </c>
      <c r="E45" s="71" t="s">
        <v>447</v>
      </c>
      <c r="F45" s="71" t="s">
        <v>449</v>
      </c>
      <c r="G45" s="71" t="s">
        <v>449</v>
      </c>
      <c r="H45" s="71" t="s">
        <v>449</v>
      </c>
      <c r="I45" s="71" t="s">
        <v>449</v>
      </c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10"/>
      <c r="X45" s="10"/>
      <c r="Y45" s="10"/>
      <c r="Z45" s="10"/>
      <c r="AA45" s="10"/>
      <c r="AB45" s="10"/>
      <c r="AC45" s="37">
        <f t="shared" si="2"/>
        <v>6</v>
      </c>
    </row>
    <row r="46" spans="1:29" x14ac:dyDescent="0.25">
      <c r="A46" s="93"/>
      <c r="B46" s="40">
        <v>0.83333333333333404</v>
      </c>
      <c r="C46" s="45">
        <f>IF(INDEX('Call distribution'!$C$4:$R$10,MATCH('Weekly Roster'!$A33,'Call distribution'!$A$4:$A$10,0),MATCH('Weekly Roster'!$B46,'Call distribution'!$C$2:$R$2,0))&lt;1, ROUNDUP(INDEX('Call distribution'!$C$4:$R$10,MATCH('Weekly Roster'!$A33,'Call distribution'!$A$4:$A$10,0),MATCH('Weekly Roster'!$B46,'Call distribution'!$C$2:$R$2,0)),0),ROUND(INDEX('Call distribution'!$C$4:$R$10,MATCH('Weekly Roster'!$A33,'Call distribution'!$A$4:$A$10,0),MATCH('Weekly Roster'!$B46,'Call distribution'!$C$2:$R$2,0)),0))</f>
        <v>4</v>
      </c>
      <c r="D46" s="71" t="s">
        <v>447</v>
      </c>
      <c r="E46" s="71" t="s">
        <v>447</v>
      </c>
      <c r="F46" s="71" t="s">
        <v>449</v>
      </c>
      <c r="G46" s="71" t="s">
        <v>449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10"/>
      <c r="X46" s="10"/>
      <c r="Y46" s="10"/>
      <c r="Z46" s="10"/>
      <c r="AA46" s="10"/>
      <c r="AB46" s="10"/>
      <c r="AC46" s="37">
        <f t="shared" si="2"/>
        <v>4</v>
      </c>
    </row>
    <row r="47" spans="1:29" x14ac:dyDescent="0.25">
      <c r="A47" s="94"/>
      <c r="B47" s="40">
        <v>0.875</v>
      </c>
      <c r="C47" s="45">
        <f>IF(INDEX('Call distribution'!$C$4:$R$10,MATCH('Weekly Roster'!$A33,'Call distribution'!$A$4:$A$10,0),MATCH('Weekly Roster'!$B47,'Call distribution'!$C$2:$R$2,0))&lt;1, ROUNDUP(INDEX('Call distribution'!$C$4:$R$10,MATCH('Weekly Roster'!$A33,'Call distribution'!$A$4:$A$10,0),MATCH('Weekly Roster'!$B47,'Call distribution'!$C$2:$R$2,0)),0),ROUND(INDEX('Call distribution'!$C$4:$R$10,MATCH('Weekly Roster'!$A33,'Call distribution'!$A$4:$A$10,0),MATCH('Weekly Roster'!$B47,'Call distribution'!$C$2:$R$2,0)),0))</f>
        <v>1</v>
      </c>
      <c r="D47" s="71" t="s">
        <v>447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10"/>
      <c r="X47" s="10"/>
      <c r="Y47" s="10"/>
      <c r="Z47" s="10"/>
      <c r="AA47" s="10"/>
      <c r="AB47" s="10"/>
      <c r="AC47" s="37">
        <f t="shared" si="2"/>
        <v>1</v>
      </c>
    </row>
    <row r="48" spans="1:29" x14ac:dyDescent="0.25">
      <c r="A48" s="95" t="s">
        <v>74</v>
      </c>
      <c r="B48" s="41">
        <v>0.29166666666666669</v>
      </c>
      <c r="C48" s="46">
        <f>IF(INDEX('Call distribution'!$C$4:$R$10,MATCH('Weekly Roster'!$A48,'Call distribution'!$A$4:$A$10,0),MATCH('Weekly Roster'!$B48,'Call distribution'!$C$2:$R$2,0))&lt;1, ROUNDUP(INDEX('Call distribution'!$C$4:$R$10,MATCH('Weekly Roster'!$A48,'Call distribution'!$A$4:$A$10,0),MATCH('Weekly Roster'!$B48,'Call distribution'!$C$2:$R$2,0)),0),ROUND(INDEX('Call distribution'!$C$4:$R$10,MATCH('Weekly Roster'!$A48,'Call distribution'!$A$4:$A$10,0),MATCH('Weekly Roster'!$B48,'Call distribution'!$C$2:$R$2,0)),0))</f>
        <v>5</v>
      </c>
      <c r="D48" s="71" t="s">
        <v>447</v>
      </c>
      <c r="E48" s="71" t="s">
        <v>447</v>
      </c>
      <c r="F48" s="71" t="s">
        <v>448</v>
      </c>
      <c r="G48" s="71" t="s">
        <v>448</v>
      </c>
      <c r="H48" s="71" t="s">
        <v>448</v>
      </c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10"/>
      <c r="X48" s="10"/>
      <c r="Y48" s="10"/>
      <c r="Z48" s="10"/>
      <c r="AA48" s="10"/>
      <c r="AB48" s="10"/>
      <c r="AC48" s="37">
        <f t="shared" ref="AC48:AC62" si="3">COUNTA(D48:AB48)</f>
        <v>5</v>
      </c>
    </row>
    <row r="49" spans="1:29" x14ac:dyDescent="0.25">
      <c r="A49" s="96"/>
      <c r="B49" s="41">
        <v>0.33333333333333298</v>
      </c>
      <c r="C49" s="46">
        <f>IF(INDEX('Call distribution'!$C$4:$R$10,MATCH('Weekly Roster'!$A48,'Call distribution'!$A$4:$A$10,0),MATCH('Weekly Roster'!$B49,'Call distribution'!$C$2:$R$2,0))&lt;1, ROUNDUP(INDEX('Call distribution'!$C$4:$R$10,MATCH('Weekly Roster'!$A48,'Call distribution'!$A$4:$A$10,0),MATCH('Weekly Roster'!$B49,'Call distribution'!$C$2:$R$2,0)),0),ROUND(INDEX('Call distribution'!$C$4:$R$10,MATCH('Weekly Roster'!$A48,'Call distribution'!$A$4:$A$10,0),MATCH('Weekly Roster'!$B49,'Call distribution'!$C$2:$R$2,0)),0))</f>
        <v>18</v>
      </c>
      <c r="D49" s="71" t="s">
        <v>447</v>
      </c>
      <c r="E49" s="71" t="s">
        <v>447</v>
      </c>
      <c r="F49" s="71" t="s">
        <v>448</v>
      </c>
      <c r="G49" s="71" t="s">
        <v>448</v>
      </c>
      <c r="H49" s="71" t="s">
        <v>448</v>
      </c>
      <c r="I49" s="71" t="s">
        <v>448</v>
      </c>
      <c r="J49" s="71" t="s">
        <v>448</v>
      </c>
      <c r="K49" s="71" t="s">
        <v>449</v>
      </c>
      <c r="L49" s="71" t="s">
        <v>449</v>
      </c>
      <c r="M49" s="71" t="s">
        <v>449</v>
      </c>
      <c r="N49" s="71" t="s">
        <v>449</v>
      </c>
      <c r="O49" s="71" t="s">
        <v>449</v>
      </c>
      <c r="P49" s="71" t="s">
        <v>449</v>
      </c>
      <c r="Q49" s="71" t="s">
        <v>449</v>
      </c>
      <c r="R49" s="71" t="s">
        <v>449</v>
      </c>
      <c r="S49" s="71" t="s">
        <v>449</v>
      </c>
      <c r="T49" s="71" t="s">
        <v>449</v>
      </c>
      <c r="U49" s="71" t="s">
        <v>449</v>
      </c>
      <c r="V49" s="71"/>
      <c r="W49" s="10"/>
      <c r="X49" s="10"/>
      <c r="Y49" s="10"/>
      <c r="Z49" s="10"/>
      <c r="AA49" s="10"/>
      <c r="AB49" s="10"/>
      <c r="AC49" s="37">
        <f>COUNTA(D49:AB49)</f>
        <v>18</v>
      </c>
    </row>
    <row r="50" spans="1:29" x14ac:dyDescent="0.25">
      <c r="A50" s="96"/>
      <c r="B50" s="41">
        <v>0.375</v>
      </c>
      <c r="C50" s="46">
        <f>IF(INDEX('Call distribution'!$C$4:$R$10,MATCH('Weekly Roster'!$A48,'Call distribution'!$A$4:$A$10,0),MATCH('Weekly Roster'!$B50,'Call distribution'!$C$2:$R$2,0))&lt;1, ROUNDUP(INDEX('Call distribution'!$C$4:$R$10,MATCH('Weekly Roster'!$A48,'Call distribution'!$A$4:$A$10,0),MATCH('Weekly Roster'!$B50,'Call distribution'!$C$2:$R$2,0)),0),ROUND(INDEX('Call distribution'!$C$4:$R$10,MATCH('Weekly Roster'!$A48,'Call distribution'!$A$4:$A$10,0),MATCH('Weekly Roster'!$B50,'Call distribution'!$C$2:$R$2,0)),0))</f>
        <v>10</v>
      </c>
      <c r="D50" s="71" t="s">
        <v>447</v>
      </c>
      <c r="E50" s="71" t="s">
        <v>447</v>
      </c>
      <c r="F50" s="71" t="s">
        <v>448</v>
      </c>
      <c r="G50" s="71" t="s">
        <v>448</v>
      </c>
      <c r="H50" s="71" t="s">
        <v>448</v>
      </c>
      <c r="I50" s="71" t="s">
        <v>448</v>
      </c>
      <c r="J50" s="71" t="s">
        <v>448</v>
      </c>
      <c r="K50" s="71" t="s">
        <v>449</v>
      </c>
      <c r="L50" s="71" t="s">
        <v>449</v>
      </c>
      <c r="M50" s="71" t="s">
        <v>449</v>
      </c>
      <c r="N50" s="71"/>
      <c r="O50" s="71"/>
      <c r="P50" s="71"/>
      <c r="Q50" s="71"/>
      <c r="R50" s="71"/>
      <c r="S50" s="71"/>
      <c r="T50" s="71"/>
      <c r="U50" s="71"/>
      <c r="V50" s="71"/>
      <c r="W50" s="10"/>
      <c r="X50" s="10"/>
      <c r="Y50" s="10"/>
      <c r="Z50" s="10"/>
      <c r="AA50" s="10"/>
      <c r="AB50" s="10"/>
      <c r="AC50" s="37">
        <f>COUNTA(D50:AB50)</f>
        <v>10</v>
      </c>
    </row>
    <row r="51" spans="1:29" x14ac:dyDescent="0.25">
      <c r="A51" s="96"/>
      <c r="B51" s="41">
        <v>0.41666666666666702</v>
      </c>
      <c r="C51" s="46">
        <f>IF(INDEX('Call distribution'!$C$4:$R$10,MATCH('Weekly Roster'!$A48,'Call distribution'!$A$4:$A$10,0),MATCH('Weekly Roster'!$B51,'Call distribution'!$C$2:$R$2,0))&lt;1, ROUNDUP(INDEX('Call distribution'!$C$4:$R$10,MATCH('Weekly Roster'!$A48,'Call distribution'!$A$4:$A$10,0),MATCH('Weekly Roster'!$B51,'Call distribution'!$C$2:$R$2,0)),0),ROUND(INDEX('Call distribution'!$C$4:$R$10,MATCH('Weekly Roster'!$A48,'Call distribution'!$A$4:$A$10,0),MATCH('Weekly Roster'!$B51,'Call distribution'!$C$2:$R$2,0)),0))</f>
        <v>8</v>
      </c>
      <c r="D51" s="71" t="s">
        <v>447</v>
      </c>
      <c r="E51" s="71" t="s">
        <v>447</v>
      </c>
      <c r="F51" s="71" t="s">
        <v>448</v>
      </c>
      <c r="G51" s="71" t="s">
        <v>448</v>
      </c>
      <c r="H51" s="71" t="s">
        <v>449</v>
      </c>
      <c r="I51" s="71" t="s">
        <v>449</v>
      </c>
      <c r="J51" s="71" t="s">
        <v>449</v>
      </c>
      <c r="K51" s="71" t="s">
        <v>449</v>
      </c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10"/>
      <c r="X51" s="10"/>
      <c r="Y51" s="10"/>
      <c r="Z51" s="10"/>
      <c r="AA51" s="10"/>
      <c r="AB51" s="10"/>
      <c r="AC51" s="37">
        <f t="shared" si="3"/>
        <v>8</v>
      </c>
    </row>
    <row r="52" spans="1:29" x14ac:dyDescent="0.25">
      <c r="A52" s="96"/>
      <c r="B52" s="41">
        <v>0.45833333333333298</v>
      </c>
      <c r="C52" s="46">
        <f>IF(INDEX('Call distribution'!$C$4:$R$10,MATCH('Weekly Roster'!$A48,'Call distribution'!$A$4:$A$10,0),MATCH('Weekly Roster'!$B52,'Call distribution'!$C$2:$R$2,0))&lt;1, ROUNDUP(INDEX('Call distribution'!$C$4:$R$10,MATCH('Weekly Roster'!$A48,'Call distribution'!$A$4:$A$10,0),MATCH('Weekly Roster'!$B52,'Call distribution'!$C$2:$R$2,0)),0),ROUND(INDEX('Call distribution'!$C$4:$R$10,MATCH('Weekly Roster'!$A48,'Call distribution'!$A$4:$A$10,0),MATCH('Weekly Roster'!$B52,'Call distribution'!$C$2:$R$2,0)),0))</f>
        <v>3</v>
      </c>
      <c r="D52" s="71" t="s">
        <v>447</v>
      </c>
      <c r="E52" s="71" t="s">
        <v>447</v>
      </c>
      <c r="F52" s="71" t="s">
        <v>449</v>
      </c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10"/>
      <c r="X52" s="10"/>
      <c r="Y52" s="10"/>
      <c r="Z52" s="10"/>
      <c r="AA52" s="10"/>
      <c r="AB52" s="10"/>
      <c r="AC52" s="37">
        <f t="shared" si="3"/>
        <v>3</v>
      </c>
    </row>
    <row r="53" spans="1:29" x14ac:dyDescent="0.25">
      <c r="A53" s="96"/>
      <c r="B53" s="41">
        <v>0.5</v>
      </c>
      <c r="C53" s="46">
        <f>IF(INDEX('Call distribution'!$C$4:$R$10,MATCH('Weekly Roster'!$A48,'Call distribution'!$A$4:$A$10,0),MATCH('Weekly Roster'!$B53,'Call distribution'!$C$2:$R$2,0))&lt;1, ROUNDUP(INDEX('Call distribution'!$C$4:$R$10,MATCH('Weekly Roster'!$A48,'Call distribution'!$A$4:$A$10,0),MATCH('Weekly Roster'!$B53,'Call distribution'!$C$2:$R$2,0)),0),ROUND(INDEX('Call distribution'!$C$4:$R$10,MATCH('Weekly Roster'!$A48,'Call distribution'!$A$4:$A$10,0),MATCH('Weekly Roster'!$B53,'Call distribution'!$C$2:$R$2,0)),0))</f>
        <v>4</v>
      </c>
      <c r="D53" s="71" t="s">
        <v>447</v>
      </c>
      <c r="E53" s="71" t="s">
        <v>447</v>
      </c>
      <c r="F53" s="71" t="s">
        <v>449</v>
      </c>
      <c r="G53" s="71" t="s">
        <v>449</v>
      </c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10"/>
      <c r="X53" s="10"/>
      <c r="Y53" s="10"/>
      <c r="Z53" s="10"/>
      <c r="AA53" s="10"/>
      <c r="AB53" s="10"/>
      <c r="AC53" s="37">
        <f t="shared" si="3"/>
        <v>4</v>
      </c>
    </row>
    <row r="54" spans="1:29" x14ac:dyDescent="0.25">
      <c r="A54" s="96"/>
      <c r="B54" s="41">
        <v>0.54166666666666696</v>
      </c>
      <c r="C54" s="46">
        <f>IF(INDEX('Call distribution'!$C$4:$R$10,MATCH('Weekly Roster'!$A48,'Call distribution'!$A$4:$A$10,0),MATCH('Weekly Roster'!$B54,'Call distribution'!$C$2:$R$2,0))&lt;1, ROUNDUP(INDEX('Call distribution'!$C$4:$R$10,MATCH('Weekly Roster'!$A48,'Call distribution'!$A$4:$A$10,0),MATCH('Weekly Roster'!$B54,'Call distribution'!$C$2:$R$2,0)),0),ROUND(INDEX('Call distribution'!$C$4:$R$10,MATCH('Weekly Roster'!$A48,'Call distribution'!$A$4:$A$10,0),MATCH('Weekly Roster'!$B54,'Call distribution'!$C$2:$R$2,0)),0))</f>
        <v>1</v>
      </c>
      <c r="D54" s="71" t="s">
        <v>447</v>
      </c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10"/>
      <c r="X54" s="10"/>
      <c r="Y54" s="10"/>
      <c r="Z54" s="10"/>
      <c r="AA54" s="10"/>
      <c r="AB54" s="10"/>
      <c r="AC54" s="37">
        <f t="shared" si="3"/>
        <v>1</v>
      </c>
    </row>
    <row r="55" spans="1:29" x14ac:dyDescent="0.25">
      <c r="A55" s="96"/>
      <c r="B55" s="41">
        <v>0.58333333333333304</v>
      </c>
      <c r="C55" s="46">
        <f>IF(INDEX('Call distribution'!$C$4:$R$10,MATCH('Weekly Roster'!$A48,'Call distribution'!$A$4:$A$10,0),MATCH('Weekly Roster'!$B55,'Call distribution'!$C$2:$R$2,0))&lt;1, ROUNDUP(INDEX('Call distribution'!$C$4:$R$10,MATCH('Weekly Roster'!$A48,'Call distribution'!$A$4:$A$10,0),MATCH('Weekly Roster'!$B55,'Call distribution'!$C$2:$R$2,0)),0),ROUND(INDEX('Call distribution'!$C$4:$R$10,MATCH('Weekly Roster'!$A48,'Call distribution'!$A$4:$A$10,0),MATCH('Weekly Roster'!$B55,'Call distribution'!$C$2:$R$2,0)),0))</f>
        <v>1</v>
      </c>
      <c r="D55" s="71" t="s">
        <v>447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10"/>
      <c r="X55" s="10"/>
      <c r="Y55" s="10"/>
      <c r="Z55" s="10"/>
      <c r="AA55" s="10"/>
      <c r="AB55" s="10"/>
      <c r="AC55" s="37">
        <f t="shared" si="3"/>
        <v>1</v>
      </c>
    </row>
    <row r="56" spans="1:29" x14ac:dyDescent="0.25">
      <c r="A56" s="96"/>
      <c r="B56" s="41">
        <v>0.625</v>
      </c>
      <c r="C56" s="46">
        <f>IF(INDEX('Call distribution'!$C$4:$R$10,MATCH('Weekly Roster'!$A48,'Call distribution'!$A$4:$A$10,0),MATCH('Weekly Roster'!$B56,'Call distribution'!$C$2:$R$2,0))&lt;1, ROUNDUP(INDEX('Call distribution'!$C$4:$R$10,MATCH('Weekly Roster'!$A48,'Call distribution'!$A$4:$A$10,0),MATCH('Weekly Roster'!$B56,'Call distribution'!$C$2:$R$2,0)),0),ROUND(INDEX('Call distribution'!$C$4:$R$10,MATCH('Weekly Roster'!$A48,'Call distribution'!$A$4:$A$10,0),MATCH('Weekly Roster'!$B56,'Call distribution'!$C$2:$R$2,0)),0))</f>
        <v>1</v>
      </c>
      <c r="D56" s="71" t="s">
        <v>447</v>
      </c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10"/>
      <c r="X56" s="10"/>
      <c r="Y56" s="10"/>
      <c r="Z56" s="10"/>
      <c r="AA56" s="10"/>
      <c r="AB56" s="10"/>
      <c r="AC56" s="37">
        <f t="shared" si="3"/>
        <v>1</v>
      </c>
    </row>
    <row r="57" spans="1:29" x14ac:dyDescent="0.25">
      <c r="A57" s="96"/>
      <c r="B57" s="41">
        <v>0.66666666666666696</v>
      </c>
      <c r="C57" s="46">
        <f>IF(INDEX('Call distribution'!$C$4:$R$10,MATCH('Weekly Roster'!$A48,'Call distribution'!$A$4:$A$10,0),MATCH('Weekly Roster'!$B57,'Call distribution'!$C$2:$R$2,0))&lt;1, ROUNDUP(INDEX('Call distribution'!$C$4:$R$10,MATCH('Weekly Roster'!$A48,'Call distribution'!$A$4:$A$10,0),MATCH('Weekly Roster'!$B57,'Call distribution'!$C$2:$R$2,0)),0),ROUND(INDEX('Call distribution'!$C$4:$R$10,MATCH('Weekly Roster'!$A48,'Call distribution'!$A$4:$A$10,0),MATCH('Weekly Roster'!$B57,'Call distribution'!$C$2:$R$2,0)),0))</f>
        <v>6</v>
      </c>
      <c r="D57" s="71" t="s">
        <v>447</v>
      </c>
      <c r="E57" s="71" t="s">
        <v>447</v>
      </c>
      <c r="F57" s="71" t="s">
        <v>449</v>
      </c>
      <c r="G57" s="71" t="s">
        <v>449</v>
      </c>
      <c r="H57" s="71" t="s">
        <v>449</v>
      </c>
      <c r="I57" s="71" t="s">
        <v>449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10"/>
      <c r="X57" s="10"/>
      <c r="Y57" s="10"/>
      <c r="Z57" s="10"/>
      <c r="AA57" s="10"/>
      <c r="AB57" s="10"/>
      <c r="AC57" s="37">
        <f t="shared" si="3"/>
        <v>6</v>
      </c>
    </row>
    <row r="58" spans="1:29" x14ac:dyDescent="0.25">
      <c r="A58" s="96"/>
      <c r="B58" s="41">
        <v>0.70833333333333404</v>
      </c>
      <c r="C58" s="46">
        <f>IF(INDEX('Call distribution'!$C$4:$R$10,MATCH('Weekly Roster'!$A48,'Call distribution'!$A$4:$A$10,0),MATCH('Weekly Roster'!$B58,'Call distribution'!$C$2:$R$2,0))&lt;1, ROUNDUP(INDEX('Call distribution'!$C$4:$R$10,MATCH('Weekly Roster'!$A48,'Call distribution'!$A$4:$A$10,0),MATCH('Weekly Roster'!$B58,'Call distribution'!$C$2:$R$2,0)),0),ROUND(INDEX('Call distribution'!$C$4:$R$10,MATCH('Weekly Roster'!$A48,'Call distribution'!$A$4:$A$10,0),MATCH('Weekly Roster'!$B58,'Call distribution'!$C$2:$R$2,0)),0))</f>
        <v>1</v>
      </c>
      <c r="D58" s="71" t="s">
        <v>447</v>
      </c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10"/>
      <c r="X58" s="10"/>
      <c r="Y58" s="10"/>
      <c r="Z58" s="10"/>
      <c r="AA58" s="10"/>
      <c r="AB58" s="10"/>
      <c r="AC58" s="37">
        <f t="shared" si="3"/>
        <v>1</v>
      </c>
    </row>
    <row r="59" spans="1:29" x14ac:dyDescent="0.25">
      <c r="A59" s="96"/>
      <c r="B59" s="41">
        <v>0.75</v>
      </c>
      <c r="C59" s="46">
        <f>IF(INDEX('Call distribution'!$C$4:$R$10,MATCH('Weekly Roster'!$A48,'Call distribution'!$A$4:$A$10,0),MATCH('Weekly Roster'!$B59,'Call distribution'!$C$2:$R$2,0))&lt;1, ROUNDUP(INDEX('Call distribution'!$C$4:$R$10,MATCH('Weekly Roster'!$A48,'Call distribution'!$A$4:$A$10,0),MATCH('Weekly Roster'!$B59,'Call distribution'!$C$2:$R$2,0)),0),ROUND(INDEX('Call distribution'!$C$4:$R$10,MATCH('Weekly Roster'!$A48,'Call distribution'!$A$4:$A$10,0),MATCH('Weekly Roster'!$B59,'Call distribution'!$C$2:$R$2,0)),0))</f>
        <v>4</v>
      </c>
      <c r="D59" s="71" t="s">
        <v>447</v>
      </c>
      <c r="E59" s="71" t="s">
        <v>447</v>
      </c>
      <c r="F59" s="71" t="s">
        <v>449</v>
      </c>
      <c r="G59" s="71" t="s">
        <v>449</v>
      </c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10"/>
      <c r="X59" s="10"/>
      <c r="Y59" s="10"/>
      <c r="Z59" s="10"/>
      <c r="AA59" s="10"/>
      <c r="AB59" s="10"/>
      <c r="AC59" s="37">
        <f t="shared" si="3"/>
        <v>4</v>
      </c>
    </row>
    <row r="60" spans="1:29" x14ac:dyDescent="0.25">
      <c r="A60" s="96"/>
      <c r="B60" s="41">
        <v>0.79166666666666696</v>
      </c>
      <c r="C60" s="46">
        <f>IF(INDEX('Call distribution'!$C$4:$R$10,MATCH('Weekly Roster'!$A48,'Call distribution'!$A$4:$A$10,0),MATCH('Weekly Roster'!$B60,'Call distribution'!$C$2:$R$2,0))&lt;1, ROUNDUP(INDEX('Call distribution'!$C$4:$R$10,MATCH('Weekly Roster'!$A48,'Call distribution'!$A$4:$A$10,0),MATCH('Weekly Roster'!$B60,'Call distribution'!$C$2:$R$2,0)),0),ROUND(INDEX('Call distribution'!$C$4:$R$10,MATCH('Weekly Roster'!$A48,'Call distribution'!$A$4:$A$10,0),MATCH('Weekly Roster'!$B60,'Call distribution'!$C$2:$R$2,0)),0))</f>
        <v>6</v>
      </c>
      <c r="D60" s="71" t="s">
        <v>447</v>
      </c>
      <c r="E60" s="71" t="s">
        <v>447</v>
      </c>
      <c r="F60" s="71" t="s">
        <v>449</v>
      </c>
      <c r="G60" s="71" t="s">
        <v>449</v>
      </c>
      <c r="H60" s="71" t="s">
        <v>449</v>
      </c>
      <c r="I60" s="71" t="s">
        <v>449</v>
      </c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10"/>
      <c r="X60" s="10"/>
      <c r="Y60" s="10"/>
      <c r="Z60" s="10"/>
      <c r="AA60" s="10"/>
      <c r="AB60" s="10"/>
      <c r="AC60" s="37">
        <f t="shared" si="3"/>
        <v>6</v>
      </c>
    </row>
    <row r="61" spans="1:29" x14ac:dyDescent="0.25">
      <c r="A61" s="96"/>
      <c r="B61" s="41">
        <v>0.83333333333333404</v>
      </c>
      <c r="C61" s="46">
        <f>IF(INDEX('Call distribution'!$C$4:$R$10,MATCH('Weekly Roster'!$A48,'Call distribution'!$A$4:$A$10,0),MATCH('Weekly Roster'!$B61,'Call distribution'!$C$2:$R$2,0))&lt;1, ROUNDUP(INDEX('Call distribution'!$C$4:$R$10,MATCH('Weekly Roster'!$A48,'Call distribution'!$A$4:$A$10,0),MATCH('Weekly Roster'!$B61,'Call distribution'!$C$2:$R$2,0)),0),ROUND(INDEX('Call distribution'!$C$4:$R$10,MATCH('Weekly Roster'!$A48,'Call distribution'!$A$4:$A$10,0),MATCH('Weekly Roster'!$B61,'Call distribution'!$C$2:$R$2,0)),0))</f>
        <v>4</v>
      </c>
      <c r="D61" s="71" t="s">
        <v>447</v>
      </c>
      <c r="E61" s="71" t="s">
        <v>447</v>
      </c>
      <c r="F61" s="71" t="s">
        <v>449</v>
      </c>
      <c r="G61" s="71" t="s">
        <v>449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10"/>
      <c r="X61" s="10"/>
      <c r="Y61" s="10"/>
      <c r="Z61" s="10"/>
      <c r="AA61" s="10"/>
      <c r="AB61" s="10"/>
      <c r="AC61" s="37">
        <f t="shared" si="3"/>
        <v>4</v>
      </c>
    </row>
    <row r="62" spans="1:29" x14ac:dyDescent="0.25">
      <c r="A62" s="97"/>
      <c r="B62" s="41">
        <v>0.875</v>
      </c>
      <c r="C62" s="46">
        <f>IF(INDEX('Call distribution'!$C$4:$R$10,MATCH('Weekly Roster'!$A48,'Call distribution'!$A$4:$A$10,0),MATCH('Weekly Roster'!$B62,'Call distribution'!$C$2:$R$2,0))&lt;1, ROUNDUP(INDEX('Call distribution'!$C$4:$R$10,MATCH('Weekly Roster'!$A48,'Call distribution'!$A$4:$A$10,0),MATCH('Weekly Roster'!$B62,'Call distribution'!$C$2:$R$2,0)),0),ROUND(INDEX('Call distribution'!$C$4:$R$10,MATCH('Weekly Roster'!$A48,'Call distribution'!$A$4:$A$10,0),MATCH('Weekly Roster'!$B62,'Call distribution'!$C$2:$R$2,0)),0))</f>
        <v>1</v>
      </c>
      <c r="D62" s="71" t="s">
        <v>447</v>
      </c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10"/>
      <c r="X62" s="10"/>
      <c r="Y62" s="10"/>
      <c r="Z62" s="10"/>
      <c r="AA62" s="10"/>
      <c r="AB62" s="10"/>
      <c r="AC62" s="37">
        <f t="shared" si="3"/>
        <v>1</v>
      </c>
    </row>
    <row r="63" spans="1:29" x14ac:dyDescent="0.25">
      <c r="A63" s="72" t="s">
        <v>75</v>
      </c>
      <c r="B63" s="40">
        <v>0.29166666666666669</v>
      </c>
      <c r="C63" s="45">
        <f>IF(INDEX('Call distribution'!$C$4:$R$10,MATCH('Weekly Roster'!$A63,'Call distribution'!$A$4:$A$10,0),MATCH('Weekly Roster'!$B63,'Call distribution'!$C$2:$R$2,0))&lt;1, ROUNDUP(INDEX('Call distribution'!$C$4:$R$10,MATCH('Weekly Roster'!$A63,'Call distribution'!$A$4:$A$10,0),MATCH('Weekly Roster'!$B63,'Call distribution'!$C$2:$R$2,0)),0),ROUND(INDEX('Call distribution'!$C$4:$R$10,MATCH('Weekly Roster'!$A63,'Call distribution'!$A$4:$A$10,0),MATCH('Weekly Roster'!$B63,'Call distribution'!$C$2:$R$2,0)),0))</f>
        <v>4</v>
      </c>
      <c r="D63" s="71" t="s">
        <v>447</v>
      </c>
      <c r="E63" s="71" t="s">
        <v>447</v>
      </c>
      <c r="F63" s="71" t="s">
        <v>448</v>
      </c>
      <c r="G63" s="71" t="s">
        <v>448</v>
      </c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10"/>
      <c r="X63" s="10"/>
      <c r="Y63" s="10"/>
      <c r="Z63" s="10"/>
      <c r="AA63" s="10"/>
      <c r="AB63" s="10"/>
      <c r="AC63" s="37">
        <f t="shared" ref="AC63:AC77" si="4">COUNTA(D63:AB63)</f>
        <v>4</v>
      </c>
    </row>
    <row r="64" spans="1:29" x14ac:dyDescent="0.25">
      <c r="A64" s="73"/>
      <c r="B64" s="40">
        <v>0.33333333333333298</v>
      </c>
      <c r="C64" s="45">
        <f>IF(INDEX('Call distribution'!$C$4:$R$10,MATCH('Weekly Roster'!$A63,'Call distribution'!$A$4:$A$10,0),MATCH('Weekly Roster'!$B64,'Call distribution'!$C$2:$R$2,0))&lt;1, ROUNDUP(INDEX('Call distribution'!$C$4:$R$10,MATCH('Weekly Roster'!$A63,'Call distribution'!$A$4:$A$10,0),MATCH('Weekly Roster'!$B64,'Call distribution'!$C$2:$R$2,0)),0),ROUND(INDEX('Call distribution'!$C$4:$R$10,MATCH('Weekly Roster'!$A63,'Call distribution'!$A$4:$A$10,0),MATCH('Weekly Roster'!$B64,'Call distribution'!$C$2:$R$2,0)),0))</f>
        <v>16</v>
      </c>
      <c r="D64" s="71" t="s">
        <v>447</v>
      </c>
      <c r="E64" s="71" t="s">
        <v>447</v>
      </c>
      <c r="F64" s="71" t="s">
        <v>448</v>
      </c>
      <c r="G64" s="71" t="s">
        <v>448</v>
      </c>
      <c r="H64" s="71" t="s">
        <v>448</v>
      </c>
      <c r="I64" s="71" t="s">
        <v>448</v>
      </c>
      <c r="J64" s="71" t="s">
        <v>448</v>
      </c>
      <c r="K64" s="71" t="s">
        <v>449</v>
      </c>
      <c r="L64" s="71" t="s">
        <v>449</v>
      </c>
      <c r="M64" s="71" t="s">
        <v>449</v>
      </c>
      <c r="N64" s="71" t="s">
        <v>449</v>
      </c>
      <c r="O64" s="71" t="s">
        <v>449</v>
      </c>
      <c r="P64" s="71" t="s">
        <v>449</v>
      </c>
      <c r="Q64" s="71" t="s">
        <v>449</v>
      </c>
      <c r="R64" s="71" t="s">
        <v>449</v>
      </c>
      <c r="S64" s="71" t="s">
        <v>449</v>
      </c>
      <c r="T64" s="71"/>
      <c r="U64" s="71"/>
      <c r="V64" s="71"/>
      <c r="W64" s="10"/>
      <c r="X64" s="10"/>
      <c r="Y64" s="10"/>
      <c r="Z64" s="10"/>
      <c r="AA64" s="10"/>
      <c r="AB64" s="10"/>
      <c r="AC64" s="37">
        <f>COUNTA(D64:AB64)</f>
        <v>16</v>
      </c>
    </row>
    <row r="65" spans="1:29" x14ac:dyDescent="0.25">
      <c r="A65" s="73"/>
      <c r="B65" s="40">
        <v>0.375</v>
      </c>
      <c r="C65" s="45">
        <f>IF(INDEX('Call distribution'!$C$4:$R$10,MATCH('Weekly Roster'!$A63,'Call distribution'!$A$4:$A$10,0),MATCH('Weekly Roster'!$B65,'Call distribution'!$C$2:$R$2,0))&lt;1, ROUNDUP(INDEX('Call distribution'!$C$4:$R$10,MATCH('Weekly Roster'!$A63,'Call distribution'!$A$4:$A$10,0),MATCH('Weekly Roster'!$B65,'Call distribution'!$C$2:$R$2,0)),0),ROUND(INDEX('Call distribution'!$C$4:$R$10,MATCH('Weekly Roster'!$A63,'Call distribution'!$A$4:$A$10,0),MATCH('Weekly Roster'!$B65,'Call distribution'!$C$2:$R$2,0)),0))</f>
        <v>10</v>
      </c>
      <c r="D65" s="71" t="s">
        <v>447</v>
      </c>
      <c r="E65" s="71" t="s">
        <v>447</v>
      </c>
      <c r="F65" s="71" t="s">
        <v>448</v>
      </c>
      <c r="G65" s="71" t="s">
        <v>448</v>
      </c>
      <c r="H65" s="71" t="s">
        <v>448</v>
      </c>
      <c r="I65" s="71" t="s">
        <v>448</v>
      </c>
      <c r="J65" s="71" t="s">
        <v>448</v>
      </c>
      <c r="K65" s="71" t="s">
        <v>449</v>
      </c>
      <c r="L65" s="71" t="s">
        <v>449</v>
      </c>
      <c r="M65" s="71" t="s">
        <v>449</v>
      </c>
      <c r="N65" s="71"/>
      <c r="O65" s="71"/>
      <c r="P65" s="71"/>
      <c r="Q65" s="71"/>
      <c r="R65" s="71"/>
      <c r="S65" s="71"/>
      <c r="T65" s="71"/>
      <c r="U65" s="71"/>
      <c r="V65" s="71"/>
      <c r="W65" s="10"/>
      <c r="X65" s="10"/>
      <c r="Y65" s="10"/>
      <c r="Z65" s="10"/>
      <c r="AA65" s="10"/>
      <c r="AB65" s="10"/>
      <c r="AC65" s="37">
        <f>COUNTA(D65:AB65)</f>
        <v>10</v>
      </c>
    </row>
    <row r="66" spans="1:29" x14ac:dyDescent="0.25">
      <c r="A66" s="73"/>
      <c r="B66" s="40">
        <v>0.41666666666666702</v>
      </c>
      <c r="C66" s="45">
        <f>IF(INDEX('Call distribution'!$C$4:$R$10,MATCH('Weekly Roster'!$A63,'Call distribution'!$A$4:$A$10,0),MATCH('Weekly Roster'!$B66,'Call distribution'!$C$2:$R$2,0))&lt;1, ROUNDUP(INDEX('Call distribution'!$C$4:$R$10,MATCH('Weekly Roster'!$A63,'Call distribution'!$A$4:$A$10,0),MATCH('Weekly Roster'!$B66,'Call distribution'!$C$2:$R$2,0)),0),ROUND(INDEX('Call distribution'!$C$4:$R$10,MATCH('Weekly Roster'!$A63,'Call distribution'!$A$4:$A$10,0),MATCH('Weekly Roster'!$B66,'Call distribution'!$C$2:$R$2,0)),0))</f>
        <v>7</v>
      </c>
      <c r="D66" s="71" t="s">
        <v>447</v>
      </c>
      <c r="E66" s="71" t="s">
        <v>447</v>
      </c>
      <c r="F66" s="71" t="s">
        <v>448</v>
      </c>
      <c r="G66" s="71" t="s">
        <v>448</v>
      </c>
      <c r="H66" s="71" t="s">
        <v>448</v>
      </c>
      <c r="I66" s="71" t="s">
        <v>449</v>
      </c>
      <c r="J66" s="71" t="s">
        <v>449</v>
      </c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10"/>
      <c r="X66" s="10"/>
      <c r="Y66" s="10"/>
      <c r="Z66" s="10"/>
      <c r="AA66" s="10"/>
      <c r="AB66" s="10"/>
      <c r="AC66" s="37">
        <f t="shared" si="4"/>
        <v>7</v>
      </c>
    </row>
    <row r="67" spans="1:29" x14ac:dyDescent="0.25">
      <c r="A67" s="73"/>
      <c r="B67" s="40">
        <v>0.45833333333333298</v>
      </c>
      <c r="C67" s="45">
        <f>IF(INDEX('Call distribution'!$C$4:$R$10,MATCH('Weekly Roster'!$A63,'Call distribution'!$A$4:$A$10,0),MATCH('Weekly Roster'!$B67,'Call distribution'!$C$2:$R$2,0))&lt;1, ROUNDUP(INDEX('Call distribution'!$C$4:$R$10,MATCH('Weekly Roster'!$A63,'Call distribution'!$A$4:$A$10,0),MATCH('Weekly Roster'!$B67,'Call distribution'!$C$2:$R$2,0)),0),ROUND(INDEX('Call distribution'!$C$4:$R$10,MATCH('Weekly Roster'!$A63,'Call distribution'!$A$4:$A$10,0),MATCH('Weekly Roster'!$B67,'Call distribution'!$C$2:$R$2,0)),0))</f>
        <v>3</v>
      </c>
      <c r="D67" s="71" t="s">
        <v>447</v>
      </c>
      <c r="E67" s="71" t="s">
        <v>447</v>
      </c>
      <c r="F67" s="71" t="s">
        <v>449</v>
      </c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10"/>
      <c r="X67" s="10"/>
      <c r="Y67" s="10"/>
      <c r="Z67" s="10"/>
      <c r="AA67" s="10"/>
      <c r="AB67" s="10"/>
      <c r="AC67" s="37">
        <f t="shared" si="4"/>
        <v>3</v>
      </c>
    </row>
    <row r="68" spans="1:29" x14ac:dyDescent="0.25">
      <c r="A68" s="73"/>
      <c r="B68" s="40">
        <v>0.5</v>
      </c>
      <c r="C68" s="45">
        <f>IF(INDEX('Call distribution'!$C$4:$R$10,MATCH('Weekly Roster'!$A63,'Call distribution'!$A$4:$A$10,0),MATCH('Weekly Roster'!$B68,'Call distribution'!$C$2:$R$2,0))&lt;1, ROUNDUP(INDEX('Call distribution'!$C$4:$R$10,MATCH('Weekly Roster'!$A63,'Call distribution'!$A$4:$A$10,0),MATCH('Weekly Roster'!$B68,'Call distribution'!$C$2:$R$2,0)),0),ROUND(INDEX('Call distribution'!$C$4:$R$10,MATCH('Weekly Roster'!$A63,'Call distribution'!$A$4:$A$10,0),MATCH('Weekly Roster'!$B68,'Call distribution'!$C$2:$R$2,0)),0))</f>
        <v>4</v>
      </c>
      <c r="D68" s="71" t="s">
        <v>447</v>
      </c>
      <c r="E68" s="71" t="s">
        <v>447</v>
      </c>
      <c r="F68" s="71" t="s">
        <v>449</v>
      </c>
      <c r="G68" s="71" t="s">
        <v>449</v>
      </c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10"/>
      <c r="X68" s="10"/>
      <c r="Y68" s="10"/>
      <c r="Z68" s="10"/>
      <c r="AA68" s="10"/>
      <c r="AB68" s="10"/>
      <c r="AC68" s="37">
        <f t="shared" si="4"/>
        <v>4</v>
      </c>
    </row>
    <row r="69" spans="1:29" x14ac:dyDescent="0.25">
      <c r="A69" s="73"/>
      <c r="B69" s="40">
        <v>0.54166666666666696</v>
      </c>
      <c r="C69" s="45">
        <f>IF(INDEX('Call distribution'!$C$4:$R$10,MATCH('Weekly Roster'!$A63,'Call distribution'!$A$4:$A$10,0),MATCH('Weekly Roster'!$B69,'Call distribution'!$C$2:$R$2,0))&lt;1, ROUNDUP(INDEX('Call distribution'!$C$4:$R$10,MATCH('Weekly Roster'!$A63,'Call distribution'!$A$4:$A$10,0),MATCH('Weekly Roster'!$B69,'Call distribution'!$C$2:$R$2,0)),0),ROUND(INDEX('Call distribution'!$C$4:$R$10,MATCH('Weekly Roster'!$A63,'Call distribution'!$A$4:$A$10,0),MATCH('Weekly Roster'!$B69,'Call distribution'!$C$2:$R$2,0)),0))</f>
        <v>1</v>
      </c>
      <c r="D69" s="71" t="s">
        <v>447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10"/>
      <c r="X69" s="10"/>
      <c r="Y69" s="10"/>
      <c r="Z69" s="10"/>
      <c r="AA69" s="10"/>
      <c r="AB69" s="10"/>
      <c r="AC69" s="37">
        <f t="shared" si="4"/>
        <v>1</v>
      </c>
    </row>
    <row r="70" spans="1:29" x14ac:dyDescent="0.25">
      <c r="A70" s="73"/>
      <c r="B70" s="40">
        <v>0.58333333333333304</v>
      </c>
      <c r="C70" s="45">
        <f>IF(INDEX('Call distribution'!$C$4:$R$10,MATCH('Weekly Roster'!$A63,'Call distribution'!$A$4:$A$10,0),MATCH('Weekly Roster'!$B70,'Call distribution'!$C$2:$R$2,0))&lt;1, ROUNDUP(INDEX('Call distribution'!$C$4:$R$10,MATCH('Weekly Roster'!$A63,'Call distribution'!$A$4:$A$10,0),MATCH('Weekly Roster'!$B70,'Call distribution'!$C$2:$R$2,0)),0),ROUND(INDEX('Call distribution'!$C$4:$R$10,MATCH('Weekly Roster'!$A63,'Call distribution'!$A$4:$A$10,0),MATCH('Weekly Roster'!$B70,'Call distribution'!$C$2:$R$2,0)),0))</f>
        <v>1</v>
      </c>
      <c r="D70" s="71" t="s">
        <v>447</v>
      </c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10"/>
      <c r="X70" s="10"/>
      <c r="Y70" s="10"/>
      <c r="Z70" s="10"/>
      <c r="AA70" s="10"/>
      <c r="AB70" s="10"/>
      <c r="AC70" s="37">
        <f t="shared" si="4"/>
        <v>1</v>
      </c>
    </row>
    <row r="71" spans="1:29" x14ac:dyDescent="0.25">
      <c r="A71" s="73"/>
      <c r="B71" s="40">
        <v>0.625</v>
      </c>
      <c r="C71" s="45">
        <f>IF(INDEX('Call distribution'!$C$4:$R$10,MATCH('Weekly Roster'!$A63,'Call distribution'!$A$4:$A$10,0),MATCH('Weekly Roster'!$B71,'Call distribution'!$C$2:$R$2,0))&lt;1, ROUNDUP(INDEX('Call distribution'!$C$4:$R$10,MATCH('Weekly Roster'!$A63,'Call distribution'!$A$4:$A$10,0),MATCH('Weekly Roster'!$B71,'Call distribution'!$C$2:$R$2,0)),0),ROUND(INDEX('Call distribution'!$C$4:$R$10,MATCH('Weekly Roster'!$A63,'Call distribution'!$A$4:$A$10,0),MATCH('Weekly Roster'!$B71,'Call distribution'!$C$2:$R$2,0)),0))</f>
        <v>1</v>
      </c>
      <c r="D71" s="71" t="s">
        <v>447</v>
      </c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10"/>
      <c r="X71" s="10"/>
      <c r="Y71" s="10"/>
      <c r="Z71" s="10"/>
      <c r="AA71" s="10"/>
      <c r="AB71" s="10"/>
      <c r="AC71" s="37">
        <f t="shared" si="4"/>
        <v>1</v>
      </c>
    </row>
    <row r="72" spans="1:29" x14ac:dyDescent="0.25">
      <c r="A72" s="73"/>
      <c r="B72" s="40">
        <v>0.66666666666666696</v>
      </c>
      <c r="C72" s="45">
        <f>IF(INDEX('Call distribution'!$C$4:$R$10,MATCH('Weekly Roster'!$A63,'Call distribution'!$A$4:$A$10,0),MATCH('Weekly Roster'!$B72,'Call distribution'!$C$2:$R$2,0))&lt;1, ROUNDUP(INDEX('Call distribution'!$C$4:$R$10,MATCH('Weekly Roster'!$A63,'Call distribution'!$A$4:$A$10,0),MATCH('Weekly Roster'!$B72,'Call distribution'!$C$2:$R$2,0)),0),ROUND(INDEX('Call distribution'!$C$4:$R$10,MATCH('Weekly Roster'!$A63,'Call distribution'!$A$4:$A$10,0),MATCH('Weekly Roster'!$B72,'Call distribution'!$C$2:$R$2,0)),0))</f>
        <v>6</v>
      </c>
      <c r="D72" s="71" t="s">
        <v>447</v>
      </c>
      <c r="E72" s="71" t="s">
        <v>447</v>
      </c>
      <c r="F72" s="71" t="s">
        <v>449</v>
      </c>
      <c r="G72" s="71" t="s">
        <v>449</v>
      </c>
      <c r="H72" s="71" t="s">
        <v>449</v>
      </c>
      <c r="I72" s="71" t="s">
        <v>449</v>
      </c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10"/>
      <c r="X72" s="10"/>
      <c r="Y72" s="10"/>
      <c r="Z72" s="10"/>
      <c r="AA72" s="10"/>
      <c r="AB72" s="10"/>
      <c r="AC72" s="37">
        <f t="shared" si="4"/>
        <v>6</v>
      </c>
    </row>
    <row r="73" spans="1:29" x14ac:dyDescent="0.25">
      <c r="A73" s="73"/>
      <c r="B73" s="40">
        <v>0.70833333333333404</v>
      </c>
      <c r="C73" s="45">
        <f>IF(INDEX('Call distribution'!$C$4:$R$10,MATCH('Weekly Roster'!$A63,'Call distribution'!$A$4:$A$10,0),MATCH('Weekly Roster'!$B73,'Call distribution'!$C$2:$R$2,0))&lt;1, ROUNDUP(INDEX('Call distribution'!$C$4:$R$10,MATCH('Weekly Roster'!$A63,'Call distribution'!$A$4:$A$10,0),MATCH('Weekly Roster'!$B73,'Call distribution'!$C$2:$R$2,0)),0),ROUND(INDEX('Call distribution'!$C$4:$R$10,MATCH('Weekly Roster'!$A63,'Call distribution'!$A$4:$A$10,0),MATCH('Weekly Roster'!$B73,'Call distribution'!$C$2:$R$2,0)),0))</f>
        <v>1</v>
      </c>
      <c r="D73" s="71" t="s">
        <v>447</v>
      </c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10"/>
      <c r="X73" s="10"/>
      <c r="Y73" s="10"/>
      <c r="Z73" s="10"/>
      <c r="AA73" s="10"/>
      <c r="AB73" s="10"/>
      <c r="AC73" s="37">
        <f t="shared" si="4"/>
        <v>1</v>
      </c>
    </row>
    <row r="74" spans="1:29" x14ac:dyDescent="0.25">
      <c r="A74" s="73"/>
      <c r="B74" s="40">
        <v>0.75</v>
      </c>
      <c r="C74" s="45">
        <f>IF(INDEX('Call distribution'!$C$4:$R$10,MATCH('Weekly Roster'!$A63,'Call distribution'!$A$4:$A$10,0),MATCH('Weekly Roster'!$B74,'Call distribution'!$C$2:$R$2,0))&lt;1, ROUNDUP(INDEX('Call distribution'!$C$4:$R$10,MATCH('Weekly Roster'!$A63,'Call distribution'!$A$4:$A$10,0),MATCH('Weekly Roster'!$B74,'Call distribution'!$C$2:$R$2,0)),0),ROUND(INDEX('Call distribution'!$C$4:$R$10,MATCH('Weekly Roster'!$A63,'Call distribution'!$A$4:$A$10,0),MATCH('Weekly Roster'!$B74,'Call distribution'!$C$2:$R$2,0)),0))</f>
        <v>4</v>
      </c>
      <c r="D74" s="71" t="s">
        <v>447</v>
      </c>
      <c r="E74" s="71" t="s">
        <v>447</v>
      </c>
      <c r="F74" s="71" t="s">
        <v>449</v>
      </c>
      <c r="G74" s="71" t="s">
        <v>449</v>
      </c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10"/>
      <c r="X74" s="10"/>
      <c r="Y74" s="10"/>
      <c r="Z74" s="10"/>
      <c r="AA74" s="10"/>
      <c r="AB74" s="10"/>
      <c r="AC74" s="37">
        <f t="shared" si="4"/>
        <v>4</v>
      </c>
    </row>
    <row r="75" spans="1:29" x14ac:dyDescent="0.25">
      <c r="A75" s="73"/>
      <c r="B75" s="40">
        <v>0.79166666666666696</v>
      </c>
      <c r="C75" s="45">
        <f>IF(INDEX('Call distribution'!$C$4:$R$10,MATCH('Weekly Roster'!$A63,'Call distribution'!$A$4:$A$10,0),MATCH('Weekly Roster'!$B75,'Call distribution'!$C$2:$R$2,0))&lt;1, ROUNDUP(INDEX('Call distribution'!$C$4:$R$10,MATCH('Weekly Roster'!$A63,'Call distribution'!$A$4:$A$10,0),MATCH('Weekly Roster'!$B75,'Call distribution'!$C$2:$R$2,0)),0),ROUND(INDEX('Call distribution'!$C$4:$R$10,MATCH('Weekly Roster'!$A63,'Call distribution'!$A$4:$A$10,0),MATCH('Weekly Roster'!$B75,'Call distribution'!$C$2:$R$2,0)),0))</f>
        <v>5</v>
      </c>
      <c r="D75" s="71" t="s">
        <v>447</v>
      </c>
      <c r="E75" s="71" t="s">
        <v>447</v>
      </c>
      <c r="F75" s="71" t="s">
        <v>449</v>
      </c>
      <c r="G75" s="71" t="s">
        <v>449</v>
      </c>
      <c r="H75" s="71" t="s">
        <v>449</v>
      </c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10"/>
      <c r="X75" s="10"/>
      <c r="Y75" s="10"/>
      <c r="Z75" s="10"/>
      <c r="AA75" s="10"/>
      <c r="AB75" s="10"/>
      <c r="AC75" s="37">
        <f t="shared" si="4"/>
        <v>5</v>
      </c>
    </row>
    <row r="76" spans="1:29" x14ac:dyDescent="0.25">
      <c r="A76" s="73"/>
      <c r="B76" s="40">
        <v>0.83333333333333404</v>
      </c>
      <c r="C76" s="45">
        <f>IF(INDEX('Call distribution'!$C$4:$R$10,MATCH('Weekly Roster'!$A63,'Call distribution'!$A$4:$A$10,0),MATCH('Weekly Roster'!$B76,'Call distribution'!$C$2:$R$2,0))&lt;1, ROUNDUP(INDEX('Call distribution'!$C$4:$R$10,MATCH('Weekly Roster'!$A63,'Call distribution'!$A$4:$A$10,0),MATCH('Weekly Roster'!$B76,'Call distribution'!$C$2:$R$2,0)),0),ROUND(INDEX('Call distribution'!$C$4:$R$10,MATCH('Weekly Roster'!$A63,'Call distribution'!$A$4:$A$10,0),MATCH('Weekly Roster'!$B76,'Call distribution'!$C$2:$R$2,0)),0))</f>
        <v>3</v>
      </c>
      <c r="D76" s="71" t="s">
        <v>447</v>
      </c>
      <c r="E76" s="71" t="s">
        <v>447</v>
      </c>
      <c r="F76" s="71" t="s">
        <v>449</v>
      </c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10"/>
      <c r="X76" s="10"/>
      <c r="Y76" s="10"/>
      <c r="Z76" s="10"/>
      <c r="AA76" s="10"/>
      <c r="AB76" s="10"/>
      <c r="AC76" s="37">
        <f t="shared" si="4"/>
        <v>3</v>
      </c>
    </row>
    <row r="77" spans="1:29" x14ac:dyDescent="0.25">
      <c r="A77" s="74"/>
      <c r="B77" s="40">
        <v>0.875</v>
      </c>
      <c r="C77" s="45">
        <f>IF(INDEX('Call distribution'!$C$4:$R$10,MATCH('Weekly Roster'!$A63,'Call distribution'!$A$4:$A$10,0),MATCH('Weekly Roster'!$B77,'Call distribution'!$C$2:$R$2,0))&lt;1, ROUNDUP(INDEX('Call distribution'!$C$4:$R$10,MATCH('Weekly Roster'!$A63,'Call distribution'!$A$4:$A$10,0),MATCH('Weekly Roster'!$B77,'Call distribution'!$C$2:$R$2,0)),0),ROUND(INDEX('Call distribution'!$C$4:$R$10,MATCH('Weekly Roster'!$A63,'Call distribution'!$A$4:$A$10,0),MATCH('Weekly Roster'!$B77,'Call distribution'!$C$2:$R$2,0)),0))</f>
        <v>1</v>
      </c>
      <c r="D77" s="71" t="s">
        <v>447</v>
      </c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10"/>
      <c r="X77" s="10"/>
      <c r="Y77" s="10"/>
      <c r="Z77" s="10"/>
      <c r="AA77" s="10"/>
      <c r="AB77" s="10"/>
      <c r="AC77" s="37">
        <f t="shared" si="4"/>
        <v>1</v>
      </c>
    </row>
    <row r="78" spans="1:29" x14ac:dyDescent="0.25">
      <c r="A78" s="75" t="s">
        <v>76</v>
      </c>
      <c r="B78" s="41">
        <v>0.29166666666666669</v>
      </c>
      <c r="C78" s="46">
        <f>IF(INDEX('Call distribution'!$C$4:$R$10,MATCH('Weekly Roster'!$A78,'Call distribution'!$A$4:$A$10,0),MATCH('Weekly Roster'!$B78,'Call distribution'!$C$2:$R$2,0))&lt;1, ROUNDUP(INDEX('Call distribution'!$C$4:$R$10,MATCH('Weekly Roster'!$A78,'Call distribution'!$A$4:$A$10,0),MATCH('Weekly Roster'!$B78,'Call distribution'!$C$2:$R$2,0)),0),ROUND(INDEX('Call distribution'!$C$4:$R$10,MATCH('Weekly Roster'!$A78,'Call distribution'!$A$4:$A$10,0),MATCH('Weekly Roster'!$B78,'Call distribution'!$C$2:$R$2,0)),0))</f>
        <v>5</v>
      </c>
      <c r="D78" s="71" t="s">
        <v>447</v>
      </c>
      <c r="E78" s="71" t="s">
        <v>447</v>
      </c>
      <c r="F78" s="71" t="s">
        <v>448</v>
      </c>
      <c r="G78" s="71" t="s">
        <v>448</v>
      </c>
      <c r="H78" s="71" t="s">
        <v>448</v>
      </c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10"/>
      <c r="X78" s="10"/>
      <c r="Y78" s="10"/>
      <c r="Z78" s="10"/>
      <c r="AA78" s="10"/>
      <c r="AB78" s="10"/>
      <c r="AC78" s="37">
        <f t="shared" ref="AC78:AC92" si="5">COUNTA(D78:AB78)</f>
        <v>5</v>
      </c>
    </row>
    <row r="79" spans="1:29" x14ac:dyDescent="0.25">
      <c r="A79" s="76"/>
      <c r="B79" s="41">
        <v>0.33333333333333298</v>
      </c>
      <c r="C79" s="46">
        <f>IF(INDEX('Call distribution'!$C$4:$R$10,MATCH('Weekly Roster'!$A78,'Call distribution'!$A$4:$A$10,0),MATCH('Weekly Roster'!$B79,'Call distribution'!$C$2:$R$2,0))&lt;1, ROUNDUP(INDEX('Call distribution'!$C$4:$R$10,MATCH('Weekly Roster'!$A78,'Call distribution'!$A$4:$A$10,0),MATCH('Weekly Roster'!$B79,'Call distribution'!$C$2:$R$2,0)),0),ROUND(INDEX('Call distribution'!$C$4:$R$10,MATCH('Weekly Roster'!$A78,'Call distribution'!$A$4:$A$10,0),MATCH('Weekly Roster'!$B79,'Call distribution'!$C$2:$R$2,0)),0))</f>
        <v>19</v>
      </c>
      <c r="D79" s="71" t="s">
        <v>447</v>
      </c>
      <c r="E79" s="71" t="s">
        <v>447</v>
      </c>
      <c r="F79" s="71" t="s">
        <v>448</v>
      </c>
      <c r="G79" s="71" t="s">
        <v>448</v>
      </c>
      <c r="H79" s="71" t="s">
        <v>448</v>
      </c>
      <c r="I79" s="71" t="s">
        <v>448</v>
      </c>
      <c r="J79" s="71" t="s">
        <v>448</v>
      </c>
      <c r="K79" s="71" t="s">
        <v>449</v>
      </c>
      <c r="L79" s="71" t="s">
        <v>449</v>
      </c>
      <c r="M79" s="71" t="s">
        <v>449</v>
      </c>
      <c r="N79" s="71" t="s">
        <v>449</v>
      </c>
      <c r="O79" s="71" t="s">
        <v>449</v>
      </c>
      <c r="P79" s="71" t="s">
        <v>449</v>
      </c>
      <c r="Q79" s="71" t="s">
        <v>449</v>
      </c>
      <c r="R79" s="71" t="s">
        <v>449</v>
      </c>
      <c r="S79" s="71" t="s">
        <v>449</v>
      </c>
      <c r="T79" s="71" t="s">
        <v>449</v>
      </c>
      <c r="U79" s="71" t="s">
        <v>449</v>
      </c>
      <c r="V79" s="71" t="s">
        <v>449</v>
      </c>
      <c r="W79" s="10"/>
      <c r="X79" s="10"/>
      <c r="Y79" s="10"/>
      <c r="Z79" s="10"/>
      <c r="AA79" s="10"/>
      <c r="AB79" s="10"/>
      <c r="AC79" s="37">
        <f>COUNTA(D79:AB79)</f>
        <v>19</v>
      </c>
    </row>
    <row r="80" spans="1:29" x14ac:dyDescent="0.25">
      <c r="A80" s="76"/>
      <c r="B80" s="41">
        <v>0.375</v>
      </c>
      <c r="C80" s="46">
        <f>IF(INDEX('Call distribution'!$C$4:$R$10,MATCH('Weekly Roster'!$A78,'Call distribution'!$A$4:$A$10,0),MATCH('Weekly Roster'!$B80,'Call distribution'!$C$2:$R$2,0))&lt;1, ROUNDUP(INDEX('Call distribution'!$C$4:$R$10,MATCH('Weekly Roster'!$A78,'Call distribution'!$A$4:$A$10,0),MATCH('Weekly Roster'!$B80,'Call distribution'!$C$2:$R$2,0)),0),ROUND(INDEX('Call distribution'!$C$4:$R$10,MATCH('Weekly Roster'!$A78,'Call distribution'!$A$4:$A$10,0),MATCH('Weekly Roster'!$B80,'Call distribution'!$C$2:$R$2,0)),0))</f>
        <v>11</v>
      </c>
      <c r="D80" s="71" t="s">
        <v>447</v>
      </c>
      <c r="E80" s="71" t="s">
        <v>447</v>
      </c>
      <c r="F80" s="71" t="s">
        <v>448</v>
      </c>
      <c r="G80" s="71" t="s">
        <v>448</v>
      </c>
      <c r="H80" s="71" t="s">
        <v>448</v>
      </c>
      <c r="I80" s="71" t="s">
        <v>448</v>
      </c>
      <c r="J80" s="71" t="s">
        <v>448</v>
      </c>
      <c r="K80" s="71" t="s">
        <v>449</v>
      </c>
      <c r="L80" s="71" t="s">
        <v>449</v>
      </c>
      <c r="M80" s="71" t="s">
        <v>449</v>
      </c>
      <c r="N80" s="71" t="s">
        <v>449</v>
      </c>
      <c r="O80" s="71"/>
      <c r="P80" s="71"/>
      <c r="Q80" s="71"/>
      <c r="R80" s="71"/>
      <c r="S80" s="71"/>
      <c r="T80" s="71"/>
      <c r="U80" s="71"/>
      <c r="V80" s="71"/>
      <c r="W80" s="10"/>
      <c r="X80" s="10"/>
      <c r="Y80" s="10"/>
      <c r="Z80" s="10"/>
      <c r="AA80" s="10"/>
      <c r="AB80" s="10"/>
      <c r="AC80" s="37">
        <f>COUNTA(D80:AB80)</f>
        <v>11</v>
      </c>
    </row>
    <row r="81" spans="1:29" x14ac:dyDescent="0.25">
      <c r="A81" s="76"/>
      <c r="B81" s="41">
        <v>0.41666666666666702</v>
      </c>
      <c r="C81" s="46">
        <f>IF(INDEX('Call distribution'!$C$4:$R$10,MATCH('Weekly Roster'!$A78,'Call distribution'!$A$4:$A$10,0),MATCH('Weekly Roster'!$B81,'Call distribution'!$C$2:$R$2,0))&lt;1, ROUNDUP(INDEX('Call distribution'!$C$4:$R$10,MATCH('Weekly Roster'!$A78,'Call distribution'!$A$4:$A$10,0),MATCH('Weekly Roster'!$B81,'Call distribution'!$C$2:$R$2,0)),0),ROUND(INDEX('Call distribution'!$C$4:$R$10,MATCH('Weekly Roster'!$A78,'Call distribution'!$A$4:$A$10,0),MATCH('Weekly Roster'!$B81,'Call distribution'!$C$2:$R$2,0)),0))</f>
        <v>8</v>
      </c>
      <c r="D81" s="71" t="s">
        <v>447</v>
      </c>
      <c r="E81" s="71" t="s">
        <v>447</v>
      </c>
      <c r="F81" s="71" t="s">
        <v>448</v>
      </c>
      <c r="G81" s="71" t="s">
        <v>448</v>
      </c>
      <c r="H81" s="71" t="s">
        <v>449</v>
      </c>
      <c r="I81" s="71" t="s">
        <v>449</v>
      </c>
      <c r="J81" s="71" t="s">
        <v>449</v>
      </c>
      <c r="K81" s="71" t="s">
        <v>449</v>
      </c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10"/>
      <c r="X81" s="10"/>
      <c r="Y81" s="10"/>
      <c r="Z81" s="10"/>
      <c r="AA81" s="10"/>
      <c r="AB81" s="10"/>
      <c r="AC81" s="37">
        <f t="shared" si="5"/>
        <v>8</v>
      </c>
    </row>
    <row r="82" spans="1:29" x14ac:dyDescent="0.25">
      <c r="A82" s="76"/>
      <c r="B82" s="41">
        <v>0.45833333333333298</v>
      </c>
      <c r="C82" s="46">
        <f>IF(INDEX('Call distribution'!$C$4:$R$10,MATCH('Weekly Roster'!$A78,'Call distribution'!$A$4:$A$10,0),MATCH('Weekly Roster'!$B82,'Call distribution'!$C$2:$R$2,0))&lt;1, ROUNDUP(INDEX('Call distribution'!$C$4:$R$10,MATCH('Weekly Roster'!$A78,'Call distribution'!$A$4:$A$10,0),MATCH('Weekly Roster'!$B82,'Call distribution'!$C$2:$R$2,0)),0),ROUND(INDEX('Call distribution'!$C$4:$R$10,MATCH('Weekly Roster'!$A78,'Call distribution'!$A$4:$A$10,0),MATCH('Weekly Roster'!$B82,'Call distribution'!$C$2:$R$2,0)),0))</f>
        <v>3</v>
      </c>
      <c r="D82" s="71" t="s">
        <v>447</v>
      </c>
      <c r="E82" s="71" t="s">
        <v>447</v>
      </c>
      <c r="F82" s="71" t="s">
        <v>449</v>
      </c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10"/>
      <c r="X82" s="10"/>
      <c r="Y82" s="10"/>
      <c r="Z82" s="10"/>
      <c r="AA82" s="10"/>
      <c r="AB82" s="10"/>
      <c r="AC82" s="37">
        <f t="shared" si="5"/>
        <v>3</v>
      </c>
    </row>
    <row r="83" spans="1:29" x14ac:dyDescent="0.25">
      <c r="A83" s="76"/>
      <c r="B83" s="41">
        <v>0.5</v>
      </c>
      <c r="C83" s="46">
        <f>IF(INDEX('Call distribution'!$C$4:$R$10,MATCH('Weekly Roster'!$A78,'Call distribution'!$A$4:$A$10,0),MATCH('Weekly Roster'!$B83,'Call distribution'!$C$2:$R$2,0))&lt;1, ROUNDUP(INDEX('Call distribution'!$C$4:$R$10,MATCH('Weekly Roster'!$A78,'Call distribution'!$A$4:$A$10,0),MATCH('Weekly Roster'!$B83,'Call distribution'!$C$2:$R$2,0)),0),ROUND(INDEX('Call distribution'!$C$4:$R$10,MATCH('Weekly Roster'!$A78,'Call distribution'!$A$4:$A$10,0),MATCH('Weekly Roster'!$B83,'Call distribution'!$C$2:$R$2,0)),0))</f>
        <v>4</v>
      </c>
      <c r="D83" s="71" t="s">
        <v>447</v>
      </c>
      <c r="E83" s="71" t="s">
        <v>447</v>
      </c>
      <c r="F83" s="71" t="s">
        <v>449</v>
      </c>
      <c r="G83" s="71" t="s">
        <v>449</v>
      </c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10"/>
      <c r="X83" s="10"/>
      <c r="Y83" s="10"/>
      <c r="Z83" s="10"/>
      <c r="AA83" s="10"/>
      <c r="AB83" s="10"/>
      <c r="AC83" s="37">
        <f t="shared" si="5"/>
        <v>4</v>
      </c>
    </row>
    <row r="84" spans="1:29" x14ac:dyDescent="0.25">
      <c r="A84" s="76"/>
      <c r="B84" s="41">
        <v>0.54166666666666696</v>
      </c>
      <c r="C84" s="46">
        <f>IF(INDEX('Call distribution'!$C$4:$R$10,MATCH('Weekly Roster'!$A78,'Call distribution'!$A$4:$A$10,0),MATCH('Weekly Roster'!$B84,'Call distribution'!$C$2:$R$2,0))&lt;1, ROUNDUP(INDEX('Call distribution'!$C$4:$R$10,MATCH('Weekly Roster'!$A78,'Call distribution'!$A$4:$A$10,0),MATCH('Weekly Roster'!$B84,'Call distribution'!$C$2:$R$2,0)),0),ROUND(INDEX('Call distribution'!$C$4:$R$10,MATCH('Weekly Roster'!$A78,'Call distribution'!$A$4:$A$10,0),MATCH('Weekly Roster'!$B84,'Call distribution'!$C$2:$R$2,0)),0))</f>
        <v>1</v>
      </c>
      <c r="D84" s="71" t="s">
        <v>447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10"/>
      <c r="X84" s="10"/>
      <c r="Y84" s="10"/>
      <c r="Z84" s="10"/>
      <c r="AA84" s="10"/>
      <c r="AB84" s="10"/>
      <c r="AC84" s="37">
        <f t="shared" si="5"/>
        <v>1</v>
      </c>
    </row>
    <row r="85" spans="1:29" x14ac:dyDescent="0.25">
      <c r="A85" s="76"/>
      <c r="B85" s="41">
        <v>0.58333333333333304</v>
      </c>
      <c r="C85" s="46">
        <f>IF(INDEX('Call distribution'!$C$4:$R$10,MATCH('Weekly Roster'!$A78,'Call distribution'!$A$4:$A$10,0),MATCH('Weekly Roster'!$B85,'Call distribution'!$C$2:$R$2,0))&lt;1, ROUNDUP(INDEX('Call distribution'!$C$4:$R$10,MATCH('Weekly Roster'!$A78,'Call distribution'!$A$4:$A$10,0),MATCH('Weekly Roster'!$B85,'Call distribution'!$C$2:$R$2,0)),0),ROUND(INDEX('Call distribution'!$C$4:$R$10,MATCH('Weekly Roster'!$A78,'Call distribution'!$A$4:$A$10,0),MATCH('Weekly Roster'!$B85,'Call distribution'!$C$2:$R$2,0)),0))</f>
        <v>1</v>
      </c>
      <c r="D85" s="71" t="s">
        <v>447</v>
      </c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10"/>
      <c r="X85" s="10"/>
      <c r="Y85" s="10"/>
      <c r="Z85" s="10"/>
      <c r="AA85" s="10"/>
      <c r="AB85" s="10"/>
      <c r="AC85" s="37">
        <f t="shared" si="5"/>
        <v>1</v>
      </c>
    </row>
    <row r="86" spans="1:29" x14ac:dyDescent="0.25">
      <c r="A86" s="76"/>
      <c r="B86" s="41">
        <v>0.625</v>
      </c>
      <c r="C86" s="46">
        <f>IF(INDEX('Call distribution'!$C$4:$R$10,MATCH('Weekly Roster'!$A78,'Call distribution'!$A$4:$A$10,0),MATCH('Weekly Roster'!$B86,'Call distribution'!$C$2:$R$2,0))&lt;1, ROUNDUP(INDEX('Call distribution'!$C$4:$R$10,MATCH('Weekly Roster'!$A78,'Call distribution'!$A$4:$A$10,0),MATCH('Weekly Roster'!$B86,'Call distribution'!$C$2:$R$2,0)),0),ROUND(INDEX('Call distribution'!$C$4:$R$10,MATCH('Weekly Roster'!$A78,'Call distribution'!$A$4:$A$10,0),MATCH('Weekly Roster'!$B86,'Call distribution'!$C$2:$R$2,0)),0))</f>
        <v>1</v>
      </c>
      <c r="D86" s="71" t="s">
        <v>447</v>
      </c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10"/>
      <c r="X86" s="10"/>
      <c r="Y86" s="10"/>
      <c r="Z86" s="10"/>
      <c r="AA86" s="10"/>
      <c r="AB86" s="10"/>
      <c r="AC86" s="37">
        <f t="shared" si="5"/>
        <v>1</v>
      </c>
    </row>
    <row r="87" spans="1:29" x14ac:dyDescent="0.25">
      <c r="A87" s="76"/>
      <c r="B87" s="41">
        <v>0.66666666666666696</v>
      </c>
      <c r="C87" s="46">
        <f>IF(INDEX('Call distribution'!$C$4:$R$10,MATCH('Weekly Roster'!$A78,'Call distribution'!$A$4:$A$10,0),MATCH('Weekly Roster'!$B87,'Call distribution'!$C$2:$R$2,0))&lt;1, ROUNDUP(INDEX('Call distribution'!$C$4:$R$10,MATCH('Weekly Roster'!$A78,'Call distribution'!$A$4:$A$10,0),MATCH('Weekly Roster'!$B87,'Call distribution'!$C$2:$R$2,0)),0),ROUND(INDEX('Call distribution'!$C$4:$R$10,MATCH('Weekly Roster'!$A78,'Call distribution'!$A$4:$A$10,0),MATCH('Weekly Roster'!$B87,'Call distribution'!$C$2:$R$2,0)),0))</f>
        <v>7</v>
      </c>
      <c r="D87" s="71" t="s">
        <v>447</v>
      </c>
      <c r="E87" s="71" t="s">
        <v>447</v>
      </c>
      <c r="F87" s="71" t="s">
        <v>449</v>
      </c>
      <c r="G87" s="71" t="s">
        <v>449</v>
      </c>
      <c r="H87" s="71" t="s">
        <v>449</v>
      </c>
      <c r="I87" s="71" t="s">
        <v>449</v>
      </c>
      <c r="J87" s="71" t="s">
        <v>449</v>
      </c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10"/>
      <c r="X87" s="10"/>
      <c r="Y87" s="10"/>
      <c r="Z87" s="10"/>
      <c r="AA87" s="10"/>
      <c r="AB87" s="10"/>
      <c r="AC87" s="37">
        <f t="shared" si="5"/>
        <v>7</v>
      </c>
    </row>
    <row r="88" spans="1:29" x14ac:dyDescent="0.25">
      <c r="A88" s="76"/>
      <c r="B88" s="41">
        <v>0.70833333333333404</v>
      </c>
      <c r="C88" s="46">
        <f>IF(INDEX('Call distribution'!$C$4:$R$10,MATCH('Weekly Roster'!$A78,'Call distribution'!$A$4:$A$10,0),MATCH('Weekly Roster'!$B88,'Call distribution'!$C$2:$R$2,0))&lt;1, ROUNDUP(INDEX('Call distribution'!$C$4:$R$10,MATCH('Weekly Roster'!$A78,'Call distribution'!$A$4:$A$10,0),MATCH('Weekly Roster'!$B88,'Call distribution'!$C$2:$R$2,0)),0),ROUND(INDEX('Call distribution'!$C$4:$R$10,MATCH('Weekly Roster'!$A78,'Call distribution'!$A$4:$A$10,0),MATCH('Weekly Roster'!$B88,'Call distribution'!$C$2:$R$2,0)),0))</f>
        <v>1</v>
      </c>
      <c r="D88" s="71" t="s">
        <v>447</v>
      </c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10"/>
      <c r="X88" s="10"/>
      <c r="Y88" s="10"/>
      <c r="Z88" s="10"/>
      <c r="AA88" s="10"/>
      <c r="AB88" s="10"/>
      <c r="AC88" s="37">
        <f t="shared" si="5"/>
        <v>1</v>
      </c>
    </row>
    <row r="89" spans="1:29" x14ac:dyDescent="0.25">
      <c r="A89" s="76"/>
      <c r="B89" s="41">
        <v>0.75</v>
      </c>
      <c r="C89" s="46">
        <f>IF(INDEX('Call distribution'!$C$4:$R$10,MATCH('Weekly Roster'!$A78,'Call distribution'!$A$4:$A$10,0),MATCH('Weekly Roster'!$B89,'Call distribution'!$C$2:$R$2,0))&lt;1, ROUNDUP(INDEX('Call distribution'!$C$4:$R$10,MATCH('Weekly Roster'!$A78,'Call distribution'!$A$4:$A$10,0),MATCH('Weekly Roster'!$B89,'Call distribution'!$C$2:$R$2,0)),0),ROUND(INDEX('Call distribution'!$C$4:$R$10,MATCH('Weekly Roster'!$A78,'Call distribution'!$A$4:$A$10,0),MATCH('Weekly Roster'!$B89,'Call distribution'!$C$2:$R$2,0)),0))</f>
        <v>5</v>
      </c>
      <c r="D89" s="71" t="s">
        <v>447</v>
      </c>
      <c r="E89" s="71" t="s">
        <v>447</v>
      </c>
      <c r="F89" s="71" t="s">
        <v>449</v>
      </c>
      <c r="G89" s="71" t="s">
        <v>449</v>
      </c>
      <c r="H89" s="71" t="s">
        <v>449</v>
      </c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10"/>
      <c r="X89" s="10"/>
      <c r="Y89" s="10"/>
      <c r="Z89" s="10"/>
      <c r="AA89" s="10"/>
      <c r="AB89" s="10"/>
      <c r="AC89" s="37">
        <f t="shared" si="5"/>
        <v>5</v>
      </c>
    </row>
    <row r="90" spans="1:29" x14ac:dyDescent="0.25">
      <c r="A90" s="76"/>
      <c r="B90" s="41">
        <v>0.79166666666666696</v>
      </c>
      <c r="C90" s="46">
        <f>IF(INDEX('Call distribution'!$C$4:$R$10,MATCH('Weekly Roster'!$A78,'Call distribution'!$A$4:$A$10,0),MATCH('Weekly Roster'!$B90,'Call distribution'!$C$2:$R$2,0))&lt;1, ROUNDUP(INDEX('Call distribution'!$C$4:$R$10,MATCH('Weekly Roster'!$A78,'Call distribution'!$A$4:$A$10,0),MATCH('Weekly Roster'!$B90,'Call distribution'!$C$2:$R$2,0)),0),ROUND(INDEX('Call distribution'!$C$4:$R$10,MATCH('Weekly Roster'!$A78,'Call distribution'!$A$4:$A$10,0),MATCH('Weekly Roster'!$B90,'Call distribution'!$C$2:$R$2,0)),0))</f>
        <v>6</v>
      </c>
      <c r="D90" s="71" t="s">
        <v>447</v>
      </c>
      <c r="E90" s="71" t="s">
        <v>447</v>
      </c>
      <c r="F90" s="71" t="s">
        <v>449</v>
      </c>
      <c r="G90" s="71" t="s">
        <v>449</v>
      </c>
      <c r="H90" s="71" t="s">
        <v>449</v>
      </c>
      <c r="I90" s="71" t="s">
        <v>449</v>
      </c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10"/>
      <c r="X90" s="10"/>
      <c r="Y90" s="10"/>
      <c r="Z90" s="10"/>
      <c r="AA90" s="10"/>
      <c r="AB90" s="10"/>
      <c r="AC90" s="37">
        <f t="shared" si="5"/>
        <v>6</v>
      </c>
    </row>
    <row r="91" spans="1:29" x14ac:dyDescent="0.25">
      <c r="A91" s="76"/>
      <c r="B91" s="41">
        <v>0.83333333333333404</v>
      </c>
      <c r="C91" s="46">
        <f>IF(INDEX('Call distribution'!$C$4:$R$10,MATCH('Weekly Roster'!$A78,'Call distribution'!$A$4:$A$10,0),MATCH('Weekly Roster'!$B91,'Call distribution'!$C$2:$R$2,0))&lt;1, ROUNDUP(INDEX('Call distribution'!$C$4:$R$10,MATCH('Weekly Roster'!$A78,'Call distribution'!$A$4:$A$10,0),MATCH('Weekly Roster'!$B91,'Call distribution'!$C$2:$R$2,0)),0),ROUND(INDEX('Call distribution'!$C$4:$R$10,MATCH('Weekly Roster'!$A78,'Call distribution'!$A$4:$A$10,0),MATCH('Weekly Roster'!$B91,'Call distribution'!$C$2:$R$2,0)),0))</f>
        <v>4</v>
      </c>
      <c r="D91" s="71" t="s">
        <v>447</v>
      </c>
      <c r="E91" s="71" t="s">
        <v>447</v>
      </c>
      <c r="F91" s="71" t="s">
        <v>449</v>
      </c>
      <c r="G91" s="71" t="s">
        <v>449</v>
      </c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10"/>
      <c r="X91" s="10"/>
      <c r="Y91" s="10"/>
      <c r="Z91" s="10"/>
      <c r="AA91" s="10"/>
      <c r="AB91" s="10"/>
      <c r="AC91" s="37">
        <f t="shared" si="5"/>
        <v>4</v>
      </c>
    </row>
    <row r="92" spans="1:29" x14ac:dyDescent="0.25">
      <c r="A92" s="77"/>
      <c r="B92" s="41">
        <v>0.875</v>
      </c>
      <c r="C92" s="46">
        <f>IF(INDEX('Call distribution'!$C$4:$R$10,MATCH('Weekly Roster'!$A78,'Call distribution'!$A$4:$A$10,0),MATCH('Weekly Roster'!$B92,'Call distribution'!$C$2:$R$2,0))&lt;1, ROUNDUP(INDEX('Call distribution'!$C$4:$R$10,MATCH('Weekly Roster'!$A78,'Call distribution'!$A$4:$A$10,0),MATCH('Weekly Roster'!$B92,'Call distribution'!$C$2:$R$2,0)),0),ROUND(INDEX('Call distribution'!$C$4:$R$10,MATCH('Weekly Roster'!$A78,'Call distribution'!$A$4:$A$10,0),MATCH('Weekly Roster'!$B92,'Call distribution'!$C$2:$R$2,0)),0))</f>
        <v>1</v>
      </c>
      <c r="D92" s="71" t="s">
        <v>447</v>
      </c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10"/>
      <c r="X92" s="10"/>
      <c r="Y92" s="10"/>
      <c r="Z92" s="10"/>
      <c r="AA92" s="10"/>
      <c r="AB92" s="10"/>
      <c r="AC92" s="37">
        <f t="shared" si="5"/>
        <v>1</v>
      </c>
    </row>
    <row r="93" spans="1:29" x14ac:dyDescent="0.25">
      <c r="A93" s="78" t="s">
        <v>77</v>
      </c>
      <c r="B93" s="40">
        <v>0.29166666666666669</v>
      </c>
      <c r="C93" s="45">
        <f>IF(INDEX('Call distribution'!$C$4:$R$10,MATCH('Weekly Roster'!$A93,'Call distribution'!$A$4:$A$10,0),MATCH('Weekly Roster'!$B93,'Call distribution'!$C$2:$R$2,0))&lt;1, ROUNDUP(INDEX('Call distribution'!$C$4:$R$10,MATCH('Weekly Roster'!$A93,'Call distribution'!$A$4:$A$10,0),MATCH('Weekly Roster'!$B93,'Call distribution'!$C$2:$R$2,0)),0),ROUND(INDEX('Call distribution'!$C$4:$R$10,MATCH('Weekly Roster'!$A93,'Call distribution'!$A$4:$A$10,0),MATCH('Weekly Roster'!$B93,'Call distribution'!$C$2:$R$2,0)),0))</f>
        <v>5</v>
      </c>
      <c r="D93" s="71" t="s">
        <v>447</v>
      </c>
      <c r="E93" s="71" t="s">
        <v>448</v>
      </c>
      <c r="F93" s="71" t="s">
        <v>448</v>
      </c>
      <c r="G93" s="71" t="s">
        <v>448</v>
      </c>
      <c r="H93" s="71" t="s">
        <v>448</v>
      </c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10"/>
      <c r="X93" s="10"/>
      <c r="Y93" s="10"/>
      <c r="Z93" s="10"/>
      <c r="AA93" s="10"/>
      <c r="AB93" s="10"/>
      <c r="AC93" s="37">
        <f t="shared" ref="AC93:AC107" si="6">COUNTA(D93:AB93)</f>
        <v>5</v>
      </c>
    </row>
    <row r="94" spans="1:29" x14ac:dyDescent="0.25">
      <c r="A94" s="79"/>
      <c r="B94" s="40">
        <v>0.33333333333333298</v>
      </c>
      <c r="C94" s="45">
        <f>IF(INDEX('Call distribution'!$C$4:$R$10,MATCH('Weekly Roster'!$A93,'Call distribution'!$A$4:$A$10,0),MATCH('Weekly Roster'!$B94,'Call distribution'!$C$2:$R$2,0))&lt;1, ROUNDUP(INDEX('Call distribution'!$C$4:$R$10,MATCH('Weekly Roster'!$A93,'Call distribution'!$A$4:$A$10,0),MATCH('Weekly Roster'!$B94,'Call distribution'!$C$2:$R$2,0)),0),ROUND(INDEX('Call distribution'!$C$4:$R$10,MATCH('Weekly Roster'!$A93,'Call distribution'!$A$4:$A$10,0),MATCH('Weekly Roster'!$B94,'Call distribution'!$C$2:$R$2,0)),0))</f>
        <v>17</v>
      </c>
      <c r="D94" s="71" t="s">
        <v>447</v>
      </c>
      <c r="E94" s="71" t="s">
        <v>447</v>
      </c>
      <c r="F94" s="71" t="s">
        <v>448</v>
      </c>
      <c r="G94" s="71" t="s">
        <v>448</v>
      </c>
      <c r="H94" s="71" t="s">
        <v>448</v>
      </c>
      <c r="I94" s="71" t="s">
        <v>448</v>
      </c>
      <c r="J94" s="71" t="s">
        <v>448</v>
      </c>
      <c r="K94" s="71" t="s">
        <v>449</v>
      </c>
      <c r="L94" s="71" t="s">
        <v>449</v>
      </c>
      <c r="M94" s="71" t="s">
        <v>449</v>
      </c>
      <c r="N94" s="71" t="s">
        <v>449</v>
      </c>
      <c r="O94" s="71" t="s">
        <v>449</v>
      </c>
      <c r="P94" s="71" t="s">
        <v>449</v>
      </c>
      <c r="Q94" s="71" t="s">
        <v>449</v>
      </c>
      <c r="R94" s="71" t="s">
        <v>449</v>
      </c>
      <c r="S94" s="71" t="s">
        <v>449</v>
      </c>
      <c r="T94" s="71" t="s">
        <v>449</v>
      </c>
      <c r="U94" s="71"/>
      <c r="V94" s="71"/>
      <c r="W94" s="10"/>
      <c r="X94" s="10"/>
      <c r="Y94" s="10"/>
      <c r="Z94" s="10"/>
      <c r="AA94" s="10"/>
      <c r="AB94" s="10"/>
      <c r="AC94" s="37">
        <f>COUNTA(D94:AB94)</f>
        <v>17</v>
      </c>
    </row>
    <row r="95" spans="1:29" x14ac:dyDescent="0.25">
      <c r="A95" s="79"/>
      <c r="B95" s="40">
        <v>0.375</v>
      </c>
      <c r="C95" s="45">
        <f>IF(INDEX('Call distribution'!$C$4:$R$10,MATCH('Weekly Roster'!$A93,'Call distribution'!$A$4:$A$10,0),MATCH('Weekly Roster'!$B95,'Call distribution'!$C$2:$R$2,0))&lt;1, ROUNDUP(INDEX('Call distribution'!$C$4:$R$10,MATCH('Weekly Roster'!$A93,'Call distribution'!$A$4:$A$10,0),MATCH('Weekly Roster'!$B95,'Call distribution'!$C$2:$R$2,0)),0),ROUND(INDEX('Call distribution'!$C$4:$R$10,MATCH('Weekly Roster'!$A93,'Call distribution'!$A$4:$A$10,0),MATCH('Weekly Roster'!$B95,'Call distribution'!$C$2:$R$2,0)),0))</f>
        <v>10</v>
      </c>
      <c r="D95" s="71" t="s">
        <v>447</v>
      </c>
      <c r="E95" s="71" t="s">
        <v>447</v>
      </c>
      <c r="F95" s="71" t="s">
        <v>448</v>
      </c>
      <c r="G95" s="71" t="s">
        <v>448</v>
      </c>
      <c r="H95" s="71" t="s">
        <v>448</v>
      </c>
      <c r="I95" s="71" t="s">
        <v>448</v>
      </c>
      <c r="J95" s="71" t="s">
        <v>448</v>
      </c>
      <c r="K95" s="71" t="s">
        <v>449</v>
      </c>
      <c r="L95" s="71" t="s">
        <v>449</v>
      </c>
      <c r="M95" s="71" t="s">
        <v>449</v>
      </c>
      <c r="N95" s="71"/>
      <c r="O95" s="71"/>
      <c r="P95" s="71"/>
      <c r="Q95" s="71"/>
      <c r="R95" s="71"/>
      <c r="S95" s="71"/>
      <c r="T95" s="71"/>
      <c r="U95" s="71"/>
      <c r="V95" s="71"/>
      <c r="W95" s="10"/>
      <c r="X95" s="10"/>
      <c r="Y95" s="10"/>
      <c r="Z95" s="10"/>
      <c r="AA95" s="10"/>
      <c r="AB95" s="10"/>
      <c r="AC95" s="37">
        <f>COUNTA(D95:AB95)</f>
        <v>10</v>
      </c>
    </row>
    <row r="96" spans="1:29" x14ac:dyDescent="0.25">
      <c r="A96" s="79"/>
      <c r="B96" s="40">
        <v>0.41666666666666702</v>
      </c>
      <c r="C96" s="45">
        <f>IF(INDEX('Call distribution'!$C$4:$R$10,MATCH('Weekly Roster'!$A93,'Call distribution'!$A$4:$A$10,0),MATCH('Weekly Roster'!$B96,'Call distribution'!$C$2:$R$2,0))&lt;1, ROUNDUP(INDEX('Call distribution'!$C$4:$R$10,MATCH('Weekly Roster'!$A93,'Call distribution'!$A$4:$A$10,0),MATCH('Weekly Roster'!$B96,'Call distribution'!$C$2:$R$2,0)),0),ROUND(INDEX('Call distribution'!$C$4:$R$10,MATCH('Weekly Roster'!$A93,'Call distribution'!$A$4:$A$10,0),MATCH('Weekly Roster'!$B96,'Call distribution'!$C$2:$R$2,0)),0))</f>
        <v>8</v>
      </c>
      <c r="D96" s="71" t="s">
        <v>447</v>
      </c>
      <c r="E96" s="71" t="s">
        <v>447</v>
      </c>
      <c r="F96" s="71" t="s">
        <v>448</v>
      </c>
      <c r="G96" s="71" t="s">
        <v>449</v>
      </c>
      <c r="H96" s="71" t="s">
        <v>449</v>
      </c>
      <c r="I96" s="71" t="s">
        <v>449</v>
      </c>
      <c r="J96" s="71" t="s">
        <v>449</v>
      </c>
      <c r="K96" s="71" t="s">
        <v>449</v>
      </c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10"/>
      <c r="X96" s="10"/>
      <c r="Y96" s="10"/>
      <c r="Z96" s="10"/>
      <c r="AA96" s="10"/>
      <c r="AB96" s="10"/>
      <c r="AC96" s="37">
        <f t="shared" si="6"/>
        <v>8</v>
      </c>
    </row>
    <row r="97" spans="1:29" x14ac:dyDescent="0.25">
      <c r="A97" s="79"/>
      <c r="B97" s="40">
        <v>0.45833333333333298</v>
      </c>
      <c r="C97" s="45">
        <f>IF(INDEX('Call distribution'!$C$4:$R$10,MATCH('Weekly Roster'!$A93,'Call distribution'!$A$4:$A$10,0),MATCH('Weekly Roster'!$B97,'Call distribution'!$C$2:$R$2,0))&lt;1, ROUNDUP(INDEX('Call distribution'!$C$4:$R$10,MATCH('Weekly Roster'!$A93,'Call distribution'!$A$4:$A$10,0),MATCH('Weekly Roster'!$B97,'Call distribution'!$C$2:$R$2,0)),0),ROUND(INDEX('Call distribution'!$C$4:$R$10,MATCH('Weekly Roster'!$A93,'Call distribution'!$A$4:$A$10,0),MATCH('Weekly Roster'!$B97,'Call distribution'!$C$2:$R$2,0)),0))</f>
        <v>3</v>
      </c>
      <c r="D97" s="71" t="s">
        <v>447</v>
      </c>
      <c r="E97" s="71" t="s">
        <v>447</v>
      </c>
      <c r="F97" s="71" t="s">
        <v>449</v>
      </c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10"/>
      <c r="X97" s="10"/>
      <c r="Y97" s="10"/>
      <c r="Z97" s="10"/>
      <c r="AA97" s="10"/>
      <c r="AB97" s="10"/>
      <c r="AC97" s="37">
        <f t="shared" si="6"/>
        <v>3</v>
      </c>
    </row>
    <row r="98" spans="1:29" x14ac:dyDescent="0.25">
      <c r="A98" s="79"/>
      <c r="B98" s="40">
        <v>0.5</v>
      </c>
      <c r="C98" s="45">
        <f>IF(INDEX('Call distribution'!$C$4:$R$10,MATCH('Weekly Roster'!$A93,'Call distribution'!$A$4:$A$10,0),MATCH('Weekly Roster'!$B98,'Call distribution'!$C$2:$R$2,0))&lt;1, ROUNDUP(INDEX('Call distribution'!$C$4:$R$10,MATCH('Weekly Roster'!$A93,'Call distribution'!$A$4:$A$10,0),MATCH('Weekly Roster'!$B98,'Call distribution'!$C$2:$R$2,0)),0),ROUND(INDEX('Call distribution'!$C$4:$R$10,MATCH('Weekly Roster'!$A93,'Call distribution'!$A$4:$A$10,0),MATCH('Weekly Roster'!$B98,'Call distribution'!$C$2:$R$2,0)),0))</f>
        <v>4</v>
      </c>
      <c r="D98" s="71" t="s">
        <v>447</v>
      </c>
      <c r="E98" s="71" t="s">
        <v>447</v>
      </c>
      <c r="F98" s="71" t="s">
        <v>449</v>
      </c>
      <c r="G98" s="71" t="s">
        <v>449</v>
      </c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10"/>
      <c r="X98" s="10"/>
      <c r="Y98" s="10"/>
      <c r="Z98" s="10"/>
      <c r="AA98" s="10"/>
      <c r="AB98" s="10"/>
      <c r="AC98" s="37">
        <f t="shared" si="6"/>
        <v>4</v>
      </c>
    </row>
    <row r="99" spans="1:29" x14ac:dyDescent="0.25">
      <c r="A99" s="79"/>
      <c r="B99" s="40">
        <v>0.54166666666666696</v>
      </c>
      <c r="C99" s="45">
        <f>IF(INDEX('Call distribution'!$C$4:$R$10,MATCH('Weekly Roster'!$A93,'Call distribution'!$A$4:$A$10,0),MATCH('Weekly Roster'!$B99,'Call distribution'!$C$2:$R$2,0))&lt;1, ROUNDUP(INDEX('Call distribution'!$C$4:$R$10,MATCH('Weekly Roster'!$A93,'Call distribution'!$A$4:$A$10,0),MATCH('Weekly Roster'!$B99,'Call distribution'!$C$2:$R$2,0)),0),ROUND(INDEX('Call distribution'!$C$4:$R$10,MATCH('Weekly Roster'!$A93,'Call distribution'!$A$4:$A$10,0),MATCH('Weekly Roster'!$B99,'Call distribution'!$C$2:$R$2,0)),0))</f>
        <v>1</v>
      </c>
      <c r="D99" s="71" t="s">
        <v>447</v>
      </c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10"/>
      <c r="X99" s="10"/>
      <c r="Y99" s="10"/>
      <c r="Z99" s="10"/>
      <c r="AA99" s="10"/>
      <c r="AB99" s="10"/>
      <c r="AC99" s="37">
        <f t="shared" si="6"/>
        <v>1</v>
      </c>
    </row>
    <row r="100" spans="1:29" x14ac:dyDescent="0.25">
      <c r="A100" s="79"/>
      <c r="B100" s="40">
        <v>0.58333333333333304</v>
      </c>
      <c r="C100" s="45">
        <f>IF(INDEX('Call distribution'!$C$4:$R$10,MATCH('Weekly Roster'!$A93,'Call distribution'!$A$4:$A$10,0),MATCH('Weekly Roster'!$B100,'Call distribution'!$C$2:$R$2,0))&lt;1, ROUNDUP(INDEX('Call distribution'!$C$4:$R$10,MATCH('Weekly Roster'!$A93,'Call distribution'!$A$4:$A$10,0),MATCH('Weekly Roster'!$B100,'Call distribution'!$C$2:$R$2,0)),0),ROUND(INDEX('Call distribution'!$C$4:$R$10,MATCH('Weekly Roster'!$A93,'Call distribution'!$A$4:$A$10,0),MATCH('Weekly Roster'!$B100,'Call distribution'!$C$2:$R$2,0)),0))</f>
        <v>1</v>
      </c>
      <c r="D100" s="71" t="s">
        <v>447</v>
      </c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10"/>
      <c r="X100" s="10"/>
      <c r="Y100" s="10"/>
      <c r="Z100" s="10"/>
      <c r="AA100" s="10"/>
      <c r="AB100" s="10"/>
      <c r="AC100" s="37">
        <f t="shared" si="6"/>
        <v>1</v>
      </c>
    </row>
    <row r="101" spans="1:29" x14ac:dyDescent="0.25">
      <c r="A101" s="79"/>
      <c r="B101" s="40">
        <v>0.625</v>
      </c>
      <c r="C101" s="45">
        <f>IF(INDEX('Call distribution'!$C$4:$R$10,MATCH('Weekly Roster'!$A93,'Call distribution'!$A$4:$A$10,0),MATCH('Weekly Roster'!$B101,'Call distribution'!$C$2:$R$2,0))&lt;1, ROUNDUP(INDEX('Call distribution'!$C$4:$R$10,MATCH('Weekly Roster'!$A93,'Call distribution'!$A$4:$A$10,0),MATCH('Weekly Roster'!$B101,'Call distribution'!$C$2:$R$2,0)),0),ROUND(INDEX('Call distribution'!$C$4:$R$10,MATCH('Weekly Roster'!$A93,'Call distribution'!$A$4:$A$10,0),MATCH('Weekly Roster'!$B101,'Call distribution'!$C$2:$R$2,0)),0))</f>
        <v>1</v>
      </c>
      <c r="D101" s="71" t="s">
        <v>447</v>
      </c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10"/>
      <c r="X101" s="10"/>
      <c r="Y101" s="10"/>
      <c r="Z101" s="10"/>
      <c r="AA101" s="10"/>
      <c r="AB101" s="10"/>
      <c r="AC101" s="37">
        <f t="shared" si="6"/>
        <v>1</v>
      </c>
    </row>
    <row r="102" spans="1:29" x14ac:dyDescent="0.25">
      <c r="A102" s="79"/>
      <c r="B102" s="40">
        <v>0.66666666666666696</v>
      </c>
      <c r="C102" s="45">
        <f>C103</f>
        <v>1</v>
      </c>
      <c r="D102" s="71" t="s">
        <v>447</v>
      </c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10"/>
      <c r="X102" s="10"/>
      <c r="Y102" s="10"/>
      <c r="Z102" s="10"/>
      <c r="AA102" s="10"/>
      <c r="AB102" s="10"/>
      <c r="AC102" s="37">
        <f t="shared" si="6"/>
        <v>1</v>
      </c>
    </row>
    <row r="103" spans="1:29" x14ac:dyDescent="0.25">
      <c r="A103" s="79"/>
      <c r="B103" s="40">
        <v>0.70833333333333404</v>
      </c>
      <c r="C103" s="45">
        <f>IF(INDEX('Call distribution'!$C$4:$R$10,MATCH('Weekly Roster'!$A93,'Call distribution'!$A$4:$A$10,0),MATCH('Weekly Roster'!$B103,'Call distribution'!$C$2:$R$2,0))&lt;1, ROUNDUP(INDEX('Call distribution'!$C$4:$R$10,MATCH('Weekly Roster'!$A93,'Call distribution'!$A$4:$A$10,0),MATCH('Weekly Roster'!$B103,'Call distribution'!$C$2:$R$2,0)),0),ROUND(INDEX('Call distribution'!$C$4:$R$10,MATCH('Weekly Roster'!$A93,'Call distribution'!$A$4:$A$10,0),MATCH('Weekly Roster'!$B103,'Call distribution'!$C$2:$R$2,0)),0))</f>
        <v>1</v>
      </c>
      <c r="D103" s="71" t="s">
        <v>447</v>
      </c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10"/>
      <c r="X103" s="10"/>
      <c r="Y103" s="10"/>
      <c r="Z103" s="10"/>
      <c r="AA103" s="10"/>
      <c r="AB103" s="10"/>
      <c r="AC103" s="37">
        <f t="shared" si="6"/>
        <v>1</v>
      </c>
    </row>
    <row r="104" spans="1:29" x14ac:dyDescent="0.25">
      <c r="A104" s="79"/>
      <c r="B104" s="40">
        <v>0.75</v>
      </c>
      <c r="C104" s="45">
        <f>IF(INDEX('Call distribution'!$C$4:$R$10,MATCH('Weekly Roster'!$A93,'Call distribution'!$A$4:$A$10,0),MATCH('Weekly Roster'!$B104,'Call distribution'!$C$2:$R$2,0))&lt;1, ROUNDUP(INDEX('Call distribution'!$C$4:$R$10,MATCH('Weekly Roster'!$A93,'Call distribution'!$A$4:$A$10,0),MATCH('Weekly Roster'!$B104,'Call distribution'!$C$2:$R$2,0)),0),ROUND(INDEX('Call distribution'!$C$4:$R$10,MATCH('Weekly Roster'!$A93,'Call distribution'!$A$4:$A$10,0),MATCH('Weekly Roster'!$B104,'Call distribution'!$C$2:$R$2,0)),0))</f>
        <v>4</v>
      </c>
      <c r="D104" s="71" t="s">
        <v>447</v>
      </c>
      <c r="E104" s="71" t="s">
        <v>447</v>
      </c>
      <c r="F104" s="71" t="s">
        <v>449</v>
      </c>
      <c r="G104" s="71" t="s">
        <v>449</v>
      </c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10"/>
      <c r="X104" s="10"/>
      <c r="Y104" s="10"/>
      <c r="Z104" s="10"/>
      <c r="AA104" s="10"/>
      <c r="AB104" s="10"/>
      <c r="AC104" s="37">
        <f t="shared" si="6"/>
        <v>4</v>
      </c>
    </row>
    <row r="105" spans="1:29" x14ac:dyDescent="0.25">
      <c r="A105" s="79"/>
      <c r="B105" s="40">
        <v>0.79166666666666696</v>
      </c>
      <c r="C105" s="45">
        <f>IF(INDEX('Call distribution'!$C$4:$R$10,MATCH('Weekly Roster'!$A93,'Call distribution'!$A$4:$A$10,0),MATCH('Weekly Roster'!$B105,'Call distribution'!$C$2:$R$2,0))&lt;1, ROUNDUP(INDEX('Call distribution'!$C$4:$R$10,MATCH('Weekly Roster'!$A93,'Call distribution'!$A$4:$A$10,0),MATCH('Weekly Roster'!$B105,'Call distribution'!$C$2:$R$2,0)),0),ROUND(INDEX('Call distribution'!$C$4:$R$10,MATCH('Weekly Roster'!$A93,'Call distribution'!$A$4:$A$10,0),MATCH('Weekly Roster'!$B105,'Call distribution'!$C$2:$R$2,0)),0))</f>
        <v>5</v>
      </c>
      <c r="D105" s="71" t="s">
        <v>447</v>
      </c>
      <c r="E105" s="71" t="s">
        <v>447</v>
      </c>
      <c r="F105" s="71" t="s">
        <v>449</v>
      </c>
      <c r="G105" s="71" t="s">
        <v>449</v>
      </c>
      <c r="H105" s="71" t="s">
        <v>449</v>
      </c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10"/>
      <c r="X105" s="10"/>
      <c r="Y105" s="10"/>
      <c r="Z105" s="10"/>
      <c r="AA105" s="10"/>
      <c r="AB105" s="10"/>
      <c r="AC105" s="37">
        <f t="shared" si="6"/>
        <v>5</v>
      </c>
    </row>
    <row r="106" spans="1:29" x14ac:dyDescent="0.25">
      <c r="A106" s="79"/>
      <c r="B106" s="40">
        <v>0.83333333333333404</v>
      </c>
      <c r="C106" s="45">
        <f>IF(INDEX('Call distribution'!$C$4:$R$10,MATCH('Weekly Roster'!$A93,'Call distribution'!$A$4:$A$10,0),MATCH('Weekly Roster'!$B106,'Call distribution'!$C$2:$R$2,0))&lt;1, ROUNDUP(INDEX('Call distribution'!$C$4:$R$10,MATCH('Weekly Roster'!$A93,'Call distribution'!$A$4:$A$10,0),MATCH('Weekly Roster'!$B106,'Call distribution'!$C$2:$R$2,0)),0),ROUND(INDEX('Call distribution'!$C$4:$R$10,MATCH('Weekly Roster'!$A93,'Call distribution'!$A$4:$A$10,0),MATCH('Weekly Roster'!$B106,'Call distribution'!$C$2:$R$2,0)),0))</f>
        <v>4</v>
      </c>
      <c r="D106" s="71" t="s">
        <v>447</v>
      </c>
      <c r="E106" s="71" t="s">
        <v>447</v>
      </c>
      <c r="F106" s="71" t="s">
        <v>449</v>
      </c>
      <c r="G106" s="71" t="s">
        <v>449</v>
      </c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10"/>
      <c r="X106" s="10"/>
      <c r="Y106" s="10"/>
      <c r="Z106" s="10"/>
      <c r="AA106" s="10"/>
      <c r="AB106" s="10"/>
      <c r="AC106" s="37">
        <f t="shared" si="6"/>
        <v>4</v>
      </c>
    </row>
    <row r="107" spans="1:29" x14ac:dyDescent="0.25">
      <c r="A107" s="80"/>
      <c r="B107" s="40">
        <v>0.875</v>
      </c>
      <c r="C107" s="45">
        <f>IF(INDEX('Call distribution'!$C$4:$R$10,MATCH('Weekly Roster'!$A93,'Call distribution'!$A$4:$A$10,0),MATCH('Weekly Roster'!$B107,'Call distribution'!$C$2:$R$2,0))&lt;1, ROUNDUP(INDEX('Call distribution'!$C$4:$R$10,MATCH('Weekly Roster'!$A93,'Call distribution'!$A$4:$A$10,0),MATCH('Weekly Roster'!$B107,'Call distribution'!$C$2:$R$2,0)),0),ROUND(INDEX('Call distribution'!$C$4:$R$10,MATCH('Weekly Roster'!$A93,'Call distribution'!$A$4:$A$10,0),MATCH('Weekly Roster'!$B107,'Call distribution'!$C$2:$R$2,0)),0))</f>
        <v>1</v>
      </c>
      <c r="D107" s="71" t="s">
        <v>447</v>
      </c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10"/>
      <c r="X107" s="10"/>
      <c r="Y107" s="10"/>
      <c r="Z107" s="10"/>
      <c r="AA107" s="10"/>
      <c r="AB107" s="10"/>
      <c r="AC107" s="37">
        <f t="shared" si="6"/>
        <v>1</v>
      </c>
    </row>
  </sheetData>
  <mergeCells count="9">
    <mergeCell ref="A63:A77"/>
    <mergeCell ref="A78:A92"/>
    <mergeCell ref="A93:A107"/>
    <mergeCell ref="D1:AB1"/>
    <mergeCell ref="AC1:AC2"/>
    <mergeCell ref="A3:A17"/>
    <mergeCell ref="A18:A32"/>
    <mergeCell ref="A33:A47"/>
    <mergeCell ref="A48:A62"/>
  </mergeCells>
  <conditionalFormatting sqref="AC3:AC107">
    <cfRule type="expression" dxfId="1" priority="3">
      <formula>$C3&gt;$AC3</formula>
    </cfRule>
  </conditionalFormatting>
  <conditionalFormatting sqref="D3">
    <cfRule type="colorScale" priority="2">
      <colorScale>
        <cfvo type="min"/>
        <cfvo type="max"/>
        <color rgb="FFFF7128"/>
        <color rgb="FFFFEF9C"/>
      </colorScale>
    </cfRule>
  </conditionalFormatting>
  <conditionalFormatting sqref="AE1">
    <cfRule type="containsText" dxfId="0" priority="1" operator="containsText" text="&quot;Full-time&quot; (D3:L107)">
      <formula>NOT(ISERROR(SEARCH("""Full-time"" (D3:L107)",AE1)))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">
                <anchor>
                  <from>
                    <xdr:col>32</xdr:col>
                    <xdr:colOff>114300</xdr:colOff>
                    <xdr:row>1</xdr:row>
                    <xdr:rowOff>38100</xdr:rowOff>
                  </from>
                  <to>
                    <xdr:col>34</xdr:col>
                    <xdr:colOff>123825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ostering">
                <anchor>
                  <from>
                    <xdr:col>29</xdr:col>
                    <xdr:colOff>666750</xdr:colOff>
                    <xdr:row>1</xdr:row>
                    <xdr:rowOff>38100</xdr:rowOff>
                  </from>
                  <to>
                    <xdr:col>31</xdr:col>
                    <xdr:colOff>276225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462A-0C53-4EFD-AEED-C1CF2B2B6BE0}">
  <sheetPr codeName="Sheet8"/>
  <dimension ref="A2:O15"/>
  <sheetViews>
    <sheetView showGridLines="0" workbookViewId="0">
      <selection activeCell="B3" sqref="B3:H5"/>
    </sheetView>
  </sheetViews>
  <sheetFormatPr defaultRowHeight="15" x14ac:dyDescent="0.25"/>
  <cols>
    <col min="1" max="1" width="15.28515625" bestFit="1" customWidth="1"/>
    <col min="2" max="8" width="10.7109375" customWidth="1"/>
  </cols>
  <sheetData>
    <row r="2" spans="1:15" x14ac:dyDescent="0.25">
      <c r="B2" s="50" t="s">
        <v>71</v>
      </c>
      <c r="C2" s="51" t="s">
        <v>72</v>
      </c>
      <c r="D2" s="51" t="s">
        <v>73</v>
      </c>
      <c r="E2" s="51" t="s">
        <v>74</v>
      </c>
      <c r="F2" s="51" t="s">
        <v>75</v>
      </c>
      <c r="G2" s="51" t="s">
        <v>76</v>
      </c>
      <c r="H2" s="52" t="s">
        <v>77</v>
      </c>
      <c r="I2" s="18"/>
      <c r="J2" s="18"/>
      <c r="K2" s="18"/>
      <c r="L2" s="18"/>
      <c r="M2" s="18"/>
      <c r="N2" s="18"/>
      <c r="O2" s="18"/>
    </row>
    <row r="3" spans="1:15" x14ac:dyDescent="0.25">
      <c r="A3" s="47" t="s">
        <v>103</v>
      </c>
      <c r="B3" s="10"/>
      <c r="C3" s="10"/>
      <c r="D3" s="10"/>
      <c r="E3" s="10"/>
      <c r="F3" s="10"/>
      <c r="G3" s="10"/>
      <c r="H3" s="10"/>
    </row>
    <row r="4" spans="1:15" x14ac:dyDescent="0.25">
      <c r="A4" s="48" t="s">
        <v>104</v>
      </c>
      <c r="B4" s="10"/>
      <c r="C4" s="10"/>
      <c r="D4" s="10"/>
      <c r="E4" s="10"/>
      <c r="F4" s="10"/>
      <c r="G4" s="10"/>
      <c r="H4" s="10"/>
    </row>
    <row r="5" spans="1:15" x14ac:dyDescent="0.25">
      <c r="A5" s="49" t="s">
        <v>105</v>
      </c>
      <c r="B5" s="10"/>
      <c r="C5" s="10"/>
      <c r="D5" s="10"/>
      <c r="E5" s="10"/>
      <c r="F5" s="10"/>
      <c r="G5" s="10"/>
      <c r="H5" s="10"/>
    </row>
    <row r="9" spans="1:15" x14ac:dyDescent="0.25">
      <c r="B9" s="18"/>
    </row>
    <row r="10" spans="1:15" x14ac:dyDescent="0.25">
      <c r="B10" s="18"/>
    </row>
    <row r="11" spans="1:15" x14ac:dyDescent="0.25">
      <c r="B11" s="18"/>
    </row>
    <row r="12" spans="1:15" x14ac:dyDescent="0.25">
      <c r="B12" s="18"/>
    </row>
    <row r="13" spans="1:15" x14ac:dyDescent="0.25">
      <c r="B13" s="18"/>
    </row>
    <row r="14" spans="1:15" x14ac:dyDescent="0.25">
      <c r="B14" s="18"/>
    </row>
    <row r="15" spans="1:15" x14ac:dyDescent="0.25">
      <c r="B15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untStaff">
                <anchor moveWithCells="1" sizeWithCells="1">
                  <from>
                    <xdr:col>8</xdr:col>
                    <xdr:colOff>600075</xdr:colOff>
                    <xdr:row>1</xdr:row>
                    <xdr:rowOff>180975</xdr:rowOff>
                  </from>
                  <to>
                    <xdr:col>10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deleteCount">
                <anchor moveWithCells="1" sizeWithCells="1">
                  <from>
                    <xdr:col>8</xdr:col>
                    <xdr:colOff>600075</xdr:colOff>
                    <xdr:row>3</xdr:row>
                    <xdr:rowOff>180975</xdr:rowOff>
                  </from>
                  <to>
                    <xdr:col>10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774"/>
  <sheetViews>
    <sheetView workbookViewId="0">
      <selection activeCell="L10" sqref="L10"/>
    </sheetView>
  </sheetViews>
  <sheetFormatPr defaultRowHeight="15" x14ac:dyDescent="0.25"/>
  <sheetData>
    <row r="1" spans="1:33" x14ac:dyDescent="0.25">
      <c r="A1" t="s">
        <v>245</v>
      </c>
      <c r="B1" t="s">
        <v>246</v>
      </c>
      <c r="C1" t="s">
        <v>247</v>
      </c>
      <c r="D1" t="s">
        <v>248</v>
      </c>
      <c r="E1" t="s">
        <v>249</v>
      </c>
      <c r="F1" t="s">
        <v>250</v>
      </c>
      <c r="G1" t="s">
        <v>251</v>
      </c>
      <c r="H1" t="s">
        <v>107</v>
      </c>
      <c r="I1" t="s">
        <v>108</v>
      </c>
      <c r="J1" t="s">
        <v>252</v>
      </c>
      <c r="K1" t="s">
        <v>253</v>
      </c>
      <c r="L1" t="s">
        <v>254</v>
      </c>
      <c r="M1" t="s">
        <v>255</v>
      </c>
      <c r="N1" t="s">
        <v>256</v>
      </c>
      <c r="O1" t="s">
        <v>109</v>
      </c>
      <c r="P1" t="s">
        <v>110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117</v>
      </c>
      <c r="X1" t="s">
        <v>118</v>
      </c>
      <c r="Y1" t="s">
        <v>119</v>
      </c>
      <c r="Z1" t="s">
        <v>120</v>
      </c>
      <c r="AA1" t="s">
        <v>121</v>
      </c>
      <c r="AB1" t="s">
        <v>122</v>
      </c>
      <c r="AC1" t="s">
        <v>123</v>
      </c>
      <c r="AD1" t="s">
        <v>257</v>
      </c>
      <c r="AE1" t="s">
        <v>124</v>
      </c>
      <c r="AF1" t="s">
        <v>125</v>
      </c>
      <c r="AG1" t="s">
        <v>126</v>
      </c>
    </row>
    <row r="2" spans="1:33" x14ac:dyDescent="0.25">
      <c r="A2" t="s">
        <v>258</v>
      </c>
      <c r="B2" t="s">
        <v>259</v>
      </c>
      <c r="C2" t="s">
        <v>260</v>
      </c>
      <c r="E2" t="s">
        <v>261</v>
      </c>
      <c r="F2" t="s">
        <v>134</v>
      </c>
      <c r="H2" t="s">
        <v>130</v>
      </c>
      <c r="I2" t="s">
        <v>127</v>
      </c>
      <c r="R2" t="s">
        <v>131</v>
      </c>
      <c r="S2" t="s">
        <v>128</v>
      </c>
      <c r="U2" t="s">
        <v>129</v>
      </c>
      <c r="V2" t="s">
        <v>75</v>
      </c>
      <c r="W2" s="58">
        <v>43328</v>
      </c>
      <c r="X2" s="59">
        <v>0.35625000000000001</v>
      </c>
      <c r="Y2" s="59">
        <v>0.3979166666666667</v>
      </c>
      <c r="Z2" s="59">
        <v>4.1666666666666664E-2</v>
      </c>
      <c r="AA2">
        <v>0</v>
      </c>
      <c r="AC2">
        <v>23</v>
      </c>
    </row>
    <row r="3" spans="1:33" x14ac:dyDescent="0.25">
      <c r="A3" t="s">
        <v>258</v>
      </c>
      <c r="B3" t="s">
        <v>262</v>
      </c>
      <c r="C3" t="s">
        <v>263</v>
      </c>
      <c r="D3" t="s">
        <v>264</v>
      </c>
      <c r="E3" t="s">
        <v>265</v>
      </c>
      <c r="F3" t="s">
        <v>134</v>
      </c>
      <c r="H3" t="s">
        <v>132</v>
      </c>
      <c r="I3" t="s">
        <v>133</v>
      </c>
      <c r="J3" t="s">
        <v>266</v>
      </c>
      <c r="K3" t="s">
        <v>267</v>
      </c>
      <c r="L3" t="s">
        <v>268</v>
      </c>
      <c r="N3" t="s">
        <v>269</v>
      </c>
      <c r="O3" t="s">
        <v>134</v>
      </c>
      <c r="Q3" t="s">
        <v>135</v>
      </c>
      <c r="R3" t="s">
        <v>136</v>
      </c>
      <c r="S3" t="s">
        <v>128</v>
      </c>
      <c r="T3" t="s">
        <v>137</v>
      </c>
      <c r="U3" t="s">
        <v>129</v>
      </c>
      <c r="V3" t="s">
        <v>73</v>
      </c>
      <c r="W3" s="58">
        <v>43333</v>
      </c>
      <c r="X3" s="59">
        <v>0.70833333333333337</v>
      </c>
      <c r="Y3" s="59">
        <v>0.75</v>
      </c>
      <c r="Z3" s="59">
        <v>4.1666666666666664E-2</v>
      </c>
      <c r="AA3">
        <v>0</v>
      </c>
      <c r="AD3">
        <v>8.75</v>
      </c>
      <c r="AE3" s="59">
        <v>0.70833333333333337</v>
      </c>
      <c r="AF3" s="59">
        <v>0.74930555555555556</v>
      </c>
    </row>
    <row r="4" spans="1:33" x14ac:dyDescent="0.25">
      <c r="A4" t="s">
        <v>258</v>
      </c>
      <c r="B4" t="s">
        <v>270</v>
      </c>
      <c r="C4" t="s">
        <v>271</v>
      </c>
      <c r="D4" t="s">
        <v>272</v>
      </c>
      <c r="E4" t="s">
        <v>273</v>
      </c>
      <c r="F4" t="s">
        <v>134</v>
      </c>
      <c r="H4" t="s">
        <v>138</v>
      </c>
      <c r="I4" t="s">
        <v>139</v>
      </c>
      <c r="J4" t="s">
        <v>266</v>
      </c>
      <c r="K4" t="s">
        <v>267</v>
      </c>
      <c r="L4" t="s">
        <v>268</v>
      </c>
      <c r="N4" t="s">
        <v>269</v>
      </c>
      <c r="O4" t="s">
        <v>134</v>
      </c>
      <c r="Q4" t="s">
        <v>135</v>
      </c>
      <c r="R4" t="s">
        <v>140</v>
      </c>
      <c r="S4" t="s">
        <v>128</v>
      </c>
      <c r="T4" t="s">
        <v>137</v>
      </c>
      <c r="U4" t="s">
        <v>129</v>
      </c>
      <c r="V4" t="s">
        <v>73</v>
      </c>
      <c r="W4" s="58">
        <v>43333</v>
      </c>
      <c r="X4" s="59">
        <v>0.76041666666666663</v>
      </c>
      <c r="Y4" s="59">
        <v>0.80208333333333337</v>
      </c>
      <c r="Z4" s="59">
        <v>4.1666666666666664E-2</v>
      </c>
      <c r="AA4">
        <v>0</v>
      </c>
      <c r="AB4">
        <v>2.3694000000000002</v>
      </c>
      <c r="AD4">
        <v>8.75</v>
      </c>
      <c r="AE4" s="59">
        <v>0.76041666666666663</v>
      </c>
      <c r="AF4" s="59">
        <v>0.80138888888888893</v>
      </c>
    </row>
    <row r="5" spans="1:33" x14ac:dyDescent="0.25">
      <c r="A5" t="s">
        <v>274</v>
      </c>
      <c r="B5" t="s">
        <v>275</v>
      </c>
      <c r="C5" t="s">
        <v>276</v>
      </c>
      <c r="E5" t="s">
        <v>277</v>
      </c>
      <c r="F5" t="s">
        <v>134</v>
      </c>
      <c r="H5" t="s">
        <v>141</v>
      </c>
      <c r="I5" t="s">
        <v>142</v>
      </c>
      <c r="J5" t="s">
        <v>266</v>
      </c>
      <c r="K5" t="s">
        <v>267</v>
      </c>
      <c r="L5" t="s">
        <v>268</v>
      </c>
      <c r="N5" t="s">
        <v>269</v>
      </c>
      <c r="O5" t="s">
        <v>134</v>
      </c>
      <c r="Q5" t="s">
        <v>135</v>
      </c>
      <c r="R5" t="s">
        <v>143</v>
      </c>
      <c r="S5" t="s">
        <v>128</v>
      </c>
      <c r="T5" t="s">
        <v>137</v>
      </c>
      <c r="U5" t="s">
        <v>129</v>
      </c>
      <c r="V5" t="s">
        <v>73</v>
      </c>
      <c r="W5" s="58">
        <v>43333</v>
      </c>
      <c r="X5" s="59">
        <v>0.8125</v>
      </c>
      <c r="Y5" s="59">
        <v>0.83333333333333337</v>
      </c>
      <c r="Z5" s="59">
        <v>2.0833333333333332E-2</v>
      </c>
      <c r="AA5">
        <v>0</v>
      </c>
      <c r="AB5">
        <v>0.9</v>
      </c>
      <c r="AD5">
        <v>4.375</v>
      </c>
      <c r="AE5" s="59">
        <v>0.8125</v>
      </c>
      <c r="AF5" s="59">
        <v>0.83263888888888893</v>
      </c>
    </row>
    <row r="6" spans="1:33" x14ac:dyDescent="0.25">
      <c r="A6" t="s">
        <v>258</v>
      </c>
      <c r="B6" t="s">
        <v>270</v>
      </c>
      <c r="C6" t="s">
        <v>271</v>
      </c>
      <c r="D6" t="s">
        <v>272</v>
      </c>
      <c r="E6" t="s">
        <v>273</v>
      </c>
      <c r="F6" t="s">
        <v>134</v>
      </c>
      <c r="H6" t="s">
        <v>138</v>
      </c>
      <c r="I6" t="s">
        <v>139</v>
      </c>
      <c r="J6" t="s">
        <v>266</v>
      </c>
      <c r="K6" t="s">
        <v>267</v>
      </c>
      <c r="L6" t="s">
        <v>268</v>
      </c>
      <c r="N6" t="s">
        <v>269</v>
      </c>
      <c r="O6" t="s">
        <v>134</v>
      </c>
      <c r="Q6" t="s">
        <v>135</v>
      </c>
      <c r="R6" t="s">
        <v>140</v>
      </c>
      <c r="S6" t="s">
        <v>128</v>
      </c>
      <c r="T6" t="s">
        <v>137</v>
      </c>
      <c r="U6" t="s">
        <v>129</v>
      </c>
      <c r="V6" t="s">
        <v>71</v>
      </c>
      <c r="W6" s="58">
        <v>43345</v>
      </c>
      <c r="X6" s="59">
        <v>0.33333333333333331</v>
      </c>
      <c r="Y6" s="59">
        <v>0.375</v>
      </c>
      <c r="Z6" s="59">
        <v>4.1666666666666664E-2</v>
      </c>
      <c r="AA6">
        <v>0</v>
      </c>
      <c r="AD6">
        <v>9.75</v>
      </c>
      <c r="AE6" s="59">
        <v>0.33333333333333331</v>
      </c>
      <c r="AF6" s="59">
        <v>0.3743055555555555</v>
      </c>
    </row>
    <row r="7" spans="1:33" x14ac:dyDescent="0.25">
      <c r="A7" t="s">
        <v>258</v>
      </c>
      <c r="B7" t="s">
        <v>278</v>
      </c>
      <c r="C7" t="s">
        <v>279</v>
      </c>
      <c r="E7" t="s">
        <v>280</v>
      </c>
      <c r="F7" t="s">
        <v>134</v>
      </c>
      <c r="H7" t="s">
        <v>144</v>
      </c>
      <c r="I7" t="s">
        <v>133</v>
      </c>
      <c r="J7" t="s">
        <v>266</v>
      </c>
      <c r="K7" t="s">
        <v>267</v>
      </c>
      <c r="L7" t="s">
        <v>268</v>
      </c>
      <c r="N7" t="s">
        <v>269</v>
      </c>
      <c r="O7" t="s">
        <v>134</v>
      </c>
      <c r="Q7" t="s">
        <v>135</v>
      </c>
      <c r="R7" t="s">
        <v>145</v>
      </c>
      <c r="S7" t="s">
        <v>128</v>
      </c>
      <c r="T7" t="s">
        <v>137</v>
      </c>
      <c r="U7" t="s">
        <v>129</v>
      </c>
      <c r="V7" t="s">
        <v>71</v>
      </c>
      <c r="W7" s="58">
        <v>43345</v>
      </c>
      <c r="X7" s="59">
        <v>0.38541666666666669</v>
      </c>
      <c r="Y7" s="59">
        <v>0.42708333333333331</v>
      </c>
      <c r="Z7" s="59">
        <v>4.1666666666666664E-2</v>
      </c>
      <c r="AA7">
        <v>5</v>
      </c>
      <c r="AB7">
        <v>2.2488000000000001</v>
      </c>
      <c r="AD7">
        <v>9.75</v>
      </c>
      <c r="AE7" s="59">
        <v>0.38541666666666669</v>
      </c>
      <c r="AF7" s="59">
        <v>0.42638888888888887</v>
      </c>
    </row>
    <row r="8" spans="1:33" x14ac:dyDescent="0.25">
      <c r="A8" t="s">
        <v>258</v>
      </c>
      <c r="B8" t="s">
        <v>281</v>
      </c>
      <c r="C8" t="s">
        <v>282</v>
      </c>
      <c r="E8" t="s">
        <v>283</v>
      </c>
      <c r="F8" t="s">
        <v>134</v>
      </c>
      <c r="G8" t="s">
        <v>218</v>
      </c>
      <c r="H8" t="s">
        <v>146</v>
      </c>
      <c r="I8" t="s">
        <v>147</v>
      </c>
      <c r="J8" t="s">
        <v>266</v>
      </c>
      <c r="K8" t="s">
        <v>267</v>
      </c>
      <c r="L8" t="s">
        <v>268</v>
      </c>
      <c r="N8" t="s">
        <v>269</v>
      </c>
      <c r="O8" t="s">
        <v>134</v>
      </c>
      <c r="Q8" t="s">
        <v>135</v>
      </c>
      <c r="R8" t="s">
        <v>148</v>
      </c>
      <c r="S8" t="s">
        <v>128</v>
      </c>
      <c r="T8" t="s">
        <v>137</v>
      </c>
      <c r="U8" t="s">
        <v>129</v>
      </c>
      <c r="V8" t="s">
        <v>71</v>
      </c>
      <c r="W8" s="58">
        <v>43345</v>
      </c>
      <c r="X8" s="59">
        <v>0.47916666666666669</v>
      </c>
      <c r="Y8" s="59">
        <v>0.52083333333333337</v>
      </c>
      <c r="Z8" s="59">
        <v>4.1666666666666664E-2</v>
      </c>
      <c r="AA8">
        <v>11</v>
      </c>
      <c r="AB8">
        <v>9.1487999999999996</v>
      </c>
      <c r="AD8">
        <v>9.75</v>
      </c>
      <c r="AE8" s="59">
        <v>0.47916666666666669</v>
      </c>
      <c r="AF8" s="59">
        <v>0.52013888888888882</v>
      </c>
    </row>
    <row r="9" spans="1:33" x14ac:dyDescent="0.25">
      <c r="A9" t="s">
        <v>258</v>
      </c>
      <c r="B9" t="s">
        <v>284</v>
      </c>
      <c r="C9" t="s">
        <v>285</v>
      </c>
      <c r="E9" t="s">
        <v>286</v>
      </c>
      <c r="F9" t="s">
        <v>134</v>
      </c>
      <c r="H9" t="s">
        <v>149</v>
      </c>
      <c r="I9" t="s">
        <v>127</v>
      </c>
      <c r="J9" t="s">
        <v>266</v>
      </c>
      <c r="K9" t="s">
        <v>267</v>
      </c>
      <c r="L9" t="s">
        <v>268</v>
      </c>
      <c r="N9" t="s">
        <v>269</v>
      </c>
      <c r="O9" t="s">
        <v>134</v>
      </c>
      <c r="Q9" t="s">
        <v>135</v>
      </c>
      <c r="R9" t="s">
        <v>150</v>
      </c>
      <c r="S9" t="s">
        <v>128</v>
      </c>
      <c r="T9" t="s">
        <v>137</v>
      </c>
      <c r="U9" t="s">
        <v>151</v>
      </c>
      <c r="V9" t="s">
        <v>72</v>
      </c>
      <c r="W9" s="58">
        <v>43346</v>
      </c>
      <c r="X9" s="59">
        <v>0.3611111111111111</v>
      </c>
      <c r="Y9" s="59">
        <v>0.40277777777777773</v>
      </c>
      <c r="Z9" s="59">
        <v>4.1666666666666664E-2</v>
      </c>
      <c r="AA9">
        <v>0</v>
      </c>
      <c r="AD9">
        <v>8.75</v>
      </c>
      <c r="AE9" s="59">
        <v>0.3611111111111111</v>
      </c>
      <c r="AF9" s="59">
        <v>0.40208333333333335</v>
      </c>
    </row>
    <row r="10" spans="1:33" x14ac:dyDescent="0.25">
      <c r="A10" t="s">
        <v>258</v>
      </c>
      <c r="B10" t="s">
        <v>287</v>
      </c>
      <c r="C10" t="s">
        <v>288</v>
      </c>
      <c r="E10" t="s">
        <v>289</v>
      </c>
      <c r="F10" t="s">
        <v>134</v>
      </c>
      <c r="H10" t="s">
        <v>152</v>
      </c>
      <c r="I10" t="s">
        <v>127</v>
      </c>
      <c r="J10" t="s">
        <v>266</v>
      </c>
      <c r="K10" t="s">
        <v>267</v>
      </c>
      <c r="L10" t="s">
        <v>268</v>
      </c>
      <c r="N10" t="s">
        <v>269</v>
      </c>
      <c r="O10" t="s">
        <v>134</v>
      </c>
      <c r="Q10" t="s">
        <v>135</v>
      </c>
      <c r="R10" t="s">
        <v>153</v>
      </c>
      <c r="S10" t="s">
        <v>128</v>
      </c>
      <c r="T10" t="s">
        <v>137</v>
      </c>
      <c r="U10" t="s">
        <v>151</v>
      </c>
      <c r="V10" t="s">
        <v>72</v>
      </c>
      <c r="W10" s="58">
        <v>43346</v>
      </c>
      <c r="X10" s="59">
        <v>0.40277777777777773</v>
      </c>
      <c r="Y10" s="59">
        <v>0.44444444444444442</v>
      </c>
      <c r="Z10" s="59">
        <v>4.1666666666666664E-2</v>
      </c>
      <c r="AA10">
        <v>0</v>
      </c>
      <c r="AB10">
        <v>0.27279999999999999</v>
      </c>
      <c r="AD10">
        <v>8.75</v>
      </c>
      <c r="AE10" s="59">
        <v>0.40277777777777773</v>
      </c>
      <c r="AF10" s="59">
        <v>0.44375000000000003</v>
      </c>
    </row>
    <row r="11" spans="1:33" x14ac:dyDescent="0.25">
      <c r="A11" t="s">
        <v>258</v>
      </c>
      <c r="B11" t="s">
        <v>290</v>
      </c>
      <c r="C11" t="s">
        <v>291</v>
      </c>
      <c r="E11" t="s">
        <v>292</v>
      </c>
      <c r="F11" t="s">
        <v>134</v>
      </c>
      <c r="H11" t="s">
        <v>154</v>
      </c>
      <c r="I11" t="s">
        <v>155</v>
      </c>
      <c r="J11" t="s">
        <v>266</v>
      </c>
      <c r="K11" t="s">
        <v>267</v>
      </c>
      <c r="L11" t="s">
        <v>268</v>
      </c>
      <c r="N11" t="s">
        <v>269</v>
      </c>
      <c r="O11" t="s">
        <v>134</v>
      </c>
      <c r="Q11" t="s">
        <v>135</v>
      </c>
      <c r="R11" t="s">
        <v>156</v>
      </c>
      <c r="S11" t="s">
        <v>128</v>
      </c>
      <c r="T11" t="s">
        <v>137</v>
      </c>
      <c r="U11" t="s">
        <v>151</v>
      </c>
      <c r="V11" t="s">
        <v>72</v>
      </c>
      <c r="W11" s="58">
        <v>43346</v>
      </c>
      <c r="X11" s="59">
        <v>0.45833333333333331</v>
      </c>
      <c r="Y11" s="59">
        <v>0.5</v>
      </c>
      <c r="Z11" s="59">
        <v>4.1666666666666664E-2</v>
      </c>
      <c r="AA11">
        <v>7</v>
      </c>
      <c r="AB11">
        <v>4.484</v>
      </c>
      <c r="AD11">
        <v>8.75</v>
      </c>
      <c r="AE11" s="59">
        <v>0.45833333333333331</v>
      </c>
      <c r="AF11" s="59">
        <v>0.4993055555555555</v>
      </c>
    </row>
    <row r="12" spans="1:33" x14ac:dyDescent="0.25">
      <c r="A12" t="s">
        <v>258</v>
      </c>
      <c r="B12" t="s">
        <v>278</v>
      </c>
      <c r="C12" t="s">
        <v>279</v>
      </c>
      <c r="E12" t="s">
        <v>280</v>
      </c>
      <c r="F12" t="s">
        <v>134</v>
      </c>
      <c r="H12" t="s">
        <v>144</v>
      </c>
      <c r="I12" t="s">
        <v>133</v>
      </c>
      <c r="J12" t="s">
        <v>266</v>
      </c>
      <c r="K12" t="s">
        <v>267</v>
      </c>
      <c r="L12" t="s">
        <v>268</v>
      </c>
      <c r="N12" t="s">
        <v>269</v>
      </c>
      <c r="O12" t="s">
        <v>134</v>
      </c>
      <c r="Q12" t="s">
        <v>135</v>
      </c>
      <c r="R12" t="s">
        <v>145</v>
      </c>
      <c r="S12" t="s">
        <v>128</v>
      </c>
      <c r="T12" t="s">
        <v>137</v>
      </c>
      <c r="U12" t="s">
        <v>129</v>
      </c>
      <c r="V12" t="s">
        <v>72</v>
      </c>
      <c r="W12" s="58">
        <v>43346</v>
      </c>
      <c r="X12" s="59">
        <v>0.55208333333333337</v>
      </c>
      <c r="Y12" s="59">
        <v>0.59375</v>
      </c>
      <c r="Z12" s="59">
        <v>4.1666666666666664E-2</v>
      </c>
      <c r="AA12">
        <v>15</v>
      </c>
      <c r="AB12">
        <v>10.896599999999999</v>
      </c>
      <c r="AD12">
        <v>8.75</v>
      </c>
      <c r="AE12" s="59">
        <v>0.55208333333333337</v>
      </c>
      <c r="AF12" s="59">
        <v>0.59305555555555556</v>
      </c>
    </row>
    <row r="13" spans="1:33" x14ac:dyDescent="0.25">
      <c r="A13" t="s">
        <v>266</v>
      </c>
      <c r="B13" t="s">
        <v>293</v>
      </c>
      <c r="C13" t="s">
        <v>294</v>
      </c>
      <c r="E13" t="s">
        <v>295</v>
      </c>
      <c r="F13" t="s">
        <v>134</v>
      </c>
      <c r="H13" t="s">
        <v>157</v>
      </c>
      <c r="I13" t="s">
        <v>158</v>
      </c>
      <c r="J13" t="s">
        <v>258</v>
      </c>
      <c r="K13" t="s">
        <v>296</v>
      </c>
      <c r="L13" t="s">
        <v>297</v>
      </c>
      <c r="N13" t="s">
        <v>298</v>
      </c>
      <c r="O13" t="s">
        <v>159</v>
      </c>
      <c r="Q13" t="s">
        <v>160</v>
      </c>
      <c r="R13" t="s">
        <v>161</v>
      </c>
      <c r="S13" t="s">
        <v>128</v>
      </c>
      <c r="T13" t="s">
        <v>162</v>
      </c>
      <c r="U13" t="s">
        <v>163</v>
      </c>
      <c r="V13" t="s">
        <v>73</v>
      </c>
      <c r="W13" s="58">
        <v>43312</v>
      </c>
      <c r="X13" s="59">
        <v>0.375</v>
      </c>
      <c r="Y13" s="59">
        <v>0.41666666666666669</v>
      </c>
      <c r="Z13" s="59">
        <v>4.1666666666666664E-2</v>
      </c>
      <c r="AA13">
        <v>0</v>
      </c>
      <c r="AC13">
        <v>18</v>
      </c>
      <c r="AD13">
        <v>10</v>
      </c>
      <c r="AE13" s="59">
        <v>0.375</v>
      </c>
      <c r="AF13" s="59">
        <v>0.41597222222222219</v>
      </c>
    </row>
    <row r="14" spans="1:33" x14ac:dyDescent="0.25">
      <c r="A14" t="s">
        <v>266</v>
      </c>
      <c r="B14" t="s">
        <v>293</v>
      </c>
      <c r="C14" t="s">
        <v>294</v>
      </c>
      <c r="E14" t="s">
        <v>295</v>
      </c>
      <c r="F14" t="s">
        <v>134</v>
      </c>
      <c r="H14" t="s">
        <v>157</v>
      </c>
      <c r="I14" t="s">
        <v>158</v>
      </c>
      <c r="J14" t="s">
        <v>258</v>
      </c>
      <c r="K14" t="s">
        <v>296</v>
      </c>
      <c r="L14" t="s">
        <v>297</v>
      </c>
      <c r="N14" t="s">
        <v>298</v>
      </c>
      <c r="O14" t="s">
        <v>159</v>
      </c>
      <c r="Q14" t="s">
        <v>160</v>
      </c>
      <c r="R14" t="s">
        <v>161</v>
      </c>
      <c r="S14" t="s">
        <v>128</v>
      </c>
      <c r="T14" t="s">
        <v>162</v>
      </c>
      <c r="U14" t="s">
        <v>163</v>
      </c>
      <c r="V14" t="s">
        <v>75</v>
      </c>
      <c r="W14" s="58">
        <v>43321</v>
      </c>
      <c r="X14" s="59">
        <v>0.60416666666666663</v>
      </c>
      <c r="Y14" s="59">
        <v>0.79166666666666663</v>
      </c>
      <c r="Z14" s="59">
        <v>0.1875</v>
      </c>
      <c r="AA14">
        <v>0</v>
      </c>
      <c r="AC14">
        <v>81</v>
      </c>
      <c r="AD14">
        <v>45</v>
      </c>
      <c r="AE14" s="59">
        <v>0.60416666666666663</v>
      </c>
      <c r="AF14" s="59">
        <v>0.7909722222222223</v>
      </c>
    </row>
    <row r="15" spans="1:33" x14ac:dyDescent="0.25">
      <c r="A15" t="s">
        <v>266</v>
      </c>
      <c r="B15" t="s">
        <v>293</v>
      </c>
      <c r="C15" t="s">
        <v>294</v>
      </c>
      <c r="E15" t="s">
        <v>295</v>
      </c>
      <c r="F15" t="s">
        <v>134</v>
      </c>
      <c r="H15" t="s">
        <v>157</v>
      </c>
      <c r="I15" t="s">
        <v>158</v>
      </c>
      <c r="J15" t="s">
        <v>258</v>
      </c>
      <c r="K15" t="s">
        <v>296</v>
      </c>
      <c r="L15" t="s">
        <v>297</v>
      </c>
      <c r="N15" t="s">
        <v>298</v>
      </c>
      <c r="O15" t="s">
        <v>159</v>
      </c>
      <c r="Q15" t="s">
        <v>160</v>
      </c>
      <c r="R15" t="s">
        <v>161</v>
      </c>
      <c r="S15" t="s">
        <v>128</v>
      </c>
      <c r="T15" t="s">
        <v>162</v>
      </c>
      <c r="U15" t="s">
        <v>163</v>
      </c>
      <c r="V15" t="s">
        <v>73</v>
      </c>
      <c r="W15" s="58">
        <v>43326</v>
      </c>
      <c r="X15" s="59">
        <v>0.40625</v>
      </c>
      <c r="Y15" s="59">
        <v>0.44791666666666669</v>
      </c>
      <c r="Z15" s="59">
        <v>4.1666666666666664E-2</v>
      </c>
      <c r="AA15">
        <v>0</v>
      </c>
      <c r="AD15">
        <v>10</v>
      </c>
      <c r="AE15" s="59">
        <v>0.40625</v>
      </c>
      <c r="AF15" s="59">
        <v>0.44722222222222219</v>
      </c>
    </row>
    <row r="16" spans="1:33" x14ac:dyDescent="0.25">
      <c r="A16" t="s">
        <v>266</v>
      </c>
      <c r="B16" t="s">
        <v>293</v>
      </c>
      <c r="C16" t="s">
        <v>294</v>
      </c>
      <c r="E16" t="s">
        <v>295</v>
      </c>
      <c r="F16" t="s">
        <v>134</v>
      </c>
      <c r="H16" t="s">
        <v>157</v>
      </c>
      <c r="I16" t="s">
        <v>158</v>
      </c>
      <c r="J16" t="s">
        <v>258</v>
      </c>
      <c r="K16" t="s">
        <v>296</v>
      </c>
      <c r="L16" t="s">
        <v>297</v>
      </c>
      <c r="N16" t="s">
        <v>298</v>
      </c>
      <c r="O16" t="s">
        <v>159</v>
      </c>
      <c r="Q16" t="s">
        <v>160</v>
      </c>
      <c r="R16" t="s">
        <v>161</v>
      </c>
      <c r="S16" t="s">
        <v>128</v>
      </c>
      <c r="T16" t="s">
        <v>162</v>
      </c>
      <c r="U16" t="s">
        <v>163</v>
      </c>
      <c r="V16" t="s">
        <v>73</v>
      </c>
      <c r="W16" s="58">
        <v>43340</v>
      </c>
      <c r="X16" s="59">
        <v>0.375</v>
      </c>
      <c r="Y16" s="59">
        <v>0.41666666666666669</v>
      </c>
      <c r="Z16" s="59">
        <v>4.1666666666666664E-2</v>
      </c>
      <c r="AA16">
        <v>0</v>
      </c>
      <c r="AC16">
        <v>18</v>
      </c>
      <c r="AD16">
        <v>10</v>
      </c>
      <c r="AE16" s="59">
        <v>0.375</v>
      </c>
      <c r="AF16" s="59">
        <v>0.41597222222222219</v>
      </c>
    </row>
    <row r="17" spans="1:33" x14ac:dyDescent="0.25">
      <c r="A17" t="s">
        <v>266</v>
      </c>
      <c r="B17" t="s">
        <v>293</v>
      </c>
      <c r="C17" t="s">
        <v>294</v>
      </c>
      <c r="E17" t="s">
        <v>295</v>
      </c>
      <c r="F17" t="s">
        <v>134</v>
      </c>
      <c r="H17" t="s">
        <v>157</v>
      </c>
      <c r="I17" t="s">
        <v>158</v>
      </c>
      <c r="J17" t="s">
        <v>258</v>
      </c>
      <c r="K17" t="s">
        <v>296</v>
      </c>
      <c r="L17" t="s">
        <v>297</v>
      </c>
      <c r="N17" t="s">
        <v>298</v>
      </c>
      <c r="O17" t="s">
        <v>159</v>
      </c>
      <c r="Q17" t="s">
        <v>160</v>
      </c>
      <c r="R17" t="s">
        <v>161</v>
      </c>
      <c r="S17" t="s">
        <v>128</v>
      </c>
      <c r="T17" t="s">
        <v>162</v>
      </c>
      <c r="U17" t="s">
        <v>163</v>
      </c>
      <c r="V17" t="s">
        <v>74</v>
      </c>
      <c r="W17" s="58">
        <v>43348</v>
      </c>
      <c r="X17" s="59">
        <v>0.66666666666666663</v>
      </c>
      <c r="Y17" s="59">
        <v>0.72916666666666663</v>
      </c>
      <c r="Z17" s="59">
        <v>6.25E-2</v>
      </c>
      <c r="AA17">
        <v>0</v>
      </c>
      <c r="AC17">
        <v>27</v>
      </c>
      <c r="AD17">
        <v>15</v>
      </c>
      <c r="AE17" s="59">
        <v>0.66666666666666663</v>
      </c>
      <c r="AF17" s="59">
        <v>0.7284722222222223</v>
      </c>
    </row>
    <row r="18" spans="1:33" x14ac:dyDescent="0.25">
      <c r="A18" t="s">
        <v>266</v>
      </c>
      <c r="B18" t="s">
        <v>293</v>
      </c>
      <c r="C18" t="s">
        <v>294</v>
      </c>
      <c r="E18" t="s">
        <v>295</v>
      </c>
      <c r="F18" t="s">
        <v>134</v>
      </c>
      <c r="H18" t="s">
        <v>157</v>
      </c>
      <c r="I18" t="s">
        <v>158</v>
      </c>
      <c r="J18" t="s">
        <v>258</v>
      </c>
      <c r="K18" t="s">
        <v>296</v>
      </c>
      <c r="L18" t="s">
        <v>297</v>
      </c>
      <c r="N18" t="s">
        <v>298</v>
      </c>
      <c r="O18" t="s">
        <v>159</v>
      </c>
      <c r="Q18" t="s">
        <v>160</v>
      </c>
      <c r="R18" t="s">
        <v>161</v>
      </c>
      <c r="S18" t="s">
        <v>128</v>
      </c>
      <c r="T18" t="s">
        <v>162</v>
      </c>
      <c r="U18" t="s">
        <v>163</v>
      </c>
      <c r="V18" t="s">
        <v>73</v>
      </c>
      <c r="W18" s="58">
        <v>43354</v>
      </c>
      <c r="X18" s="59">
        <v>0.375</v>
      </c>
      <c r="Y18" s="59">
        <v>0.41666666666666669</v>
      </c>
      <c r="Z18" s="59">
        <v>4.1666666666666664E-2</v>
      </c>
      <c r="AA18">
        <v>0</v>
      </c>
      <c r="AC18">
        <v>18</v>
      </c>
      <c r="AD18">
        <v>10</v>
      </c>
      <c r="AE18" s="59">
        <v>0.375</v>
      </c>
      <c r="AF18" s="59">
        <v>0.41597222222222219</v>
      </c>
    </row>
    <row r="19" spans="1:33" x14ac:dyDescent="0.25">
      <c r="A19" t="s">
        <v>258</v>
      </c>
      <c r="B19" t="s">
        <v>299</v>
      </c>
      <c r="C19" t="s">
        <v>300</v>
      </c>
      <c r="D19" t="s">
        <v>301</v>
      </c>
      <c r="E19" t="s">
        <v>302</v>
      </c>
      <c r="F19" t="s">
        <v>303</v>
      </c>
      <c r="H19" t="s">
        <v>166</v>
      </c>
      <c r="I19" t="s">
        <v>142</v>
      </c>
      <c r="J19" t="s">
        <v>258</v>
      </c>
      <c r="K19" t="s">
        <v>304</v>
      </c>
      <c r="L19" t="s">
        <v>305</v>
      </c>
      <c r="N19" t="s">
        <v>306</v>
      </c>
      <c r="O19" t="s">
        <v>158</v>
      </c>
      <c r="Q19" t="s">
        <v>164</v>
      </c>
      <c r="R19" t="s">
        <v>167</v>
      </c>
      <c r="S19" t="s">
        <v>128</v>
      </c>
      <c r="T19" t="s">
        <v>165</v>
      </c>
      <c r="U19" t="s">
        <v>129</v>
      </c>
      <c r="V19" t="s">
        <v>77</v>
      </c>
      <c r="W19" s="58">
        <v>43309</v>
      </c>
      <c r="X19" s="59">
        <v>0.30833333333333335</v>
      </c>
      <c r="Y19" s="59">
        <v>0.35000000000000003</v>
      </c>
      <c r="Z19" s="59">
        <v>4.1666666666666664E-2</v>
      </c>
      <c r="AA19">
        <v>0</v>
      </c>
      <c r="AC19">
        <v>23</v>
      </c>
      <c r="AD19">
        <v>10</v>
      </c>
      <c r="AE19" s="59">
        <v>0.30833333333333335</v>
      </c>
      <c r="AF19" s="59">
        <v>0.34930555555555554</v>
      </c>
      <c r="AG19">
        <v>12</v>
      </c>
    </row>
    <row r="20" spans="1:33" x14ac:dyDescent="0.25">
      <c r="B20" t="s">
        <v>307</v>
      </c>
      <c r="C20" t="s">
        <v>308</v>
      </c>
      <c r="D20" t="s">
        <v>309</v>
      </c>
      <c r="E20" t="s">
        <v>134</v>
      </c>
      <c r="H20" t="s">
        <v>171</v>
      </c>
      <c r="I20" t="s">
        <v>169</v>
      </c>
      <c r="J20" t="s">
        <v>258</v>
      </c>
      <c r="K20" t="s">
        <v>304</v>
      </c>
      <c r="L20" t="s">
        <v>305</v>
      </c>
      <c r="N20" t="s">
        <v>306</v>
      </c>
      <c r="O20" t="s">
        <v>158</v>
      </c>
      <c r="Q20" t="s">
        <v>164</v>
      </c>
      <c r="R20" t="s">
        <v>172</v>
      </c>
      <c r="S20" t="s">
        <v>128</v>
      </c>
      <c r="T20" t="s">
        <v>165</v>
      </c>
      <c r="U20" t="s">
        <v>129</v>
      </c>
      <c r="V20" t="s">
        <v>77</v>
      </c>
      <c r="W20" s="58">
        <v>43309</v>
      </c>
      <c r="X20" s="59">
        <v>0.36458333333333331</v>
      </c>
      <c r="Y20" s="59">
        <v>0.40625</v>
      </c>
      <c r="Z20" s="59">
        <v>4.1666666666666664E-2</v>
      </c>
      <c r="AA20">
        <v>0</v>
      </c>
      <c r="AB20">
        <v>5.4181999999999997</v>
      </c>
      <c r="AC20">
        <v>23</v>
      </c>
      <c r="AD20">
        <v>10</v>
      </c>
      <c r="AE20" s="59">
        <v>0.36458333333333331</v>
      </c>
      <c r="AF20" s="59">
        <v>0.4055555555555555</v>
      </c>
      <c r="AG20">
        <v>12</v>
      </c>
    </row>
    <row r="21" spans="1:33" x14ac:dyDescent="0.25">
      <c r="A21" t="s">
        <v>258</v>
      </c>
      <c r="B21" t="s">
        <v>270</v>
      </c>
      <c r="C21" t="s">
        <v>271</v>
      </c>
      <c r="D21" t="s">
        <v>272</v>
      </c>
      <c r="E21" t="s">
        <v>273</v>
      </c>
      <c r="F21" t="s">
        <v>134</v>
      </c>
      <c r="H21" t="s">
        <v>138</v>
      </c>
      <c r="I21" t="s">
        <v>139</v>
      </c>
      <c r="J21" t="s">
        <v>258</v>
      </c>
      <c r="K21" t="s">
        <v>304</v>
      </c>
      <c r="L21" t="s">
        <v>305</v>
      </c>
      <c r="N21" t="s">
        <v>306</v>
      </c>
      <c r="O21" t="s">
        <v>158</v>
      </c>
      <c r="Q21" t="s">
        <v>164</v>
      </c>
      <c r="R21" t="s">
        <v>140</v>
      </c>
      <c r="S21" t="s">
        <v>128</v>
      </c>
      <c r="T21" t="s">
        <v>165</v>
      </c>
      <c r="U21" t="s">
        <v>129</v>
      </c>
      <c r="V21" t="s">
        <v>71</v>
      </c>
      <c r="W21" s="58">
        <v>43310</v>
      </c>
      <c r="X21" s="59">
        <v>0.33333333333333331</v>
      </c>
      <c r="Y21" s="59">
        <v>0.375</v>
      </c>
      <c r="Z21" s="59">
        <v>4.1666666666666664E-2</v>
      </c>
      <c r="AA21">
        <v>0</v>
      </c>
      <c r="AC21">
        <v>23</v>
      </c>
      <c r="AD21">
        <v>10</v>
      </c>
      <c r="AE21" s="59">
        <v>0.33333333333333331</v>
      </c>
      <c r="AF21" s="59">
        <v>0.3743055555555555</v>
      </c>
      <c r="AG21">
        <v>12</v>
      </c>
    </row>
    <row r="22" spans="1:33" x14ac:dyDescent="0.25">
      <c r="A22" t="s">
        <v>274</v>
      </c>
      <c r="B22" t="s">
        <v>275</v>
      </c>
      <c r="C22" t="s">
        <v>276</v>
      </c>
      <c r="E22" t="s">
        <v>277</v>
      </c>
      <c r="F22" t="s">
        <v>134</v>
      </c>
      <c r="H22" t="s">
        <v>141</v>
      </c>
      <c r="I22" t="s">
        <v>142</v>
      </c>
      <c r="J22" t="s">
        <v>258</v>
      </c>
      <c r="K22" t="s">
        <v>304</v>
      </c>
      <c r="L22" t="s">
        <v>305</v>
      </c>
      <c r="N22" t="s">
        <v>306</v>
      </c>
      <c r="O22" t="s">
        <v>158</v>
      </c>
      <c r="Q22" t="s">
        <v>164</v>
      </c>
      <c r="R22" t="s">
        <v>143</v>
      </c>
      <c r="S22" t="s">
        <v>128</v>
      </c>
      <c r="T22" t="s">
        <v>165</v>
      </c>
      <c r="U22" t="s">
        <v>129</v>
      </c>
      <c r="V22" t="s">
        <v>71</v>
      </c>
      <c r="W22" s="58">
        <v>43310</v>
      </c>
      <c r="X22" s="59">
        <v>0.3888888888888889</v>
      </c>
      <c r="Y22" s="59">
        <v>0.43055555555555558</v>
      </c>
      <c r="Z22" s="59">
        <v>4.1666666666666664E-2</v>
      </c>
      <c r="AA22">
        <v>0</v>
      </c>
      <c r="AB22">
        <v>0.9</v>
      </c>
      <c r="AC22">
        <v>23</v>
      </c>
      <c r="AD22">
        <v>10</v>
      </c>
      <c r="AE22" s="59">
        <v>0.3888888888888889</v>
      </c>
      <c r="AF22" s="59">
        <v>0.42986111111111108</v>
      </c>
      <c r="AG22">
        <v>12</v>
      </c>
    </row>
    <row r="23" spans="1:33" x14ac:dyDescent="0.25">
      <c r="A23" t="s">
        <v>258</v>
      </c>
      <c r="B23" t="s">
        <v>299</v>
      </c>
      <c r="C23" t="s">
        <v>300</v>
      </c>
      <c r="D23" t="s">
        <v>301</v>
      </c>
      <c r="E23" t="s">
        <v>302</v>
      </c>
      <c r="F23" t="s">
        <v>303</v>
      </c>
      <c r="H23" t="s">
        <v>166</v>
      </c>
      <c r="I23" t="s">
        <v>142</v>
      </c>
      <c r="J23" t="s">
        <v>258</v>
      </c>
      <c r="K23" t="s">
        <v>304</v>
      </c>
      <c r="L23" t="s">
        <v>305</v>
      </c>
      <c r="N23" t="s">
        <v>306</v>
      </c>
      <c r="O23" t="s">
        <v>158</v>
      </c>
      <c r="Q23" t="s">
        <v>164</v>
      </c>
      <c r="R23" t="s">
        <v>167</v>
      </c>
      <c r="S23" t="s">
        <v>128</v>
      </c>
      <c r="T23" t="s">
        <v>165</v>
      </c>
      <c r="U23" t="s">
        <v>129</v>
      </c>
      <c r="V23" t="s">
        <v>72</v>
      </c>
      <c r="W23" s="58">
        <v>43311</v>
      </c>
      <c r="X23" s="59">
        <v>0.30694444444444441</v>
      </c>
      <c r="Y23" s="59">
        <v>0.34861111111111115</v>
      </c>
      <c r="Z23" s="59">
        <v>4.1666666666666664E-2</v>
      </c>
      <c r="AA23">
        <v>0</v>
      </c>
      <c r="AC23">
        <v>23</v>
      </c>
      <c r="AD23">
        <v>9</v>
      </c>
      <c r="AE23" s="59">
        <v>0.30694444444444441</v>
      </c>
      <c r="AF23" s="59">
        <v>0.34791666666666665</v>
      </c>
      <c r="AG23">
        <v>12</v>
      </c>
    </row>
    <row r="24" spans="1:33" x14ac:dyDescent="0.25">
      <c r="A24" t="s">
        <v>274</v>
      </c>
      <c r="B24" t="s">
        <v>275</v>
      </c>
      <c r="C24" t="s">
        <v>276</v>
      </c>
      <c r="E24" t="s">
        <v>277</v>
      </c>
      <c r="F24" t="s">
        <v>134</v>
      </c>
      <c r="H24" t="s">
        <v>141</v>
      </c>
      <c r="I24" t="s">
        <v>142</v>
      </c>
      <c r="J24" t="s">
        <v>258</v>
      </c>
      <c r="K24" t="s">
        <v>304</v>
      </c>
      <c r="L24" t="s">
        <v>305</v>
      </c>
      <c r="N24" t="s">
        <v>306</v>
      </c>
      <c r="O24" t="s">
        <v>158</v>
      </c>
      <c r="Q24" t="s">
        <v>164</v>
      </c>
      <c r="R24" t="s">
        <v>143</v>
      </c>
      <c r="S24" t="s">
        <v>128</v>
      </c>
      <c r="T24" t="s">
        <v>165</v>
      </c>
      <c r="U24" t="s">
        <v>129</v>
      </c>
      <c r="V24" t="s">
        <v>72</v>
      </c>
      <c r="W24" s="58">
        <v>43311</v>
      </c>
      <c r="X24" s="59">
        <v>0.3888888888888889</v>
      </c>
      <c r="Y24" s="59">
        <v>0.43055555555555558</v>
      </c>
      <c r="Z24" s="59">
        <v>4.1666666666666664E-2</v>
      </c>
      <c r="AA24">
        <v>0</v>
      </c>
      <c r="AB24">
        <v>1.1704000000000001</v>
      </c>
      <c r="AC24">
        <v>23</v>
      </c>
      <c r="AD24">
        <v>9</v>
      </c>
      <c r="AE24" s="59">
        <v>0.3888888888888889</v>
      </c>
      <c r="AF24" s="59">
        <v>0.42986111111111108</v>
      </c>
      <c r="AG24">
        <v>12</v>
      </c>
    </row>
    <row r="25" spans="1:33" x14ac:dyDescent="0.25">
      <c r="A25" t="s">
        <v>258</v>
      </c>
      <c r="B25" t="s">
        <v>270</v>
      </c>
      <c r="C25" t="s">
        <v>271</v>
      </c>
      <c r="D25" t="s">
        <v>272</v>
      </c>
      <c r="E25" t="s">
        <v>273</v>
      </c>
      <c r="F25" t="s">
        <v>134</v>
      </c>
      <c r="H25" t="s">
        <v>138</v>
      </c>
      <c r="I25" t="s">
        <v>139</v>
      </c>
      <c r="J25" t="s">
        <v>258</v>
      </c>
      <c r="K25" t="s">
        <v>304</v>
      </c>
      <c r="L25" t="s">
        <v>305</v>
      </c>
      <c r="N25" t="s">
        <v>306</v>
      </c>
      <c r="O25" t="s">
        <v>158</v>
      </c>
      <c r="Q25" t="s">
        <v>164</v>
      </c>
      <c r="R25" t="s">
        <v>140</v>
      </c>
      <c r="S25" t="s">
        <v>128</v>
      </c>
      <c r="T25" t="s">
        <v>165</v>
      </c>
      <c r="U25" t="s">
        <v>129</v>
      </c>
      <c r="V25" t="s">
        <v>72</v>
      </c>
      <c r="W25" s="58">
        <v>43311</v>
      </c>
      <c r="X25" s="59">
        <v>0.76041666666666663</v>
      </c>
      <c r="Y25" s="59">
        <v>0.80208333333333337</v>
      </c>
      <c r="Z25" s="59">
        <v>4.1666666666666664E-2</v>
      </c>
      <c r="AA25">
        <v>0</v>
      </c>
      <c r="AC25">
        <v>23</v>
      </c>
      <c r="AD25">
        <v>9</v>
      </c>
      <c r="AE25" s="59">
        <v>0.76041666666666663</v>
      </c>
      <c r="AF25" s="59">
        <v>0.80138888888888893</v>
      </c>
      <c r="AG25">
        <v>12</v>
      </c>
    </row>
    <row r="26" spans="1:33" x14ac:dyDescent="0.25">
      <c r="A26" t="s">
        <v>274</v>
      </c>
      <c r="B26" t="s">
        <v>275</v>
      </c>
      <c r="C26" t="s">
        <v>276</v>
      </c>
      <c r="E26" t="s">
        <v>277</v>
      </c>
      <c r="F26" t="s">
        <v>134</v>
      </c>
      <c r="H26" t="s">
        <v>141</v>
      </c>
      <c r="I26" t="s">
        <v>142</v>
      </c>
      <c r="J26" t="s">
        <v>258</v>
      </c>
      <c r="K26" t="s">
        <v>304</v>
      </c>
      <c r="L26" t="s">
        <v>305</v>
      </c>
      <c r="N26" t="s">
        <v>306</v>
      </c>
      <c r="O26" t="s">
        <v>158</v>
      </c>
      <c r="Q26" t="s">
        <v>164</v>
      </c>
      <c r="R26" t="s">
        <v>143</v>
      </c>
      <c r="S26" t="s">
        <v>128</v>
      </c>
      <c r="T26" t="s">
        <v>165</v>
      </c>
      <c r="U26" t="s">
        <v>129</v>
      </c>
      <c r="V26" t="s">
        <v>72</v>
      </c>
      <c r="W26" s="58">
        <v>43311</v>
      </c>
      <c r="X26" s="59">
        <v>0.8125</v>
      </c>
      <c r="Y26" s="59">
        <v>0.83333333333333337</v>
      </c>
      <c r="Z26" s="59">
        <v>2.0833333333333332E-2</v>
      </c>
      <c r="AA26">
        <v>0</v>
      </c>
      <c r="AB26">
        <v>0.9</v>
      </c>
      <c r="AC26">
        <v>11.5</v>
      </c>
      <c r="AD26">
        <v>4.5</v>
      </c>
      <c r="AE26" s="59">
        <v>0.8125</v>
      </c>
      <c r="AF26" s="59">
        <v>0.83263888888888893</v>
      </c>
      <c r="AG26">
        <v>12</v>
      </c>
    </row>
    <row r="27" spans="1:33" x14ac:dyDescent="0.25">
      <c r="A27" t="s">
        <v>258</v>
      </c>
      <c r="B27" t="s">
        <v>299</v>
      </c>
      <c r="C27" t="s">
        <v>300</v>
      </c>
      <c r="D27" t="s">
        <v>301</v>
      </c>
      <c r="E27" t="s">
        <v>302</v>
      </c>
      <c r="F27" t="s">
        <v>303</v>
      </c>
      <c r="H27" t="s">
        <v>166</v>
      </c>
      <c r="I27" t="s">
        <v>142</v>
      </c>
      <c r="J27" t="s">
        <v>258</v>
      </c>
      <c r="K27" t="s">
        <v>304</v>
      </c>
      <c r="L27" t="s">
        <v>305</v>
      </c>
      <c r="N27" t="s">
        <v>306</v>
      </c>
      <c r="O27" t="s">
        <v>158</v>
      </c>
      <c r="Q27" t="s">
        <v>164</v>
      </c>
      <c r="R27" t="s">
        <v>167</v>
      </c>
      <c r="S27" t="s">
        <v>128</v>
      </c>
      <c r="T27" t="s">
        <v>165</v>
      </c>
      <c r="U27" t="s">
        <v>129</v>
      </c>
      <c r="V27" t="s">
        <v>74</v>
      </c>
      <c r="W27" s="58">
        <v>43313</v>
      </c>
      <c r="X27" s="59">
        <v>0.30208333333333331</v>
      </c>
      <c r="Y27" s="59">
        <v>0.34375</v>
      </c>
      <c r="Z27" s="59">
        <v>4.1666666666666664E-2</v>
      </c>
      <c r="AA27">
        <v>0</v>
      </c>
      <c r="AC27">
        <v>23</v>
      </c>
      <c r="AD27">
        <v>9</v>
      </c>
      <c r="AE27" s="59">
        <v>0.30208333333333331</v>
      </c>
      <c r="AF27" s="59">
        <v>0.3430555555555555</v>
      </c>
      <c r="AG27">
        <v>12</v>
      </c>
    </row>
    <row r="28" spans="1:33" x14ac:dyDescent="0.25">
      <c r="A28" t="s">
        <v>274</v>
      </c>
      <c r="B28" t="s">
        <v>275</v>
      </c>
      <c r="C28" t="s">
        <v>276</v>
      </c>
      <c r="E28" t="s">
        <v>277</v>
      </c>
      <c r="F28" t="s">
        <v>134</v>
      </c>
      <c r="H28" t="s">
        <v>141</v>
      </c>
      <c r="I28" t="s">
        <v>142</v>
      </c>
      <c r="J28" t="s">
        <v>258</v>
      </c>
      <c r="K28" t="s">
        <v>304</v>
      </c>
      <c r="L28" t="s">
        <v>305</v>
      </c>
      <c r="N28" t="s">
        <v>306</v>
      </c>
      <c r="O28" t="s">
        <v>158</v>
      </c>
      <c r="Q28" t="s">
        <v>164</v>
      </c>
      <c r="R28" t="s">
        <v>143</v>
      </c>
      <c r="S28" t="s">
        <v>128</v>
      </c>
      <c r="T28" t="s">
        <v>165</v>
      </c>
      <c r="U28" t="s">
        <v>129</v>
      </c>
      <c r="V28" t="s">
        <v>74</v>
      </c>
      <c r="W28" s="58">
        <v>43313</v>
      </c>
      <c r="X28" s="59">
        <v>0.35416666666666669</v>
      </c>
      <c r="Y28" s="59">
        <v>0.39583333333333331</v>
      </c>
      <c r="Z28" s="59">
        <v>4.1666666666666664E-2</v>
      </c>
      <c r="AA28">
        <v>0</v>
      </c>
      <c r="AB28">
        <v>1.1704000000000001</v>
      </c>
      <c r="AC28">
        <v>23</v>
      </c>
      <c r="AD28">
        <v>9</v>
      </c>
      <c r="AE28" s="59">
        <v>0.35416666666666669</v>
      </c>
      <c r="AF28" s="59">
        <v>0.39513888888888887</v>
      </c>
      <c r="AG28">
        <v>12</v>
      </c>
    </row>
    <row r="29" spans="1:33" x14ac:dyDescent="0.25">
      <c r="A29" t="s">
        <v>258</v>
      </c>
      <c r="B29" t="s">
        <v>299</v>
      </c>
      <c r="C29" t="s">
        <v>300</v>
      </c>
      <c r="D29" t="s">
        <v>301</v>
      </c>
      <c r="E29" t="s">
        <v>302</v>
      </c>
      <c r="F29" t="s">
        <v>303</v>
      </c>
      <c r="H29" t="s">
        <v>166</v>
      </c>
      <c r="I29" t="s">
        <v>142</v>
      </c>
      <c r="J29" t="s">
        <v>258</v>
      </c>
      <c r="K29" t="s">
        <v>304</v>
      </c>
      <c r="L29" t="s">
        <v>305</v>
      </c>
      <c r="N29" t="s">
        <v>306</v>
      </c>
      <c r="O29" t="s">
        <v>158</v>
      </c>
      <c r="Q29" t="s">
        <v>164</v>
      </c>
      <c r="R29" t="s">
        <v>167</v>
      </c>
      <c r="S29" t="s">
        <v>128</v>
      </c>
      <c r="T29" t="s">
        <v>165</v>
      </c>
      <c r="U29" t="s">
        <v>129</v>
      </c>
      <c r="V29" t="s">
        <v>75</v>
      </c>
      <c r="W29" s="58">
        <v>43314</v>
      </c>
      <c r="X29" s="59">
        <v>0.30208333333333331</v>
      </c>
      <c r="Y29" s="59">
        <v>0.34375</v>
      </c>
      <c r="Z29" s="59">
        <v>4.1666666666666664E-2</v>
      </c>
      <c r="AA29">
        <v>0</v>
      </c>
      <c r="AC29">
        <v>23</v>
      </c>
      <c r="AD29">
        <v>9</v>
      </c>
      <c r="AE29" s="59">
        <v>0.30208333333333331</v>
      </c>
      <c r="AF29" s="59">
        <v>0.3430555555555555</v>
      </c>
      <c r="AG29">
        <v>12</v>
      </c>
    </row>
    <row r="30" spans="1:33" x14ac:dyDescent="0.25">
      <c r="A30" t="s">
        <v>258</v>
      </c>
      <c r="B30" t="s">
        <v>299</v>
      </c>
      <c r="C30" t="s">
        <v>300</v>
      </c>
      <c r="D30" t="s">
        <v>301</v>
      </c>
      <c r="E30" t="s">
        <v>302</v>
      </c>
      <c r="F30" t="s">
        <v>303</v>
      </c>
      <c r="H30" t="s">
        <v>166</v>
      </c>
      <c r="I30" t="s">
        <v>142</v>
      </c>
      <c r="J30" t="s">
        <v>258</v>
      </c>
      <c r="K30" t="s">
        <v>304</v>
      </c>
      <c r="L30" t="s">
        <v>305</v>
      </c>
      <c r="N30" t="s">
        <v>306</v>
      </c>
      <c r="O30" t="s">
        <v>158</v>
      </c>
      <c r="Q30" t="s">
        <v>164</v>
      </c>
      <c r="R30" t="s">
        <v>167</v>
      </c>
      <c r="S30" t="s">
        <v>128</v>
      </c>
      <c r="T30" t="s">
        <v>165</v>
      </c>
      <c r="U30" t="s">
        <v>129</v>
      </c>
      <c r="V30" t="s">
        <v>76</v>
      </c>
      <c r="W30" s="58">
        <v>43315</v>
      </c>
      <c r="X30" s="59">
        <v>0.30208333333333331</v>
      </c>
      <c r="Y30" s="59">
        <v>0.34375</v>
      </c>
      <c r="Z30" s="59">
        <v>4.1666666666666664E-2</v>
      </c>
      <c r="AA30">
        <v>0</v>
      </c>
      <c r="AC30">
        <v>23</v>
      </c>
      <c r="AD30">
        <v>9</v>
      </c>
      <c r="AE30" s="59">
        <v>0.30208333333333331</v>
      </c>
      <c r="AF30" s="59">
        <v>0.3430555555555555</v>
      </c>
      <c r="AG30">
        <v>12</v>
      </c>
    </row>
    <row r="31" spans="1:33" x14ac:dyDescent="0.25">
      <c r="A31" t="s">
        <v>258</v>
      </c>
      <c r="B31" t="s">
        <v>299</v>
      </c>
      <c r="C31" t="s">
        <v>300</v>
      </c>
      <c r="D31" t="s">
        <v>301</v>
      </c>
      <c r="E31" t="s">
        <v>302</v>
      </c>
      <c r="F31" t="s">
        <v>303</v>
      </c>
      <c r="H31" t="s">
        <v>166</v>
      </c>
      <c r="I31" t="s">
        <v>142</v>
      </c>
      <c r="J31" t="s">
        <v>258</v>
      </c>
      <c r="K31" t="s">
        <v>304</v>
      </c>
      <c r="L31" t="s">
        <v>305</v>
      </c>
      <c r="N31" t="s">
        <v>306</v>
      </c>
      <c r="O31" t="s">
        <v>158</v>
      </c>
      <c r="Q31" t="s">
        <v>164</v>
      </c>
      <c r="R31" t="s">
        <v>167</v>
      </c>
      <c r="S31" t="s">
        <v>128</v>
      </c>
      <c r="T31" t="s">
        <v>165</v>
      </c>
      <c r="U31" t="s">
        <v>129</v>
      </c>
      <c r="V31" t="s">
        <v>77</v>
      </c>
      <c r="W31" s="58">
        <v>43316</v>
      </c>
      <c r="X31" s="59">
        <v>0.30208333333333331</v>
      </c>
      <c r="Y31" s="59">
        <v>0.34375</v>
      </c>
      <c r="Z31" s="59">
        <v>4.1666666666666664E-2</v>
      </c>
      <c r="AA31">
        <v>7</v>
      </c>
      <c r="AD31">
        <v>0</v>
      </c>
      <c r="AG31">
        <v>12</v>
      </c>
    </row>
    <row r="32" spans="1:33" x14ac:dyDescent="0.25">
      <c r="A32" t="s">
        <v>274</v>
      </c>
      <c r="B32" t="s">
        <v>275</v>
      </c>
      <c r="C32" t="s">
        <v>276</v>
      </c>
      <c r="E32" t="s">
        <v>277</v>
      </c>
      <c r="F32" t="s">
        <v>134</v>
      </c>
      <c r="H32" t="s">
        <v>141</v>
      </c>
      <c r="I32" t="s">
        <v>142</v>
      </c>
      <c r="J32" t="s">
        <v>258</v>
      </c>
      <c r="K32" t="s">
        <v>304</v>
      </c>
      <c r="L32" t="s">
        <v>305</v>
      </c>
      <c r="N32" t="s">
        <v>306</v>
      </c>
      <c r="O32" t="s">
        <v>158</v>
      </c>
      <c r="Q32" t="s">
        <v>164</v>
      </c>
      <c r="R32" t="s">
        <v>143</v>
      </c>
      <c r="S32" t="s">
        <v>128</v>
      </c>
      <c r="T32" t="s">
        <v>165</v>
      </c>
      <c r="U32" t="s">
        <v>129</v>
      </c>
      <c r="V32" t="s">
        <v>77</v>
      </c>
      <c r="W32" s="58">
        <v>43316</v>
      </c>
      <c r="X32" s="59">
        <v>0.375</v>
      </c>
      <c r="Y32" s="59">
        <v>0.41666666666666669</v>
      </c>
      <c r="Z32" s="59">
        <v>4.1666666666666664E-2</v>
      </c>
      <c r="AA32">
        <v>3</v>
      </c>
      <c r="AC32">
        <v>23</v>
      </c>
      <c r="AD32">
        <v>10</v>
      </c>
      <c r="AE32" s="59">
        <v>0.375</v>
      </c>
      <c r="AF32" s="59">
        <v>0.41597222222222219</v>
      </c>
      <c r="AG32">
        <v>12</v>
      </c>
    </row>
    <row r="33" spans="1:33" x14ac:dyDescent="0.25">
      <c r="A33" t="s">
        <v>258</v>
      </c>
      <c r="B33" t="s">
        <v>270</v>
      </c>
      <c r="C33" t="s">
        <v>271</v>
      </c>
      <c r="D33" t="s">
        <v>272</v>
      </c>
      <c r="E33" t="s">
        <v>273</v>
      </c>
      <c r="F33" t="s">
        <v>134</v>
      </c>
      <c r="H33" t="s">
        <v>138</v>
      </c>
      <c r="I33" t="s">
        <v>139</v>
      </c>
      <c r="J33" t="s">
        <v>258</v>
      </c>
      <c r="K33" t="s">
        <v>304</v>
      </c>
      <c r="L33" t="s">
        <v>305</v>
      </c>
      <c r="N33" t="s">
        <v>306</v>
      </c>
      <c r="O33" t="s">
        <v>158</v>
      </c>
      <c r="Q33" t="s">
        <v>164</v>
      </c>
      <c r="R33" t="s">
        <v>140</v>
      </c>
      <c r="S33" t="s">
        <v>128</v>
      </c>
      <c r="T33" t="s">
        <v>165</v>
      </c>
      <c r="U33" t="s">
        <v>129</v>
      </c>
      <c r="V33" t="s">
        <v>77</v>
      </c>
      <c r="W33" s="58">
        <v>43316</v>
      </c>
      <c r="X33" s="59">
        <v>0.76041666666666663</v>
      </c>
      <c r="Y33" s="59">
        <v>0.80208333333333337</v>
      </c>
      <c r="Z33" s="59">
        <v>4.1666666666666664E-2</v>
      </c>
      <c r="AA33">
        <v>0</v>
      </c>
      <c r="AC33">
        <v>23</v>
      </c>
      <c r="AD33">
        <v>10</v>
      </c>
      <c r="AE33" s="59">
        <v>0.76041666666666663</v>
      </c>
      <c r="AF33" s="59">
        <v>0.80138888888888893</v>
      </c>
      <c r="AG33">
        <v>12</v>
      </c>
    </row>
    <row r="34" spans="1:33" x14ac:dyDescent="0.25">
      <c r="A34" t="s">
        <v>274</v>
      </c>
      <c r="B34" t="s">
        <v>275</v>
      </c>
      <c r="C34" t="s">
        <v>276</v>
      </c>
      <c r="E34" t="s">
        <v>277</v>
      </c>
      <c r="F34" t="s">
        <v>134</v>
      </c>
      <c r="H34" t="s">
        <v>141</v>
      </c>
      <c r="I34" t="s">
        <v>142</v>
      </c>
      <c r="J34" t="s">
        <v>258</v>
      </c>
      <c r="K34" t="s">
        <v>304</v>
      </c>
      <c r="L34" t="s">
        <v>305</v>
      </c>
      <c r="N34" t="s">
        <v>306</v>
      </c>
      <c r="O34" t="s">
        <v>158</v>
      </c>
      <c r="Q34" t="s">
        <v>164</v>
      </c>
      <c r="R34" t="s">
        <v>143</v>
      </c>
      <c r="S34" t="s">
        <v>128</v>
      </c>
      <c r="T34" t="s">
        <v>165</v>
      </c>
      <c r="U34" t="s">
        <v>129</v>
      </c>
      <c r="V34" t="s">
        <v>77</v>
      </c>
      <c r="W34" s="58">
        <v>43316</v>
      </c>
      <c r="X34" s="59">
        <v>0.8125</v>
      </c>
      <c r="Y34" s="59">
        <v>0.83333333333333337</v>
      </c>
      <c r="Z34" s="59">
        <v>2.0833333333333332E-2</v>
      </c>
      <c r="AA34">
        <v>0</v>
      </c>
      <c r="AB34">
        <v>0.9</v>
      </c>
      <c r="AC34">
        <v>11.5</v>
      </c>
      <c r="AD34">
        <v>5</v>
      </c>
      <c r="AE34" s="59">
        <v>0.8125</v>
      </c>
      <c r="AF34" s="59">
        <v>0.83263888888888893</v>
      </c>
      <c r="AG34">
        <v>12</v>
      </c>
    </row>
    <row r="35" spans="1:33" x14ac:dyDescent="0.25">
      <c r="A35" t="s">
        <v>274</v>
      </c>
      <c r="B35" t="s">
        <v>275</v>
      </c>
      <c r="C35" t="s">
        <v>276</v>
      </c>
      <c r="E35" t="s">
        <v>277</v>
      </c>
      <c r="F35" t="s">
        <v>134</v>
      </c>
      <c r="H35" t="s">
        <v>141</v>
      </c>
      <c r="I35" t="s">
        <v>142</v>
      </c>
      <c r="J35" t="s">
        <v>258</v>
      </c>
      <c r="K35" t="s">
        <v>304</v>
      </c>
      <c r="L35" t="s">
        <v>305</v>
      </c>
      <c r="N35" t="s">
        <v>306</v>
      </c>
      <c r="O35" t="s">
        <v>158</v>
      </c>
      <c r="Q35" t="s">
        <v>164</v>
      </c>
      <c r="R35" t="s">
        <v>143</v>
      </c>
      <c r="S35" t="s">
        <v>128</v>
      </c>
      <c r="T35" t="s">
        <v>165</v>
      </c>
      <c r="U35" t="s">
        <v>129</v>
      </c>
      <c r="V35" t="s">
        <v>72</v>
      </c>
      <c r="W35" s="58">
        <v>43318</v>
      </c>
      <c r="X35" s="59">
        <v>0.3888888888888889</v>
      </c>
      <c r="Y35" s="59">
        <v>0.43055555555555558</v>
      </c>
      <c r="Z35" s="59">
        <v>4.1666666666666664E-2</v>
      </c>
      <c r="AA35">
        <v>0</v>
      </c>
      <c r="AC35">
        <v>23</v>
      </c>
      <c r="AD35">
        <v>9</v>
      </c>
      <c r="AE35" s="59">
        <v>0.3888888888888889</v>
      </c>
      <c r="AF35" s="59">
        <v>0.42986111111111108</v>
      </c>
      <c r="AG35">
        <v>12</v>
      </c>
    </row>
    <row r="36" spans="1:33" x14ac:dyDescent="0.25">
      <c r="A36" t="s">
        <v>258</v>
      </c>
      <c r="B36" t="s">
        <v>270</v>
      </c>
      <c r="C36" t="s">
        <v>271</v>
      </c>
      <c r="D36" t="s">
        <v>272</v>
      </c>
      <c r="E36" t="s">
        <v>273</v>
      </c>
      <c r="F36" t="s">
        <v>134</v>
      </c>
      <c r="H36" t="s">
        <v>138</v>
      </c>
      <c r="I36" t="s">
        <v>139</v>
      </c>
      <c r="J36" t="s">
        <v>258</v>
      </c>
      <c r="K36" t="s">
        <v>304</v>
      </c>
      <c r="L36" t="s">
        <v>305</v>
      </c>
      <c r="N36" t="s">
        <v>306</v>
      </c>
      <c r="O36" t="s">
        <v>158</v>
      </c>
      <c r="Q36" t="s">
        <v>164</v>
      </c>
      <c r="R36" t="s">
        <v>140</v>
      </c>
      <c r="S36" t="s">
        <v>128</v>
      </c>
      <c r="T36" t="s">
        <v>165</v>
      </c>
      <c r="U36" t="s">
        <v>129</v>
      </c>
      <c r="V36" t="s">
        <v>72</v>
      </c>
      <c r="W36" s="58">
        <v>43318</v>
      </c>
      <c r="X36" s="59">
        <v>0.76041666666666663</v>
      </c>
      <c r="Y36" s="59">
        <v>0.80208333333333337</v>
      </c>
      <c r="Z36" s="59">
        <v>4.1666666666666664E-2</v>
      </c>
      <c r="AA36">
        <v>0</v>
      </c>
      <c r="AC36">
        <v>23</v>
      </c>
      <c r="AD36">
        <v>9</v>
      </c>
      <c r="AE36" s="59">
        <v>0.76041666666666663</v>
      </c>
      <c r="AF36" s="59">
        <v>0.80138888888888893</v>
      </c>
      <c r="AG36">
        <v>12</v>
      </c>
    </row>
    <row r="37" spans="1:33" x14ac:dyDescent="0.25">
      <c r="A37" t="s">
        <v>274</v>
      </c>
      <c r="B37" t="s">
        <v>275</v>
      </c>
      <c r="C37" t="s">
        <v>276</v>
      </c>
      <c r="E37" t="s">
        <v>277</v>
      </c>
      <c r="F37" t="s">
        <v>134</v>
      </c>
      <c r="H37" t="s">
        <v>141</v>
      </c>
      <c r="I37" t="s">
        <v>142</v>
      </c>
      <c r="J37" t="s">
        <v>258</v>
      </c>
      <c r="K37" t="s">
        <v>304</v>
      </c>
      <c r="L37" t="s">
        <v>305</v>
      </c>
      <c r="N37" t="s">
        <v>306</v>
      </c>
      <c r="O37" t="s">
        <v>158</v>
      </c>
      <c r="Q37" t="s">
        <v>164</v>
      </c>
      <c r="R37" t="s">
        <v>143</v>
      </c>
      <c r="S37" t="s">
        <v>128</v>
      </c>
      <c r="T37" t="s">
        <v>165</v>
      </c>
      <c r="U37" t="s">
        <v>129</v>
      </c>
      <c r="V37" t="s">
        <v>72</v>
      </c>
      <c r="W37" s="58">
        <v>43318</v>
      </c>
      <c r="X37" s="59">
        <v>0.8125</v>
      </c>
      <c r="Y37" s="59">
        <v>0.83333333333333337</v>
      </c>
      <c r="Z37" s="59">
        <v>2.0833333333333332E-2</v>
      </c>
      <c r="AA37">
        <v>3</v>
      </c>
      <c r="AB37">
        <v>0.9</v>
      </c>
      <c r="AC37">
        <v>11.5</v>
      </c>
      <c r="AD37">
        <v>4.5</v>
      </c>
      <c r="AE37" s="59">
        <v>0.8125</v>
      </c>
      <c r="AF37" s="59">
        <v>0.83263888888888893</v>
      </c>
      <c r="AG37">
        <v>12</v>
      </c>
    </row>
    <row r="38" spans="1:33" x14ac:dyDescent="0.25">
      <c r="A38" t="s">
        <v>258</v>
      </c>
      <c r="B38" t="s">
        <v>270</v>
      </c>
      <c r="C38" t="s">
        <v>271</v>
      </c>
      <c r="D38" t="s">
        <v>272</v>
      </c>
      <c r="E38" t="s">
        <v>273</v>
      </c>
      <c r="F38" t="s">
        <v>134</v>
      </c>
      <c r="H38" t="s">
        <v>138</v>
      </c>
      <c r="I38" t="s">
        <v>139</v>
      </c>
      <c r="J38" t="s">
        <v>258</v>
      </c>
      <c r="K38" t="s">
        <v>304</v>
      </c>
      <c r="L38" t="s">
        <v>305</v>
      </c>
      <c r="N38" t="s">
        <v>306</v>
      </c>
      <c r="O38" t="s">
        <v>158</v>
      </c>
      <c r="Q38" t="s">
        <v>164</v>
      </c>
      <c r="R38" t="s">
        <v>140</v>
      </c>
      <c r="S38" t="s">
        <v>128</v>
      </c>
      <c r="T38" t="s">
        <v>165</v>
      </c>
      <c r="U38" t="s">
        <v>129</v>
      </c>
      <c r="V38" t="s">
        <v>73</v>
      </c>
      <c r="W38" s="58">
        <v>43319</v>
      </c>
      <c r="X38" s="59">
        <v>0.33333333333333331</v>
      </c>
      <c r="Y38" s="59">
        <v>0.375</v>
      </c>
      <c r="Z38" s="59">
        <v>4.1666666666666664E-2</v>
      </c>
      <c r="AA38">
        <v>0</v>
      </c>
      <c r="AC38">
        <v>23</v>
      </c>
      <c r="AD38">
        <v>9</v>
      </c>
      <c r="AE38" s="59">
        <v>0.33333333333333331</v>
      </c>
      <c r="AF38" s="59">
        <v>0.3743055555555555</v>
      </c>
      <c r="AG38">
        <v>12</v>
      </c>
    </row>
    <row r="39" spans="1:33" x14ac:dyDescent="0.25">
      <c r="A39" t="s">
        <v>274</v>
      </c>
      <c r="B39" t="s">
        <v>275</v>
      </c>
      <c r="C39" t="s">
        <v>276</v>
      </c>
      <c r="E39" t="s">
        <v>277</v>
      </c>
      <c r="F39" t="s">
        <v>134</v>
      </c>
      <c r="H39" t="s">
        <v>141</v>
      </c>
      <c r="I39" t="s">
        <v>142</v>
      </c>
      <c r="J39" t="s">
        <v>258</v>
      </c>
      <c r="K39" t="s">
        <v>304</v>
      </c>
      <c r="L39" t="s">
        <v>305</v>
      </c>
      <c r="N39" t="s">
        <v>306</v>
      </c>
      <c r="O39" t="s">
        <v>158</v>
      </c>
      <c r="Q39" t="s">
        <v>164</v>
      </c>
      <c r="R39" t="s">
        <v>143</v>
      </c>
      <c r="S39" t="s">
        <v>128</v>
      </c>
      <c r="T39" t="s">
        <v>165</v>
      </c>
      <c r="U39" t="s">
        <v>129</v>
      </c>
      <c r="V39" t="s">
        <v>73</v>
      </c>
      <c r="W39" s="58">
        <v>43319</v>
      </c>
      <c r="X39" s="59">
        <v>0.3888888888888889</v>
      </c>
      <c r="Y39" s="59">
        <v>0.43055555555555558</v>
      </c>
      <c r="Z39" s="59">
        <v>4.1666666666666664E-2</v>
      </c>
      <c r="AA39">
        <v>0</v>
      </c>
      <c r="AB39">
        <v>0.9</v>
      </c>
      <c r="AC39">
        <v>23</v>
      </c>
      <c r="AD39">
        <v>9</v>
      </c>
      <c r="AE39" s="59">
        <v>0.3888888888888889</v>
      </c>
      <c r="AF39" s="59">
        <v>0.42986111111111108</v>
      </c>
      <c r="AG39">
        <v>12</v>
      </c>
    </row>
    <row r="40" spans="1:33" x14ac:dyDescent="0.25">
      <c r="A40" t="s">
        <v>258</v>
      </c>
      <c r="B40" t="s">
        <v>299</v>
      </c>
      <c r="C40" t="s">
        <v>300</v>
      </c>
      <c r="D40" t="s">
        <v>301</v>
      </c>
      <c r="E40" t="s">
        <v>302</v>
      </c>
      <c r="F40" t="s">
        <v>303</v>
      </c>
      <c r="H40" t="s">
        <v>166</v>
      </c>
      <c r="I40" t="s">
        <v>142</v>
      </c>
      <c r="J40" t="s">
        <v>258</v>
      </c>
      <c r="K40" t="s">
        <v>304</v>
      </c>
      <c r="L40" t="s">
        <v>305</v>
      </c>
      <c r="N40" t="s">
        <v>306</v>
      </c>
      <c r="O40" t="s">
        <v>158</v>
      </c>
      <c r="Q40" t="s">
        <v>164</v>
      </c>
      <c r="R40" t="s">
        <v>167</v>
      </c>
      <c r="S40" t="s">
        <v>128</v>
      </c>
      <c r="T40" t="s">
        <v>165</v>
      </c>
      <c r="U40" t="s">
        <v>129</v>
      </c>
      <c r="V40" t="s">
        <v>74</v>
      </c>
      <c r="W40" s="58">
        <v>43320</v>
      </c>
      <c r="X40" s="59">
        <v>0.30208333333333331</v>
      </c>
      <c r="Y40" s="59">
        <v>0.34375</v>
      </c>
      <c r="Z40" s="59">
        <v>4.1666666666666664E-2</v>
      </c>
      <c r="AA40">
        <v>7</v>
      </c>
      <c r="AC40">
        <v>23</v>
      </c>
      <c r="AD40">
        <v>9</v>
      </c>
      <c r="AE40" s="59">
        <v>0.30208333333333331</v>
      </c>
      <c r="AF40" s="59">
        <v>0.3430555555555555</v>
      </c>
      <c r="AG40">
        <v>12</v>
      </c>
    </row>
    <row r="41" spans="1:33" x14ac:dyDescent="0.25">
      <c r="A41" t="s">
        <v>274</v>
      </c>
      <c r="B41" t="s">
        <v>275</v>
      </c>
      <c r="C41" t="s">
        <v>276</v>
      </c>
      <c r="E41" t="s">
        <v>277</v>
      </c>
      <c r="F41" t="s">
        <v>134</v>
      </c>
      <c r="H41" t="s">
        <v>141</v>
      </c>
      <c r="I41" t="s">
        <v>142</v>
      </c>
      <c r="J41" t="s">
        <v>258</v>
      </c>
      <c r="K41" t="s">
        <v>304</v>
      </c>
      <c r="L41" t="s">
        <v>305</v>
      </c>
      <c r="N41" t="s">
        <v>306</v>
      </c>
      <c r="O41" t="s">
        <v>158</v>
      </c>
      <c r="Q41" t="s">
        <v>164</v>
      </c>
      <c r="R41" t="s">
        <v>143</v>
      </c>
      <c r="S41" t="s">
        <v>128</v>
      </c>
      <c r="T41" t="s">
        <v>165</v>
      </c>
      <c r="U41" t="s">
        <v>129</v>
      </c>
      <c r="V41" t="s">
        <v>74</v>
      </c>
      <c r="W41" s="58">
        <v>43320</v>
      </c>
      <c r="X41" s="59">
        <v>0.35416666666666669</v>
      </c>
      <c r="Y41" s="59">
        <v>0.39583333333333331</v>
      </c>
      <c r="Z41" s="59">
        <v>4.1666666666666664E-2</v>
      </c>
      <c r="AA41">
        <v>0</v>
      </c>
      <c r="AB41">
        <v>1.1704000000000001</v>
      </c>
      <c r="AC41">
        <v>23</v>
      </c>
      <c r="AD41">
        <v>9</v>
      </c>
      <c r="AE41" s="59">
        <v>0.35416666666666669</v>
      </c>
      <c r="AF41" s="59">
        <v>0.39513888888888887</v>
      </c>
      <c r="AG41">
        <v>12</v>
      </c>
    </row>
    <row r="42" spans="1:33" x14ac:dyDescent="0.25">
      <c r="A42" t="s">
        <v>258</v>
      </c>
      <c r="B42" t="s">
        <v>299</v>
      </c>
      <c r="C42" t="s">
        <v>300</v>
      </c>
      <c r="D42" t="s">
        <v>301</v>
      </c>
      <c r="E42" t="s">
        <v>302</v>
      </c>
      <c r="F42" t="s">
        <v>303</v>
      </c>
      <c r="H42" t="s">
        <v>166</v>
      </c>
      <c r="I42" t="s">
        <v>142</v>
      </c>
      <c r="J42" t="s">
        <v>258</v>
      </c>
      <c r="K42" t="s">
        <v>304</v>
      </c>
      <c r="L42" t="s">
        <v>305</v>
      </c>
      <c r="N42" t="s">
        <v>306</v>
      </c>
      <c r="O42" t="s">
        <v>158</v>
      </c>
      <c r="Q42" t="s">
        <v>164</v>
      </c>
      <c r="R42" t="s">
        <v>167</v>
      </c>
      <c r="S42" t="s">
        <v>128</v>
      </c>
      <c r="T42" t="s">
        <v>165</v>
      </c>
      <c r="U42" t="s">
        <v>129</v>
      </c>
      <c r="V42" t="s">
        <v>75</v>
      </c>
      <c r="W42" s="58">
        <v>43321</v>
      </c>
      <c r="X42" s="59">
        <v>0.30694444444444441</v>
      </c>
      <c r="Y42" s="59">
        <v>0.34861111111111115</v>
      </c>
      <c r="Z42" s="59">
        <v>4.1666666666666664E-2</v>
      </c>
      <c r="AA42">
        <v>0</v>
      </c>
      <c r="AC42">
        <v>23</v>
      </c>
      <c r="AD42">
        <v>9</v>
      </c>
      <c r="AE42" s="59">
        <v>0.30694444444444441</v>
      </c>
      <c r="AF42" s="59">
        <v>0.34791666666666665</v>
      </c>
      <c r="AG42">
        <v>12</v>
      </c>
    </row>
    <row r="43" spans="1:33" x14ac:dyDescent="0.25">
      <c r="A43" t="s">
        <v>274</v>
      </c>
      <c r="B43" t="s">
        <v>275</v>
      </c>
      <c r="C43" t="s">
        <v>276</v>
      </c>
      <c r="E43" t="s">
        <v>277</v>
      </c>
      <c r="F43" t="s">
        <v>134</v>
      </c>
      <c r="H43" t="s">
        <v>141</v>
      </c>
      <c r="I43" t="s">
        <v>142</v>
      </c>
      <c r="J43" t="s">
        <v>258</v>
      </c>
      <c r="K43" t="s">
        <v>304</v>
      </c>
      <c r="L43" t="s">
        <v>305</v>
      </c>
      <c r="N43" t="s">
        <v>306</v>
      </c>
      <c r="O43" t="s">
        <v>158</v>
      </c>
      <c r="Q43" t="s">
        <v>164</v>
      </c>
      <c r="R43" t="s">
        <v>143</v>
      </c>
      <c r="S43" t="s">
        <v>128</v>
      </c>
      <c r="T43" t="s">
        <v>165</v>
      </c>
      <c r="U43" t="s">
        <v>129</v>
      </c>
      <c r="V43" t="s">
        <v>75</v>
      </c>
      <c r="W43" s="58">
        <v>43321</v>
      </c>
      <c r="X43" s="59">
        <v>0.3888888888888889</v>
      </c>
      <c r="Y43" s="59">
        <v>0.43055555555555558</v>
      </c>
      <c r="Z43" s="59">
        <v>4.1666666666666664E-2</v>
      </c>
      <c r="AA43">
        <v>0</v>
      </c>
      <c r="AB43">
        <v>1.1704000000000001</v>
      </c>
      <c r="AC43">
        <v>23</v>
      </c>
      <c r="AD43">
        <v>9</v>
      </c>
      <c r="AE43" s="59">
        <v>0.3888888888888889</v>
      </c>
      <c r="AF43" s="59">
        <v>0.42986111111111108</v>
      </c>
      <c r="AG43">
        <v>12</v>
      </c>
    </row>
    <row r="44" spans="1:33" x14ac:dyDescent="0.25">
      <c r="B44" t="s">
        <v>307</v>
      </c>
      <c r="C44" t="s">
        <v>308</v>
      </c>
      <c r="D44" t="s">
        <v>309</v>
      </c>
      <c r="E44" t="s">
        <v>134</v>
      </c>
      <c r="H44" t="s">
        <v>171</v>
      </c>
      <c r="I44" t="s">
        <v>169</v>
      </c>
      <c r="J44" t="s">
        <v>258</v>
      </c>
      <c r="K44" t="s">
        <v>304</v>
      </c>
      <c r="L44" t="s">
        <v>305</v>
      </c>
      <c r="N44" t="s">
        <v>306</v>
      </c>
      <c r="O44" t="s">
        <v>158</v>
      </c>
      <c r="Q44" t="s">
        <v>164</v>
      </c>
      <c r="R44" t="s">
        <v>172</v>
      </c>
      <c r="S44" t="s">
        <v>128</v>
      </c>
      <c r="T44" t="s">
        <v>165</v>
      </c>
      <c r="U44" t="s">
        <v>129</v>
      </c>
      <c r="V44" t="s">
        <v>71</v>
      </c>
      <c r="W44" s="58">
        <v>43324</v>
      </c>
      <c r="X44" s="59">
        <v>0.3125</v>
      </c>
      <c r="Y44" s="59">
        <v>0.35416666666666669</v>
      </c>
      <c r="Z44" s="59">
        <v>4.1666666666666664E-2</v>
      </c>
      <c r="AA44">
        <v>0</v>
      </c>
      <c r="AC44">
        <v>23</v>
      </c>
      <c r="AD44">
        <v>10</v>
      </c>
      <c r="AE44" s="59">
        <v>0.3125</v>
      </c>
      <c r="AF44" s="59">
        <v>0.35347222222222219</v>
      </c>
      <c r="AG44">
        <v>12</v>
      </c>
    </row>
    <row r="45" spans="1:33" x14ac:dyDescent="0.25">
      <c r="A45" t="s">
        <v>274</v>
      </c>
      <c r="B45" t="s">
        <v>275</v>
      </c>
      <c r="C45" t="s">
        <v>276</v>
      </c>
      <c r="E45" t="s">
        <v>277</v>
      </c>
      <c r="F45" t="s">
        <v>134</v>
      </c>
      <c r="H45" t="s">
        <v>141</v>
      </c>
      <c r="I45" t="s">
        <v>142</v>
      </c>
      <c r="J45" t="s">
        <v>258</v>
      </c>
      <c r="K45" t="s">
        <v>304</v>
      </c>
      <c r="L45" t="s">
        <v>305</v>
      </c>
      <c r="N45" t="s">
        <v>306</v>
      </c>
      <c r="O45" t="s">
        <v>158</v>
      </c>
      <c r="Q45" t="s">
        <v>164</v>
      </c>
      <c r="R45" t="s">
        <v>143</v>
      </c>
      <c r="S45" t="s">
        <v>128</v>
      </c>
      <c r="T45" t="s">
        <v>165</v>
      </c>
      <c r="U45" t="s">
        <v>129</v>
      </c>
      <c r="V45" t="s">
        <v>71</v>
      </c>
      <c r="W45" s="58">
        <v>43324</v>
      </c>
      <c r="X45" s="59">
        <v>0.3888888888888889</v>
      </c>
      <c r="Y45" s="59">
        <v>0.43055555555555558</v>
      </c>
      <c r="Z45" s="59">
        <v>4.1666666666666664E-2</v>
      </c>
      <c r="AA45">
        <v>0</v>
      </c>
      <c r="AB45">
        <v>5.0932000000000004</v>
      </c>
      <c r="AC45">
        <v>23</v>
      </c>
      <c r="AD45">
        <v>10</v>
      </c>
      <c r="AE45" s="59">
        <v>0.3888888888888889</v>
      </c>
      <c r="AF45" s="59">
        <v>0.42986111111111108</v>
      </c>
      <c r="AG45">
        <v>12</v>
      </c>
    </row>
    <row r="46" spans="1:33" x14ac:dyDescent="0.25">
      <c r="A46" t="s">
        <v>258</v>
      </c>
      <c r="B46" t="s">
        <v>299</v>
      </c>
      <c r="C46" t="s">
        <v>300</v>
      </c>
      <c r="D46" t="s">
        <v>301</v>
      </c>
      <c r="E46" t="s">
        <v>302</v>
      </c>
      <c r="F46" t="s">
        <v>303</v>
      </c>
      <c r="H46" t="s">
        <v>166</v>
      </c>
      <c r="I46" t="s">
        <v>142</v>
      </c>
      <c r="J46" t="s">
        <v>258</v>
      </c>
      <c r="K46" t="s">
        <v>304</v>
      </c>
      <c r="L46" t="s">
        <v>305</v>
      </c>
      <c r="N46" t="s">
        <v>306</v>
      </c>
      <c r="O46" t="s">
        <v>158</v>
      </c>
      <c r="Q46" t="s">
        <v>164</v>
      </c>
      <c r="R46" t="s">
        <v>167</v>
      </c>
      <c r="S46" t="s">
        <v>128</v>
      </c>
      <c r="T46" t="s">
        <v>165</v>
      </c>
      <c r="U46" t="s">
        <v>129</v>
      </c>
      <c r="V46" t="s">
        <v>72</v>
      </c>
      <c r="W46" s="58">
        <v>43325</v>
      </c>
      <c r="X46" s="59">
        <v>0.33333333333333331</v>
      </c>
      <c r="Y46" s="59">
        <v>0.375</v>
      </c>
      <c r="Z46" s="59">
        <v>4.1666666666666664E-2</v>
      </c>
      <c r="AA46">
        <v>0</v>
      </c>
      <c r="AC46">
        <v>23</v>
      </c>
      <c r="AD46">
        <v>9</v>
      </c>
      <c r="AE46" s="59">
        <v>0.33333333333333331</v>
      </c>
      <c r="AF46" s="59">
        <v>0.3743055555555555</v>
      </c>
      <c r="AG46">
        <v>12</v>
      </c>
    </row>
    <row r="47" spans="1:33" x14ac:dyDescent="0.25">
      <c r="A47" t="s">
        <v>274</v>
      </c>
      <c r="B47" t="s">
        <v>275</v>
      </c>
      <c r="C47" t="s">
        <v>276</v>
      </c>
      <c r="E47" t="s">
        <v>277</v>
      </c>
      <c r="F47" t="s">
        <v>134</v>
      </c>
      <c r="H47" t="s">
        <v>141</v>
      </c>
      <c r="I47" t="s">
        <v>142</v>
      </c>
      <c r="J47" t="s">
        <v>258</v>
      </c>
      <c r="K47" t="s">
        <v>304</v>
      </c>
      <c r="L47" t="s">
        <v>305</v>
      </c>
      <c r="N47" t="s">
        <v>306</v>
      </c>
      <c r="O47" t="s">
        <v>158</v>
      </c>
      <c r="Q47" t="s">
        <v>164</v>
      </c>
      <c r="R47" t="s">
        <v>143</v>
      </c>
      <c r="S47" t="s">
        <v>128</v>
      </c>
      <c r="T47" t="s">
        <v>165</v>
      </c>
      <c r="U47" t="s">
        <v>129</v>
      </c>
      <c r="V47" t="s">
        <v>72</v>
      </c>
      <c r="W47" s="58">
        <v>43325</v>
      </c>
      <c r="X47" s="59">
        <v>0.3888888888888889</v>
      </c>
      <c r="Y47" s="59">
        <v>0.43055555555555558</v>
      </c>
      <c r="Z47" s="59">
        <v>4.1666666666666664E-2</v>
      </c>
      <c r="AA47">
        <v>0</v>
      </c>
      <c r="AB47">
        <v>1.1704000000000001</v>
      </c>
      <c r="AC47">
        <v>23</v>
      </c>
      <c r="AD47">
        <v>9</v>
      </c>
      <c r="AE47" s="59">
        <v>0.3888888888888889</v>
      </c>
      <c r="AF47" s="59">
        <v>0.42986111111111108</v>
      </c>
      <c r="AG47">
        <v>12</v>
      </c>
    </row>
    <row r="48" spans="1:33" x14ac:dyDescent="0.25">
      <c r="B48" t="s">
        <v>307</v>
      </c>
      <c r="C48" t="s">
        <v>308</v>
      </c>
      <c r="D48" t="s">
        <v>309</v>
      </c>
      <c r="E48" t="s">
        <v>134</v>
      </c>
      <c r="H48" t="s">
        <v>171</v>
      </c>
      <c r="I48" t="s">
        <v>169</v>
      </c>
      <c r="J48" t="s">
        <v>258</v>
      </c>
      <c r="K48" t="s">
        <v>304</v>
      </c>
      <c r="L48" t="s">
        <v>305</v>
      </c>
      <c r="N48" t="s">
        <v>306</v>
      </c>
      <c r="O48" t="s">
        <v>158</v>
      </c>
      <c r="Q48" t="s">
        <v>164</v>
      </c>
      <c r="R48" t="s">
        <v>172</v>
      </c>
      <c r="S48" t="s">
        <v>128</v>
      </c>
      <c r="T48" t="s">
        <v>165</v>
      </c>
      <c r="U48" t="s">
        <v>129</v>
      </c>
      <c r="V48" t="s">
        <v>72</v>
      </c>
      <c r="W48" s="58">
        <v>43325</v>
      </c>
      <c r="X48" s="59">
        <v>0.6875</v>
      </c>
      <c r="Y48" s="59">
        <v>0.71875</v>
      </c>
      <c r="Z48" s="59">
        <v>3.125E-2</v>
      </c>
      <c r="AA48">
        <v>0</v>
      </c>
      <c r="AC48">
        <v>17.25</v>
      </c>
      <c r="AD48">
        <v>6.75</v>
      </c>
      <c r="AE48" s="59">
        <v>0.6875</v>
      </c>
      <c r="AF48" s="59">
        <v>0.71805555555555556</v>
      </c>
      <c r="AG48">
        <v>12</v>
      </c>
    </row>
    <row r="49" spans="1:33" x14ac:dyDescent="0.25">
      <c r="A49" t="s">
        <v>258</v>
      </c>
      <c r="B49" t="s">
        <v>270</v>
      </c>
      <c r="C49" t="s">
        <v>271</v>
      </c>
      <c r="D49" t="s">
        <v>272</v>
      </c>
      <c r="E49" t="s">
        <v>273</v>
      </c>
      <c r="F49" t="s">
        <v>134</v>
      </c>
      <c r="H49" t="s">
        <v>138</v>
      </c>
      <c r="I49" t="s">
        <v>139</v>
      </c>
      <c r="J49" t="s">
        <v>258</v>
      </c>
      <c r="K49" t="s">
        <v>304</v>
      </c>
      <c r="L49" t="s">
        <v>305</v>
      </c>
      <c r="N49" t="s">
        <v>306</v>
      </c>
      <c r="O49" t="s">
        <v>158</v>
      </c>
      <c r="Q49" t="s">
        <v>164</v>
      </c>
      <c r="R49" t="s">
        <v>140</v>
      </c>
      <c r="S49" t="s">
        <v>128</v>
      </c>
      <c r="T49" t="s">
        <v>165</v>
      </c>
      <c r="U49" t="s">
        <v>129</v>
      </c>
      <c r="V49" t="s">
        <v>72</v>
      </c>
      <c r="W49" s="58">
        <v>43325</v>
      </c>
      <c r="X49" s="59">
        <v>0.76041666666666663</v>
      </c>
      <c r="Y49" s="59">
        <v>0.80208333333333337</v>
      </c>
      <c r="Z49" s="59">
        <v>4.1666666666666664E-2</v>
      </c>
      <c r="AA49">
        <v>0</v>
      </c>
      <c r="AB49">
        <v>5.9931999999999999</v>
      </c>
      <c r="AC49">
        <v>23</v>
      </c>
      <c r="AD49">
        <v>9</v>
      </c>
      <c r="AE49" s="59">
        <v>0.76041666666666663</v>
      </c>
      <c r="AF49" s="59">
        <v>0.80138888888888893</v>
      </c>
      <c r="AG49">
        <v>12</v>
      </c>
    </row>
    <row r="50" spans="1:33" x14ac:dyDescent="0.25">
      <c r="A50" t="s">
        <v>274</v>
      </c>
      <c r="B50" t="s">
        <v>275</v>
      </c>
      <c r="C50" t="s">
        <v>276</v>
      </c>
      <c r="E50" t="s">
        <v>277</v>
      </c>
      <c r="F50" t="s">
        <v>134</v>
      </c>
      <c r="H50" t="s">
        <v>141</v>
      </c>
      <c r="I50" t="s">
        <v>142</v>
      </c>
      <c r="J50" t="s">
        <v>258</v>
      </c>
      <c r="K50" t="s">
        <v>304</v>
      </c>
      <c r="L50" t="s">
        <v>305</v>
      </c>
      <c r="N50" t="s">
        <v>306</v>
      </c>
      <c r="O50" t="s">
        <v>158</v>
      </c>
      <c r="Q50" t="s">
        <v>164</v>
      </c>
      <c r="R50" t="s">
        <v>143</v>
      </c>
      <c r="S50" t="s">
        <v>128</v>
      </c>
      <c r="T50" t="s">
        <v>165</v>
      </c>
      <c r="U50" t="s">
        <v>129</v>
      </c>
      <c r="V50" t="s">
        <v>72</v>
      </c>
      <c r="W50" s="58">
        <v>43325</v>
      </c>
      <c r="X50" s="59">
        <v>0.8125</v>
      </c>
      <c r="Y50" s="59">
        <v>0.83333333333333337</v>
      </c>
      <c r="Z50" s="59">
        <v>2.0833333333333332E-2</v>
      </c>
      <c r="AA50">
        <v>0</v>
      </c>
      <c r="AB50">
        <v>0.9</v>
      </c>
      <c r="AC50">
        <v>11.5</v>
      </c>
      <c r="AD50">
        <v>4.5</v>
      </c>
      <c r="AE50" s="59">
        <v>0.8125</v>
      </c>
      <c r="AF50" s="59">
        <v>0.83263888888888893</v>
      </c>
      <c r="AG50">
        <v>12</v>
      </c>
    </row>
    <row r="51" spans="1:33" x14ac:dyDescent="0.25">
      <c r="A51" t="s">
        <v>274</v>
      </c>
      <c r="B51" t="s">
        <v>275</v>
      </c>
      <c r="C51" t="s">
        <v>276</v>
      </c>
      <c r="E51" t="s">
        <v>277</v>
      </c>
      <c r="F51" t="s">
        <v>134</v>
      </c>
      <c r="H51" t="s">
        <v>141</v>
      </c>
      <c r="I51" t="s">
        <v>142</v>
      </c>
      <c r="J51" t="s">
        <v>258</v>
      </c>
      <c r="K51" t="s">
        <v>304</v>
      </c>
      <c r="L51" t="s">
        <v>305</v>
      </c>
      <c r="N51" t="s">
        <v>306</v>
      </c>
      <c r="O51" t="s">
        <v>158</v>
      </c>
      <c r="Q51" t="s">
        <v>164</v>
      </c>
      <c r="R51" t="s">
        <v>143</v>
      </c>
      <c r="S51" t="s">
        <v>128</v>
      </c>
      <c r="T51" t="s">
        <v>165</v>
      </c>
      <c r="U51" t="s">
        <v>173</v>
      </c>
      <c r="V51" t="s">
        <v>73</v>
      </c>
      <c r="W51" s="58">
        <v>43326</v>
      </c>
      <c r="X51" s="59">
        <v>0.875</v>
      </c>
      <c r="Y51" s="59">
        <v>0.29166666666666669</v>
      </c>
      <c r="Z51" s="59">
        <v>0.41666666666666669</v>
      </c>
      <c r="AA51">
        <v>0</v>
      </c>
      <c r="AC51">
        <v>120</v>
      </c>
      <c r="AD51">
        <v>80</v>
      </c>
      <c r="AE51" s="59">
        <v>0.83333333333333337</v>
      </c>
      <c r="AF51" s="59">
        <v>0.29097222222222224</v>
      </c>
      <c r="AG51">
        <v>12</v>
      </c>
    </row>
    <row r="52" spans="1:33" x14ac:dyDescent="0.25">
      <c r="A52" t="s">
        <v>258</v>
      </c>
      <c r="B52" t="s">
        <v>299</v>
      </c>
      <c r="C52" t="s">
        <v>300</v>
      </c>
      <c r="D52" t="s">
        <v>301</v>
      </c>
      <c r="E52" t="s">
        <v>302</v>
      </c>
      <c r="F52" t="s">
        <v>303</v>
      </c>
      <c r="H52" t="s">
        <v>166</v>
      </c>
      <c r="I52" t="s">
        <v>142</v>
      </c>
      <c r="J52" t="s">
        <v>258</v>
      </c>
      <c r="K52" t="s">
        <v>304</v>
      </c>
      <c r="L52" t="s">
        <v>305</v>
      </c>
      <c r="N52" t="s">
        <v>306</v>
      </c>
      <c r="O52" t="s">
        <v>158</v>
      </c>
      <c r="Q52" t="s">
        <v>164</v>
      </c>
      <c r="R52" t="s">
        <v>167</v>
      </c>
      <c r="S52" t="s">
        <v>128</v>
      </c>
      <c r="T52" t="s">
        <v>165</v>
      </c>
      <c r="U52" t="s">
        <v>129</v>
      </c>
      <c r="V52" t="s">
        <v>74</v>
      </c>
      <c r="W52" s="58">
        <v>43327</v>
      </c>
      <c r="X52" s="59">
        <v>0.30208333333333331</v>
      </c>
      <c r="Y52" s="59">
        <v>0.34375</v>
      </c>
      <c r="Z52" s="59">
        <v>4.1666666666666664E-2</v>
      </c>
      <c r="AA52">
        <v>0</v>
      </c>
      <c r="AB52">
        <v>1.1704000000000001</v>
      </c>
      <c r="AC52">
        <v>23</v>
      </c>
      <c r="AD52">
        <v>9</v>
      </c>
      <c r="AE52" s="59">
        <v>0.30208333333333331</v>
      </c>
      <c r="AF52" s="59">
        <v>0.3430555555555555</v>
      </c>
      <c r="AG52">
        <v>12</v>
      </c>
    </row>
    <row r="53" spans="1:33" x14ac:dyDescent="0.25">
      <c r="A53" t="s">
        <v>274</v>
      </c>
      <c r="B53" t="s">
        <v>275</v>
      </c>
      <c r="C53" t="s">
        <v>276</v>
      </c>
      <c r="E53" t="s">
        <v>277</v>
      </c>
      <c r="F53" t="s">
        <v>134</v>
      </c>
      <c r="H53" t="s">
        <v>141</v>
      </c>
      <c r="I53" t="s">
        <v>142</v>
      </c>
      <c r="J53" t="s">
        <v>258</v>
      </c>
      <c r="K53" t="s">
        <v>304</v>
      </c>
      <c r="L53" t="s">
        <v>305</v>
      </c>
      <c r="N53" t="s">
        <v>306</v>
      </c>
      <c r="O53" t="s">
        <v>158</v>
      </c>
      <c r="Q53" t="s">
        <v>164</v>
      </c>
      <c r="R53" t="s">
        <v>143</v>
      </c>
      <c r="S53" t="s">
        <v>128</v>
      </c>
      <c r="T53" t="s">
        <v>165</v>
      </c>
      <c r="U53" t="s">
        <v>129</v>
      </c>
      <c r="V53" t="s">
        <v>74</v>
      </c>
      <c r="W53" s="58">
        <v>43327</v>
      </c>
      <c r="X53" s="59">
        <v>0.35416666666666669</v>
      </c>
      <c r="Y53" s="59">
        <v>0.4375</v>
      </c>
      <c r="Z53" s="59">
        <v>8.3333333333333329E-2</v>
      </c>
      <c r="AA53">
        <v>0</v>
      </c>
      <c r="AB53">
        <v>1.1704000000000001</v>
      </c>
      <c r="AC53">
        <v>46</v>
      </c>
      <c r="AD53">
        <v>18</v>
      </c>
      <c r="AE53" s="59">
        <v>0.35416666666666669</v>
      </c>
      <c r="AF53" s="59">
        <v>0.39513888888888887</v>
      </c>
      <c r="AG53">
        <v>12</v>
      </c>
    </row>
    <row r="54" spans="1:33" x14ac:dyDescent="0.25">
      <c r="A54" t="s">
        <v>258</v>
      </c>
      <c r="B54" t="s">
        <v>299</v>
      </c>
      <c r="C54" t="s">
        <v>300</v>
      </c>
      <c r="D54" t="s">
        <v>301</v>
      </c>
      <c r="E54" t="s">
        <v>302</v>
      </c>
      <c r="F54" t="s">
        <v>303</v>
      </c>
      <c r="H54" t="s">
        <v>166</v>
      </c>
      <c r="I54" t="s">
        <v>142</v>
      </c>
      <c r="J54" t="s">
        <v>258</v>
      </c>
      <c r="K54" t="s">
        <v>304</v>
      </c>
      <c r="L54" t="s">
        <v>305</v>
      </c>
      <c r="N54" t="s">
        <v>306</v>
      </c>
      <c r="O54" t="s">
        <v>158</v>
      </c>
      <c r="Q54" t="s">
        <v>164</v>
      </c>
      <c r="R54" t="s">
        <v>167</v>
      </c>
      <c r="S54" t="s">
        <v>128</v>
      </c>
      <c r="T54" t="s">
        <v>165</v>
      </c>
      <c r="U54" t="s">
        <v>129</v>
      </c>
      <c r="V54" t="s">
        <v>75</v>
      </c>
      <c r="W54" s="58">
        <v>43328</v>
      </c>
      <c r="X54" s="59">
        <v>0.33333333333333331</v>
      </c>
      <c r="Y54" s="59">
        <v>0.375</v>
      </c>
      <c r="Z54" s="59">
        <v>4.1666666666666664E-2</v>
      </c>
      <c r="AA54">
        <v>0</v>
      </c>
      <c r="AC54">
        <v>23</v>
      </c>
      <c r="AD54">
        <v>9</v>
      </c>
      <c r="AE54" s="59">
        <v>0.33333333333333331</v>
      </c>
      <c r="AF54" s="59">
        <v>0.3743055555555555</v>
      </c>
      <c r="AG54">
        <v>12</v>
      </c>
    </row>
    <row r="55" spans="1:33" x14ac:dyDescent="0.25">
      <c r="A55" t="s">
        <v>274</v>
      </c>
      <c r="B55" t="s">
        <v>275</v>
      </c>
      <c r="C55" t="s">
        <v>276</v>
      </c>
      <c r="E55" t="s">
        <v>277</v>
      </c>
      <c r="F55" t="s">
        <v>134</v>
      </c>
      <c r="H55" t="s">
        <v>141</v>
      </c>
      <c r="I55" t="s">
        <v>142</v>
      </c>
      <c r="J55" t="s">
        <v>258</v>
      </c>
      <c r="K55" t="s">
        <v>304</v>
      </c>
      <c r="L55" t="s">
        <v>305</v>
      </c>
      <c r="N55" t="s">
        <v>306</v>
      </c>
      <c r="O55" t="s">
        <v>158</v>
      </c>
      <c r="Q55" t="s">
        <v>164</v>
      </c>
      <c r="R55" t="s">
        <v>143</v>
      </c>
      <c r="S55" t="s">
        <v>128</v>
      </c>
      <c r="T55" t="s">
        <v>165</v>
      </c>
      <c r="U55" t="s">
        <v>129</v>
      </c>
      <c r="V55" t="s">
        <v>75</v>
      </c>
      <c r="W55" s="58">
        <v>43328</v>
      </c>
      <c r="X55" s="59">
        <v>0.3888888888888889</v>
      </c>
      <c r="Y55" s="59">
        <v>0.43055555555555558</v>
      </c>
      <c r="Z55" s="59">
        <v>4.1666666666666664E-2</v>
      </c>
      <c r="AA55">
        <v>0</v>
      </c>
      <c r="AB55">
        <v>1.1704000000000001</v>
      </c>
      <c r="AC55">
        <v>23</v>
      </c>
      <c r="AD55">
        <v>9</v>
      </c>
      <c r="AE55" s="59">
        <v>0.3888888888888889</v>
      </c>
      <c r="AF55" s="59">
        <v>0.42986111111111108</v>
      </c>
      <c r="AG55">
        <v>12</v>
      </c>
    </row>
    <row r="56" spans="1:33" x14ac:dyDescent="0.25">
      <c r="A56" t="s">
        <v>274</v>
      </c>
      <c r="B56" t="s">
        <v>275</v>
      </c>
      <c r="C56" t="s">
        <v>276</v>
      </c>
      <c r="E56" t="s">
        <v>277</v>
      </c>
      <c r="F56" t="s">
        <v>134</v>
      </c>
      <c r="H56" t="s">
        <v>141</v>
      </c>
      <c r="I56" t="s">
        <v>142</v>
      </c>
      <c r="J56" t="s">
        <v>258</v>
      </c>
      <c r="K56" t="s">
        <v>304</v>
      </c>
      <c r="L56" t="s">
        <v>305</v>
      </c>
      <c r="N56" t="s">
        <v>306</v>
      </c>
      <c r="O56" t="s">
        <v>158</v>
      </c>
      <c r="Q56" t="s">
        <v>164</v>
      </c>
      <c r="R56" t="s">
        <v>143</v>
      </c>
      <c r="S56" t="s">
        <v>128</v>
      </c>
      <c r="T56" t="s">
        <v>165</v>
      </c>
      <c r="U56" t="s">
        <v>129</v>
      </c>
      <c r="V56" t="s">
        <v>75</v>
      </c>
      <c r="W56" s="58">
        <v>43328</v>
      </c>
      <c r="X56" s="59">
        <v>0.8125</v>
      </c>
      <c r="Y56" s="59">
        <v>0.83333333333333337</v>
      </c>
      <c r="Z56" s="59">
        <v>2.0833333333333332E-2</v>
      </c>
      <c r="AA56">
        <v>0</v>
      </c>
      <c r="AC56">
        <v>11.5</v>
      </c>
      <c r="AD56">
        <v>4.5</v>
      </c>
      <c r="AE56" s="59">
        <v>0.8125</v>
      </c>
      <c r="AF56" s="59">
        <v>0.83263888888888893</v>
      </c>
      <c r="AG56">
        <v>12</v>
      </c>
    </row>
    <row r="57" spans="1:33" x14ac:dyDescent="0.25">
      <c r="A57" t="s">
        <v>258</v>
      </c>
      <c r="B57" t="s">
        <v>299</v>
      </c>
      <c r="C57" t="s">
        <v>300</v>
      </c>
      <c r="D57" t="s">
        <v>301</v>
      </c>
      <c r="E57" t="s">
        <v>302</v>
      </c>
      <c r="F57" t="s">
        <v>303</v>
      </c>
      <c r="H57" t="s">
        <v>166</v>
      </c>
      <c r="I57" t="s">
        <v>142</v>
      </c>
      <c r="J57" t="s">
        <v>258</v>
      </c>
      <c r="K57" t="s">
        <v>304</v>
      </c>
      <c r="L57" t="s">
        <v>305</v>
      </c>
      <c r="N57" t="s">
        <v>306</v>
      </c>
      <c r="O57" t="s">
        <v>158</v>
      </c>
      <c r="Q57" t="s">
        <v>164</v>
      </c>
      <c r="R57" t="s">
        <v>167</v>
      </c>
      <c r="S57" t="s">
        <v>128</v>
      </c>
      <c r="T57" t="s">
        <v>165</v>
      </c>
      <c r="U57" t="s">
        <v>129</v>
      </c>
      <c r="V57" t="s">
        <v>72</v>
      </c>
      <c r="W57" s="58">
        <v>43332</v>
      </c>
      <c r="X57" s="59">
        <v>0.33333333333333331</v>
      </c>
      <c r="Y57" s="59">
        <v>0.375</v>
      </c>
      <c r="Z57" s="59">
        <v>4.1666666666666664E-2</v>
      </c>
      <c r="AA57">
        <v>7</v>
      </c>
      <c r="AC57">
        <v>23</v>
      </c>
      <c r="AD57">
        <v>9</v>
      </c>
      <c r="AE57" s="59">
        <v>0.33333333333333331</v>
      </c>
      <c r="AF57" s="59">
        <v>0.3743055555555555</v>
      </c>
      <c r="AG57">
        <v>12</v>
      </c>
    </row>
    <row r="58" spans="1:33" x14ac:dyDescent="0.25">
      <c r="A58" t="s">
        <v>274</v>
      </c>
      <c r="B58" t="s">
        <v>275</v>
      </c>
      <c r="C58" t="s">
        <v>276</v>
      </c>
      <c r="E58" t="s">
        <v>277</v>
      </c>
      <c r="F58" t="s">
        <v>134</v>
      </c>
      <c r="H58" t="s">
        <v>141</v>
      </c>
      <c r="I58" t="s">
        <v>142</v>
      </c>
      <c r="J58" t="s">
        <v>258</v>
      </c>
      <c r="K58" t="s">
        <v>304</v>
      </c>
      <c r="L58" t="s">
        <v>305</v>
      </c>
      <c r="N58" t="s">
        <v>306</v>
      </c>
      <c r="O58" t="s">
        <v>158</v>
      </c>
      <c r="Q58" t="s">
        <v>164</v>
      </c>
      <c r="R58" t="s">
        <v>143</v>
      </c>
      <c r="S58" t="s">
        <v>128</v>
      </c>
      <c r="T58" t="s">
        <v>165</v>
      </c>
      <c r="U58" t="s">
        <v>129</v>
      </c>
      <c r="V58" t="s">
        <v>72</v>
      </c>
      <c r="W58" s="58">
        <v>43332</v>
      </c>
      <c r="X58" s="59">
        <v>0.3888888888888889</v>
      </c>
      <c r="Y58" s="59">
        <v>0.43055555555555558</v>
      </c>
      <c r="Z58" s="59">
        <v>4.1666666666666664E-2</v>
      </c>
      <c r="AA58">
        <v>0</v>
      </c>
      <c r="AB58">
        <v>1.1704000000000001</v>
      </c>
      <c r="AC58">
        <v>23</v>
      </c>
      <c r="AD58">
        <v>9</v>
      </c>
      <c r="AE58" s="59">
        <v>0.3888888888888889</v>
      </c>
      <c r="AF58" s="59">
        <v>0.42986111111111108</v>
      </c>
      <c r="AG58">
        <v>12</v>
      </c>
    </row>
    <row r="59" spans="1:33" x14ac:dyDescent="0.25">
      <c r="A59" t="s">
        <v>258</v>
      </c>
      <c r="B59" t="s">
        <v>262</v>
      </c>
      <c r="C59" t="s">
        <v>263</v>
      </c>
      <c r="D59" t="s">
        <v>264</v>
      </c>
      <c r="E59" t="s">
        <v>265</v>
      </c>
      <c r="F59" t="s">
        <v>134</v>
      </c>
      <c r="H59" t="s">
        <v>132</v>
      </c>
      <c r="I59" t="s">
        <v>133</v>
      </c>
      <c r="J59" t="s">
        <v>258</v>
      </c>
      <c r="K59" t="s">
        <v>304</v>
      </c>
      <c r="L59" t="s">
        <v>305</v>
      </c>
      <c r="N59" t="s">
        <v>306</v>
      </c>
      <c r="O59" t="s">
        <v>158</v>
      </c>
      <c r="Q59" t="s">
        <v>164</v>
      </c>
      <c r="R59" t="s">
        <v>136</v>
      </c>
      <c r="S59" t="s">
        <v>128</v>
      </c>
      <c r="T59" t="s">
        <v>165</v>
      </c>
      <c r="U59" t="s">
        <v>174</v>
      </c>
      <c r="V59" t="s">
        <v>72</v>
      </c>
      <c r="W59" s="58">
        <v>43332</v>
      </c>
      <c r="X59" s="59">
        <v>0.72916666666666663</v>
      </c>
      <c r="Y59" s="59">
        <v>0.77083333333333337</v>
      </c>
      <c r="Z59" s="59">
        <v>4.1666666666666664E-2</v>
      </c>
      <c r="AA59">
        <v>0</v>
      </c>
      <c r="AD59">
        <v>9</v>
      </c>
      <c r="AE59" s="59">
        <v>0.72916666666666663</v>
      </c>
      <c r="AF59" s="59">
        <v>0.77013888888888893</v>
      </c>
      <c r="AG59">
        <v>12</v>
      </c>
    </row>
    <row r="60" spans="1:33" x14ac:dyDescent="0.25">
      <c r="A60" t="s">
        <v>274</v>
      </c>
      <c r="B60" t="s">
        <v>275</v>
      </c>
      <c r="C60" t="s">
        <v>276</v>
      </c>
      <c r="E60" t="s">
        <v>277</v>
      </c>
      <c r="F60" t="s">
        <v>134</v>
      </c>
      <c r="H60" t="s">
        <v>141</v>
      </c>
      <c r="I60" t="s">
        <v>142</v>
      </c>
      <c r="J60" t="s">
        <v>258</v>
      </c>
      <c r="K60" t="s">
        <v>304</v>
      </c>
      <c r="L60" t="s">
        <v>305</v>
      </c>
      <c r="N60" t="s">
        <v>306</v>
      </c>
      <c r="O60" t="s">
        <v>158</v>
      </c>
      <c r="Q60" t="s">
        <v>164</v>
      </c>
      <c r="R60" t="s">
        <v>143</v>
      </c>
      <c r="S60" t="s">
        <v>128</v>
      </c>
      <c r="T60" t="s">
        <v>165</v>
      </c>
      <c r="U60" t="s">
        <v>129</v>
      </c>
      <c r="V60" t="s">
        <v>72</v>
      </c>
      <c r="W60" s="58">
        <v>43332</v>
      </c>
      <c r="X60" s="59">
        <v>0.8125</v>
      </c>
      <c r="Y60" s="59">
        <v>0.83333333333333337</v>
      </c>
      <c r="Z60" s="59">
        <v>2.0833333333333332E-2</v>
      </c>
      <c r="AA60">
        <v>3</v>
      </c>
      <c r="AB60">
        <v>3.2262</v>
      </c>
      <c r="AC60">
        <v>11.5</v>
      </c>
      <c r="AD60">
        <v>4.5</v>
      </c>
      <c r="AE60" s="59">
        <v>0.8125</v>
      </c>
      <c r="AF60" s="59">
        <v>0.83263888888888893</v>
      </c>
      <c r="AG60">
        <v>12</v>
      </c>
    </row>
    <row r="61" spans="1:33" x14ac:dyDescent="0.25">
      <c r="B61" t="s">
        <v>307</v>
      </c>
      <c r="C61" t="s">
        <v>308</v>
      </c>
      <c r="D61" t="s">
        <v>309</v>
      </c>
      <c r="E61" t="s">
        <v>134</v>
      </c>
      <c r="H61" t="s">
        <v>171</v>
      </c>
      <c r="I61" t="s">
        <v>169</v>
      </c>
      <c r="J61" t="s">
        <v>258</v>
      </c>
      <c r="K61" t="s">
        <v>304</v>
      </c>
      <c r="L61" t="s">
        <v>305</v>
      </c>
      <c r="N61" t="s">
        <v>306</v>
      </c>
      <c r="O61" t="s">
        <v>158</v>
      </c>
      <c r="Q61" t="s">
        <v>164</v>
      </c>
      <c r="R61" t="s">
        <v>172</v>
      </c>
      <c r="S61" t="s">
        <v>128</v>
      </c>
      <c r="T61" t="s">
        <v>165</v>
      </c>
      <c r="U61" t="s">
        <v>129</v>
      </c>
      <c r="V61" t="s">
        <v>73</v>
      </c>
      <c r="W61" s="58">
        <v>43333</v>
      </c>
      <c r="X61" s="59">
        <v>0.32291666666666669</v>
      </c>
      <c r="Y61" s="59">
        <v>0.36458333333333331</v>
      </c>
      <c r="Z61" s="59">
        <v>4.1666666666666664E-2</v>
      </c>
      <c r="AA61">
        <v>0</v>
      </c>
      <c r="AC61">
        <v>23</v>
      </c>
      <c r="AD61">
        <v>9</v>
      </c>
      <c r="AE61" s="59">
        <v>0.32291666666666669</v>
      </c>
      <c r="AF61" s="59">
        <v>0.36388888888888887</v>
      </c>
      <c r="AG61">
        <v>12</v>
      </c>
    </row>
    <row r="62" spans="1:33" x14ac:dyDescent="0.25">
      <c r="A62" t="s">
        <v>274</v>
      </c>
      <c r="B62" t="s">
        <v>275</v>
      </c>
      <c r="C62" t="s">
        <v>276</v>
      </c>
      <c r="E62" t="s">
        <v>277</v>
      </c>
      <c r="F62" t="s">
        <v>134</v>
      </c>
      <c r="H62" t="s">
        <v>141</v>
      </c>
      <c r="I62" t="s">
        <v>142</v>
      </c>
      <c r="J62" t="s">
        <v>258</v>
      </c>
      <c r="K62" t="s">
        <v>304</v>
      </c>
      <c r="L62" t="s">
        <v>305</v>
      </c>
      <c r="N62" t="s">
        <v>306</v>
      </c>
      <c r="O62" t="s">
        <v>158</v>
      </c>
      <c r="Q62" t="s">
        <v>164</v>
      </c>
      <c r="R62" t="s">
        <v>143</v>
      </c>
      <c r="S62" t="s">
        <v>128</v>
      </c>
      <c r="T62" t="s">
        <v>165</v>
      </c>
      <c r="U62" t="s">
        <v>129</v>
      </c>
      <c r="V62" t="s">
        <v>73</v>
      </c>
      <c r="W62" s="58">
        <v>43333</v>
      </c>
      <c r="X62" s="59">
        <v>0.3888888888888889</v>
      </c>
      <c r="Y62" s="59">
        <v>0.43055555555555558</v>
      </c>
      <c r="Z62" s="59">
        <v>4.1666666666666664E-2</v>
      </c>
      <c r="AA62">
        <v>0</v>
      </c>
      <c r="AB62">
        <v>5.0932000000000004</v>
      </c>
      <c r="AC62">
        <v>23</v>
      </c>
      <c r="AD62">
        <v>9</v>
      </c>
      <c r="AE62" s="59">
        <v>0.3888888888888889</v>
      </c>
      <c r="AF62" s="59">
        <v>0.42986111111111108</v>
      </c>
      <c r="AG62">
        <v>12</v>
      </c>
    </row>
    <row r="63" spans="1:33" x14ac:dyDescent="0.25">
      <c r="A63" t="s">
        <v>258</v>
      </c>
      <c r="B63" t="s">
        <v>270</v>
      </c>
      <c r="C63" t="s">
        <v>271</v>
      </c>
      <c r="D63" t="s">
        <v>272</v>
      </c>
      <c r="E63" t="s">
        <v>273</v>
      </c>
      <c r="F63" t="s">
        <v>134</v>
      </c>
      <c r="H63" t="s">
        <v>138</v>
      </c>
      <c r="I63" t="s">
        <v>139</v>
      </c>
      <c r="J63" t="s">
        <v>258</v>
      </c>
      <c r="K63" t="s">
        <v>304</v>
      </c>
      <c r="L63" t="s">
        <v>305</v>
      </c>
      <c r="N63" t="s">
        <v>306</v>
      </c>
      <c r="O63" t="s">
        <v>158</v>
      </c>
      <c r="Q63" t="s">
        <v>164</v>
      </c>
      <c r="R63" t="s">
        <v>140</v>
      </c>
      <c r="S63" t="s">
        <v>128</v>
      </c>
      <c r="T63" t="s">
        <v>165</v>
      </c>
      <c r="U63" t="s">
        <v>129</v>
      </c>
      <c r="V63" t="s">
        <v>73</v>
      </c>
      <c r="W63" s="58">
        <v>43333</v>
      </c>
      <c r="X63" s="59">
        <v>0.76041666666666663</v>
      </c>
      <c r="Y63" s="59">
        <v>0.80208333333333337</v>
      </c>
      <c r="Z63" s="59">
        <v>4.1666666666666664E-2</v>
      </c>
      <c r="AA63">
        <v>0</v>
      </c>
      <c r="AC63">
        <v>23</v>
      </c>
      <c r="AD63">
        <v>9</v>
      </c>
      <c r="AE63" s="59">
        <v>0.76041666666666663</v>
      </c>
      <c r="AF63" s="59">
        <v>0.80138888888888893</v>
      </c>
      <c r="AG63">
        <v>12</v>
      </c>
    </row>
    <row r="64" spans="1:33" x14ac:dyDescent="0.25">
      <c r="A64" t="s">
        <v>274</v>
      </c>
      <c r="B64" t="s">
        <v>275</v>
      </c>
      <c r="C64" t="s">
        <v>276</v>
      </c>
      <c r="E64" t="s">
        <v>277</v>
      </c>
      <c r="F64" t="s">
        <v>134</v>
      </c>
      <c r="H64" t="s">
        <v>141</v>
      </c>
      <c r="I64" t="s">
        <v>142</v>
      </c>
      <c r="J64" t="s">
        <v>258</v>
      </c>
      <c r="K64" t="s">
        <v>304</v>
      </c>
      <c r="L64" t="s">
        <v>305</v>
      </c>
      <c r="N64" t="s">
        <v>306</v>
      </c>
      <c r="O64" t="s">
        <v>158</v>
      </c>
      <c r="Q64" t="s">
        <v>164</v>
      </c>
      <c r="R64" t="s">
        <v>143</v>
      </c>
      <c r="S64" t="s">
        <v>128</v>
      </c>
      <c r="T64" t="s">
        <v>165</v>
      </c>
      <c r="U64" t="s">
        <v>129</v>
      </c>
      <c r="V64" t="s">
        <v>73</v>
      </c>
      <c r="W64" s="58">
        <v>43333</v>
      </c>
      <c r="X64" s="59">
        <v>0.8125</v>
      </c>
      <c r="Y64" s="59">
        <v>0.83333333333333337</v>
      </c>
      <c r="Z64" s="59">
        <v>2.0833333333333332E-2</v>
      </c>
      <c r="AA64">
        <v>0</v>
      </c>
      <c r="AB64">
        <v>0.9</v>
      </c>
      <c r="AC64">
        <v>11.5</v>
      </c>
      <c r="AD64">
        <v>4.5</v>
      </c>
      <c r="AE64" s="59">
        <v>0.8125</v>
      </c>
      <c r="AF64" s="59">
        <v>0.83263888888888893</v>
      </c>
      <c r="AG64">
        <v>12</v>
      </c>
    </row>
    <row r="65" spans="1:33" x14ac:dyDescent="0.25">
      <c r="A65" t="s">
        <v>258</v>
      </c>
      <c r="B65" t="s">
        <v>299</v>
      </c>
      <c r="C65" t="s">
        <v>300</v>
      </c>
      <c r="D65" t="s">
        <v>301</v>
      </c>
      <c r="E65" t="s">
        <v>302</v>
      </c>
      <c r="F65" t="s">
        <v>303</v>
      </c>
      <c r="H65" t="s">
        <v>166</v>
      </c>
      <c r="I65" t="s">
        <v>142</v>
      </c>
      <c r="J65" t="s">
        <v>258</v>
      </c>
      <c r="K65" t="s">
        <v>304</v>
      </c>
      <c r="L65" t="s">
        <v>305</v>
      </c>
      <c r="N65" t="s">
        <v>306</v>
      </c>
      <c r="O65" t="s">
        <v>158</v>
      </c>
      <c r="Q65" t="s">
        <v>164</v>
      </c>
      <c r="R65" t="s">
        <v>167</v>
      </c>
      <c r="S65" t="s">
        <v>128</v>
      </c>
      <c r="T65" t="s">
        <v>165</v>
      </c>
      <c r="U65" t="s">
        <v>129</v>
      </c>
      <c r="V65" t="s">
        <v>74</v>
      </c>
      <c r="W65" s="58">
        <v>43334</v>
      </c>
      <c r="X65" s="59">
        <v>0.30208333333333331</v>
      </c>
      <c r="Y65" s="59">
        <v>0.34375</v>
      </c>
      <c r="Z65" s="59">
        <v>4.1666666666666664E-2</v>
      </c>
      <c r="AA65">
        <v>7</v>
      </c>
      <c r="AC65">
        <v>23</v>
      </c>
      <c r="AD65">
        <v>9</v>
      </c>
      <c r="AE65" s="59">
        <v>0.30208333333333331</v>
      </c>
      <c r="AF65" s="59">
        <v>0.3430555555555555</v>
      </c>
      <c r="AG65">
        <v>12</v>
      </c>
    </row>
    <row r="66" spans="1:33" x14ac:dyDescent="0.25">
      <c r="A66" t="s">
        <v>274</v>
      </c>
      <c r="B66" t="s">
        <v>275</v>
      </c>
      <c r="C66" t="s">
        <v>276</v>
      </c>
      <c r="E66" t="s">
        <v>277</v>
      </c>
      <c r="F66" t="s">
        <v>134</v>
      </c>
      <c r="H66" t="s">
        <v>141</v>
      </c>
      <c r="I66" t="s">
        <v>142</v>
      </c>
      <c r="J66" t="s">
        <v>258</v>
      </c>
      <c r="K66" t="s">
        <v>304</v>
      </c>
      <c r="L66" t="s">
        <v>305</v>
      </c>
      <c r="N66" t="s">
        <v>306</v>
      </c>
      <c r="O66" t="s">
        <v>158</v>
      </c>
      <c r="Q66" t="s">
        <v>164</v>
      </c>
      <c r="R66" t="s">
        <v>143</v>
      </c>
      <c r="S66" t="s">
        <v>128</v>
      </c>
      <c r="T66" t="s">
        <v>165</v>
      </c>
      <c r="U66" t="s">
        <v>129</v>
      </c>
      <c r="V66" t="s">
        <v>74</v>
      </c>
      <c r="W66" s="58">
        <v>43334</v>
      </c>
      <c r="X66" s="59">
        <v>0.35416666666666669</v>
      </c>
      <c r="Y66" s="59">
        <v>0.39583333333333331</v>
      </c>
      <c r="Z66" s="59">
        <v>4.1666666666666664E-2</v>
      </c>
      <c r="AA66">
        <v>0</v>
      </c>
      <c r="AB66">
        <v>1.1704000000000001</v>
      </c>
      <c r="AC66">
        <v>23</v>
      </c>
      <c r="AD66">
        <v>9</v>
      </c>
      <c r="AE66" s="59">
        <v>0.35416666666666669</v>
      </c>
      <c r="AF66" s="59">
        <v>0.39513888888888887</v>
      </c>
      <c r="AG66">
        <v>12</v>
      </c>
    </row>
    <row r="67" spans="1:33" x14ac:dyDescent="0.25">
      <c r="A67" t="s">
        <v>274</v>
      </c>
      <c r="B67" t="s">
        <v>275</v>
      </c>
      <c r="C67" t="s">
        <v>276</v>
      </c>
      <c r="E67" t="s">
        <v>277</v>
      </c>
      <c r="F67" t="s">
        <v>134</v>
      </c>
      <c r="H67" t="s">
        <v>141</v>
      </c>
      <c r="I67" t="s">
        <v>142</v>
      </c>
      <c r="J67" t="s">
        <v>258</v>
      </c>
      <c r="K67" t="s">
        <v>304</v>
      </c>
      <c r="L67" t="s">
        <v>305</v>
      </c>
      <c r="N67" t="s">
        <v>306</v>
      </c>
      <c r="O67" t="s">
        <v>158</v>
      </c>
      <c r="Q67" t="s">
        <v>164</v>
      </c>
      <c r="R67" t="s">
        <v>143</v>
      </c>
      <c r="S67" t="s">
        <v>128</v>
      </c>
      <c r="T67" t="s">
        <v>165</v>
      </c>
      <c r="U67" t="s">
        <v>129</v>
      </c>
      <c r="V67" t="s">
        <v>74</v>
      </c>
      <c r="W67" s="58">
        <v>43334</v>
      </c>
      <c r="X67" s="59">
        <v>0.8125</v>
      </c>
      <c r="Y67" s="59">
        <v>0.83333333333333337</v>
      </c>
      <c r="Z67" s="59">
        <v>2.0833333333333332E-2</v>
      </c>
      <c r="AA67">
        <v>0</v>
      </c>
      <c r="AC67">
        <v>11.5</v>
      </c>
      <c r="AD67">
        <v>4.5</v>
      </c>
      <c r="AE67" s="59">
        <v>0.8125</v>
      </c>
      <c r="AF67" s="59">
        <v>0.83263888888888893</v>
      </c>
      <c r="AG67">
        <v>12</v>
      </c>
    </row>
    <row r="68" spans="1:33" x14ac:dyDescent="0.25">
      <c r="A68" t="s">
        <v>274</v>
      </c>
      <c r="B68" t="s">
        <v>275</v>
      </c>
      <c r="C68" t="s">
        <v>276</v>
      </c>
      <c r="E68" t="s">
        <v>277</v>
      </c>
      <c r="F68" t="s">
        <v>134</v>
      </c>
      <c r="H68" t="s">
        <v>141</v>
      </c>
      <c r="I68" t="s">
        <v>142</v>
      </c>
      <c r="J68" t="s">
        <v>258</v>
      </c>
      <c r="K68" t="s">
        <v>304</v>
      </c>
      <c r="L68" t="s">
        <v>305</v>
      </c>
      <c r="N68" t="s">
        <v>306</v>
      </c>
      <c r="O68" t="s">
        <v>158</v>
      </c>
      <c r="Q68" t="s">
        <v>164</v>
      </c>
      <c r="R68" t="s">
        <v>143</v>
      </c>
      <c r="S68" t="s">
        <v>128</v>
      </c>
      <c r="T68" t="s">
        <v>165</v>
      </c>
      <c r="U68" t="s">
        <v>129</v>
      </c>
      <c r="V68" t="s">
        <v>75</v>
      </c>
      <c r="W68" s="58">
        <v>43335</v>
      </c>
      <c r="X68" s="59">
        <v>0.3888888888888889</v>
      </c>
      <c r="Y68" s="59">
        <v>0.43055555555555558</v>
      </c>
      <c r="Z68" s="59">
        <v>4.1666666666666664E-2</v>
      </c>
      <c r="AA68">
        <v>0</v>
      </c>
      <c r="AC68">
        <v>23</v>
      </c>
      <c r="AD68">
        <v>9</v>
      </c>
      <c r="AE68" s="59">
        <v>0.3888888888888889</v>
      </c>
      <c r="AF68" s="59">
        <v>0.42986111111111108</v>
      </c>
      <c r="AG68">
        <v>12</v>
      </c>
    </row>
    <row r="69" spans="1:33" x14ac:dyDescent="0.25">
      <c r="B69" t="s">
        <v>307</v>
      </c>
      <c r="C69" t="s">
        <v>308</v>
      </c>
      <c r="D69" t="s">
        <v>309</v>
      </c>
      <c r="E69" t="s">
        <v>134</v>
      </c>
      <c r="H69" t="s">
        <v>171</v>
      </c>
      <c r="I69" t="s">
        <v>169</v>
      </c>
      <c r="J69" t="s">
        <v>258</v>
      </c>
      <c r="K69" t="s">
        <v>304</v>
      </c>
      <c r="L69" t="s">
        <v>305</v>
      </c>
      <c r="N69" t="s">
        <v>306</v>
      </c>
      <c r="O69" t="s">
        <v>158</v>
      </c>
      <c r="Q69" t="s">
        <v>164</v>
      </c>
      <c r="R69" t="s">
        <v>172</v>
      </c>
      <c r="S69" t="s">
        <v>128</v>
      </c>
      <c r="T69" t="s">
        <v>165</v>
      </c>
      <c r="U69" t="s">
        <v>129</v>
      </c>
      <c r="V69" t="s">
        <v>75</v>
      </c>
      <c r="W69" s="58">
        <v>43335</v>
      </c>
      <c r="X69" s="59">
        <v>0.67708333333333337</v>
      </c>
      <c r="Y69" s="59">
        <v>0.70833333333333337</v>
      </c>
      <c r="Z69" s="59">
        <v>3.125E-2</v>
      </c>
      <c r="AA69">
        <v>0</v>
      </c>
      <c r="AD69">
        <v>6.75</v>
      </c>
      <c r="AE69" s="59">
        <v>0.67708333333333337</v>
      </c>
      <c r="AF69" s="59">
        <v>0.70763888888888893</v>
      </c>
      <c r="AG69">
        <v>12</v>
      </c>
    </row>
    <row r="70" spans="1:33" x14ac:dyDescent="0.25">
      <c r="A70" t="s">
        <v>258</v>
      </c>
      <c r="B70" t="s">
        <v>270</v>
      </c>
      <c r="C70" t="s">
        <v>271</v>
      </c>
      <c r="D70" t="s">
        <v>272</v>
      </c>
      <c r="E70" t="s">
        <v>273</v>
      </c>
      <c r="F70" t="s">
        <v>134</v>
      </c>
      <c r="H70" t="s">
        <v>138</v>
      </c>
      <c r="I70" t="s">
        <v>139</v>
      </c>
      <c r="J70" t="s">
        <v>258</v>
      </c>
      <c r="K70" t="s">
        <v>304</v>
      </c>
      <c r="L70" t="s">
        <v>305</v>
      </c>
      <c r="N70" t="s">
        <v>306</v>
      </c>
      <c r="O70" t="s">
        <v>158</v>
      </c>
      <c r="Q70" t="s">
        <v>164</v>
      </c>
      <c r="R70" t="s">
        <v>140</v>
      </c>
      <c r="S70" t="s">
        <v>128</v>
      </c>
      <c r="T70" t="s">
        <v>165</v>
      </c>
      <c r="U70" t="s">
        <v>129</v>
      </c>
      <c r="V70" t="s">
        <v>76</v>
      </c>
      <c r="W70" s="58">
        <v>43336</v>
      </c>
      <c r="X70" s="59">
        <v>0.33333333333333331</v>
      </c>
      <c r="Y70" s="59">
        <v>0.375</v>
      </c>
      <c r="Z70" s="59">
        <v>4.1666666666666664E-2</v>
      </c>
      <c r="AA70">
        <v>0</v>
      </c>
      <c r="AC70">
        <v>23</v>
      </c>
      <c r="AD70">
        <v>9</v>
      </c>
      <c r="AE70" s="59">
        <v>0.33333333333333331</v>
      </c>
      <c r="AF70" s="59">
        <v>0.3743055555555555</v>
      </c>
      <c r="AG70">
        <v>12</v>
      </c>
    </row>
    <row r="71" spans="1:33" x14ac:dyDescent="0.25">
      <c r="A71" t="s">
        <v>274</v>
      </c>
      <c r="B71" t="s">
        <v>275</v>
      </c>
      <c r="C71" t="s">
        <v>276</v>
      </c>
      <c r="E71" t="s">
        <v>277</v>
      </c>
      <c r="F71" t="s">
        <v>134</v>
      </c>
      <c r="H71" t="s">
        <v>141</v>
      </c>
      <c r="I71" t="s">
        <v>142</v>
      </c>
      <c r="J71" t="s">
        <v>258</v>
      </c>
      <c r="K71" t="s">
        <v>304</v>
      </c>
      <c r="L71" t="s">
        <v>305</v>
      </c>
      <c r="N71" t="s">
        <v>306</v>
      </c>
      <c r="O71" t="s">
        <v>158</v>
      </c>
      <c r="Q71" t="s">
        <v>164</v>
      </c>
      <c r="R71" t="s">
        <v>143</v>
      </c>
      <c r="S71" t="s">
        <v>128</v>
      </c>
      <c r="T71" t="s">
        <v>165</v>
      </c>
      <c r="U71" t="s">
        <v>129</v>
      </c>
      <c r="V71" t="s">
        <v>76</v>
      </c>
      <c r="W71" s="58">
        <v>43336</v>
      </c>
      <c r="X71" s="59">
        <v>0.3888888888888889</v>
      </c>
      <c r="Y71" s="59">
        <v>0.43055555555555558</v>
      </c>
      <c r="Z71" s="59">
        <v>4.1666666666666664E-2</v>
      </c>
      <c r="AA71">
        <v>0</v>
      </c>
      <c r="AB71">
        <v>0.9</v>
      </c>
      <c r="AC71">
        <v>23</v>
      </c>
      <c r="AD71">
        <v>9</v>
      </c>
      <c r="AE71" s="59">
        <v>0.3888888888888889</v>
      </c>
      <c r="AF71" s="59">
        <v>0.42986111111111108</v>
      </c>
      <c r="AG71">
        <v>12</v>
      </c>
    </row>
    <row r="72" spans="1:33" x14ac:dyDescent="0.25">
      <c r="B72" t="s">
        <v>307</v>
      </c>
      <c r="C72" t="s">
        <v>308</v>
      </c>
      <c r="D72" t="s">
        <v>309</v>
      </c>
      <c r="E72" t="s">
        <v>134</v>
      </c>
      <c r="H72" t="s">
        <v>171</v>
      </c>
      <c r="I72" t="s">
        <v>169</v>
      </c>
      <c r="J72" t="s">
        <v>258</v>
      </c>
      <c r="K72" t="s">
        <v>304</v>
      </c>
      <c r="L72" t="s">
        <v>305</v>
      </c>
      <c r="N72" t="s">
        <v>306</v>
      </c>
      <c r="O72" t="s">
        <v>158</v>
      </c>
      <c r="Q72" t="s">
        <v>164</v>
      </c>
      <c r="R72" t="s">
        <v>172</v>
      </c>
      <c r="S72" t="s">
        <v>128</v>
      </c>
      <c r="T72" t="s">
        <v>165</v>
      </c>
      <c r="U72" t="s">
        <v>129</v>
      </c>
      <c r="V72" t="s">
        <v>71</v>
      </c>
      <c r="W72" s="58">
        <v>43338</v>
      </c>
      <c r="X72" s="59">
        <v>0.3125</v>
      </c>
      <c r="Y72" s="59">
        <v>0.35416666666666669</v>
      </c>
      <c r="Z72" s="59">
        <v>4.1666666666666664E-2</v>
      </c>
      <c r="AA72">
        <v>0</v>
      </c>
      <c r="AC72">
        <v>23</v>
      </c>
      <c r="AD72">
        <v>10</v>
      </c>
      <c r="AE72" s="59">
        <v>0.3125</v>
      </c>
      <c r="AF72" s="59">
        <v>0.35347222222222219</v>
      </c>
      <c r="AG72">
        <v>12</v>
      </c>
    </row>
    <row r="73" spans="1:33" x14ac:dyDescent="0.25">
      <c r="A73" t="s">
        <v>274</v>
      </c>
      <c r="B73" t="s">
        <v>275</v>
      </c>
      <c r="C73" t="s">
        <v>276</v>
      </c>
      <c r="E73" t="s">
        <v>277</v>
      </c>
      <c r="F73" t="s">
        <v>134</v>
      </c>
      <c r="H73" t="s">
        <v>141</v>
      </c>
      <c r="I73" t="s">
        <v>142</v>
      </c>
      <c r="J73" t="s">
        <v>258</v>
      </c>
      <c r="K73" t="s">
        <v>304</v>
      </c>
      <c r="L73" t="s">
        <v>305</v>
      </c>
      <c r="N73" t="s">
        <v>306</v>
      </c>
      <c r="O73" t="s">
        <v>158</v>
      </c>
      <c r="Q73" t="s">
        <v>164</v>
      </c>
      <c r="R73" t="s">
        <v>143</v>
      </c>
      <c r="S73" t="s">
        <v>128</v>
      </c>
      <c r="T73" t="s">
        <v>165</v>
      </c>
      <c r="U73" t="s">
        <v>129</v>
      </c>
      <c r="V73" t="s">
        <v>71</v>
      </c>
      <c r="W73" s="58">
        <v>43338</v>
      </c>
      <c r="X73" s="59">
        <v>0.3888888888888889</v>
      </c>
      <c r="Y73" s="59">
        <v>0.43055555555555558</v>
      </c>
      <c r="Z73" s="59">
        <v>4.1666666666666664E-2</v>
      </c>
      <c r="AA73">
        <v>0</v>
      </c>
      <c r="AB73">
        <v>5.0932000000000004</v>
      </c>
      <c r="AC73">
        <v>23</v>
      </c>
      <c r="AD73">
        <v>10</v>
      </c>
      <c r="AE73" s="59">
        <v>0.3888888888888889</v>
      </c>
      <c r="AF73" s="59">
        <v>0.42986111111111108</v>
      </c>
      <c r="AG73">
        <v>12</v>
      </c>
    </row>
    <row r="74" spans="1:33" x14ac:dyDescent="0.25">
      <c r="B74" t="s">
        <v>307</v>
      </c>
      <c r="C74" t="s">
        <v>308</v>
      </c>
      <c r="D74" t="s">
        <v>309</v>
      </c>
      <c r="E74" t="s">
        <v>134</v>
      </c>
      <c r="H74" t="s">
        <v>171</v>
      </c>
      <c r="I74" t="s">
        <v>169</v>
      </c>
      <c r="J74" t="s">
        <v>258</v>
      </c>
      <c r="K74" t="s">
        <v>304</v>
      </c>
      <c r="L74" t="s">
        <v>305</v>
      </c>
      <c r="N74" t="s">
        <v>306</v>
      </c>
      <c r="O74" t="s">
        <v>158</v>
      </c>
      <c r="Q74" t="s">
        <v>164</v>
      </c>
      <c r="R74" t="s">
        <v>172</v>
      </c>
      <c r="S74" t="s">
        <v>128</v>
      </c>
      <c r="T74" t="s">
        <v>165</v>
      </c>
      <c r="U74" t="s">
        <v>129</v>
      </c>
      <c r="V74" t="s">
        <v>71</v>
      </c>
      <c r="W74" s="58">
        <v>43338</v>
      </c>
      <c r="X74" s="59">
        <v>0.64583333333333337</v>
      </c>
      <c r="Y74" s="59">
        <v>0.6875</v>
      </c>
      <c r="Z74" s="59">
        <v>4.1666666666666664E-2</v>
      </c>
      <c r="AA74">
        <v>0</v>
      </c>
      <c r="AC74">
        <v>23</v>
      </c>
      <c r="AD74">
        <v>10</v>
      </c>
      <c r="AE74" s="59">
        <v>0.64583333333333337</v>
      </c>
      <c r="AF74" s="59">
        <v>0.68680555555555556</v>
      </c>
      <c r="AG74">
        <v>12</v>
      </c>
    </row>
    <row r="75" spans="1:33" x14ac:dyDescent="0.25">
      <c r="A75" t="s">
        <v>258</v>
      </c>
      <c r="B75" t="s">
        <v>299</v>
      </c>
      <c r="C75" t="s">
        <v>300</v>
      </c>
      <c r="D75" t="s">
        <v>301</v>
      </c>
      <c r="E75" t="s">
        <v>302</v>
      </c>
      <c r="F75" t="s">
        <v>303</v>
      </c>
      <c r="H75" t="s">
        <v>166</v>
      </c>
      <c r="I75" t="s">
        <v>142</v>
      </c>
      <c r="J75" t="s">
        <v>258</v>
      </c>
      <c r="K75" t="s">
        <v>304</v>
      </c>
      <c r="L75" t="s">
        <v>305</v>
      </c>
      <c r="N75" t="s">
        <v>306</v>
      </c>
      <c r="O75" t="s">
        <v>158</v>
      </c>
      <c r="Q75" t="s">
        <v>164</v>
      </c>
      <c r="R75" t="s">
        <v>167</v>
      </c>
      <c r="S75" t="s">
        <v>128</v>
      </c>
      <c r="T75" t="s">
        <v>165</v>
      </c>
      <c r="U75" t="s">
        <v>129</v>
      </c>
      <c r="V75" t="s">
        <v>75</v>
      </c>
      <c r="W75" s="58">
        <v>43342</v>
      </c>
      <c r="X75" s="59">
        <v>0.32291666666666669</v>
      </c>
      <c r="Y75" s="59">
        <v>0.36458333333333331</v>
      </c>
      <c r="Z75" s="59">
        <v>4.1666666666666664E-2</v>
      </c>
      <c r="AA75">
        <v>0</v>
      </c>
      <c r="AC75">
        <v>23</v>
      </c>
      <c r="AD75">
        <v>9</v>
      </c>
      <c r="AE75" s="59">
        <v>0.32291666666666669</v>
      </c>
      <c r="AF75" s="59">
        <v>0.36388888888888887</v>
      </c>
      <c r="AG75">
        <v>12</v>
      </c>
    </row>
    <row r="76" spans="1:33" x14ac:dyDescent="0.25">
      <c r="A76" t="s">
        <v>258</v>
      </c>
      <c r="B76" t="s">
        <v>262</v>
      </c>
      <c r="C76" t="s">
        <v>263</v>
      </c>
      <c r="D76" t="s">
        <v>264</v>
      </c>
      <c r="E76" t="s">
        <v>265</v>
      </c>
      <c r="F76" t="s">
        <v>134</v>
      </c>
      <c r="H76" t="s">
        <v>132</v>
      </c>
      <c r="I76" t="s">
        <v>133</v>
      </c>
      <c r="J76" t="s">
        <v>258</v>
      </c>
      <c r="K76" t="s">
        <v>304</v>
      </c>
      <c r="L76" t="s">
        <v>305</v>
      </c>
      <c r="N76" t="s">
        <v>306</v>
      </c>
      <c r="O76" t="s">
        <v>158</v>
      </c>
      <c r="Q76" t="s">
        <v>164</v>
      </c>
      <c r="R76" t="s">
        <v>136</v>
      </c>
      <c r="S76" t="s">
        <v>128</v>
      </c>
      <c r="T76" t="s">
        <v>165</v>
      </c>
      <c r="U76" t="s">
        <v>129</v>
      </c>
      <c r="V76" t="s">
        <v>75</v>
      </c>
      <c r="W76" s="58">
        <v>43342</v>
      </c>
      <c r="X76" s="59">
        <v>0.3888888888888889</v>
      </c>
      <c r="Y76" s="59">
        <v>0.43055555555555558</v>
      </c>
      <c r="Z76" s="59">
        <v>4.1666666666666664E-2</v>
      </c>
      <c r="AA76">
        <v>0</v>
      </c>
      <c r="AB76">
        <v>3.8193999999999999</v>
      </c>
      <c r="AC76">
        <v>23</v>
      </c>
      <c r="AD76">
        <v>9</v>
      </c>
      <c r="AE76" s="59">
        <v>0.3888888888888889</v>
      </c>
      <c r="AF76" s="59">
        <v>0.42986111111111108</v>
      </c>
      <c r="AG76">
        <v>12</v>
      </c>
    </row>
    <row r="77" spans="1:33" x14ac:dyDescent="0.25">
      <c r="A77" t="s">
        <v>258</v>
      </c>
      <c r="B77" t="s">
        <v>270</v>
      </c>
      <c r="C77" t="s">
        <v>271</v>
      </c>
      <c r="D77" t="s">
        <v>272</v>
      </c>
      <c r="E77" t="s">
        <v>273</v>
      </c>
      <c r="F77" t="s">
        <v>134</v>
      </c>
      <c r="H77" t="s">
        <v>138</v>
      </c>
      <c r="I77" t="s">
        <v>139</v>
      </c>
      <c r="J77" t="s">
        <v>258</v>
      </c>
      <c r="K77" t="s">
        <v>304</v>
      </c>
      <c r="L77" t="s">
        <v>305</v>
      </c>
      <c r="N77" t="s">
        <v>306</v>
      </c>
      <c r="O77" t="s">
        <v>158</v>
      </c>
      <c r="Q77" t="s">
        <v>164</v>
      </c>
      <c r="R77" t="s">
        <v>140</v>
      </c>
      <c r="S77" t="s">
        <v>128</v>
      </c>
      <c r="T77" t="s">
        <v>165</v>
      </c>
      <c r="U77" t="s">
        <v>129</v>
      </c>
      <c r="V77" t="s">
        <v>77</v>
      </c>
      <c r="W77" s="58">
        <v>43344</v>
      </c>
      <c r="X77" s="59">
        <v>0.33333333333333331</v>
      </c>
      <c r="Y77" s="59">
        <v>0.375</v>
      </c>
      <c r="Z77" s="59">
        <v>4.1666666666666664E-2</v>
      </c>
      <c r="AA77">
        <v>0</v>
      </c>
      <c r="AC77">
        <v>23</v>
      </c>
      <c r="AD77">
        <v>10</v>
      </c>
      <c r="AE77" s="59">
        <v>0.33333333333333331</v>
      </c>
      <c r="AF77" s="59">
        <v>0.3743055555555555</v>
      </c>
      <c r="AG77">
        <v>12</v>
      </c>
    </row>
    <row r="78" spans="1:33" x14ac:dyDescent="0.25">
      <c r="A78" t="s">
        <v>258</v>
      </c>
      <c r="B78" t="s">
        <v>310</v>
      </c>
      <c r="C78" t="s">
        <v>311</v>
      </c>
      <c r="D78" t="s">
        <v>312</v>
      </c>
      <c r="E78" t="s">
        <v>313</v>
      </c>
      <c r="F78" t="s">
        <v>134</v>
      </c>
      <c r="H78" t="s">
        <v>175</v>
      </c>
      <c r="I78" t="s">
        <v>127</v>
      </c>
      <c r="J78" t="s">
        <v>258</v>
      </c>
      <c r="K78" t="s">
        <v>304</v>
      </c>
      <c r="L78" t="s">
        <v>305</v>
      </c>
      <c r="N78" t="s">
        <v>306</v>
      </c>
      <c r="O78" t="s">
        <v>158</v>
      </c>
      <c r="Q78" t="s">
        <v>164</v>
      </c>
      <c r="R78" t="s">
        <v>176</v>
      </c>
      <c r="S78" t="s">
        <v>128</v>
      </c>
      <c r="T78" t="s">
        <v>165</v>
      </c>
      <c r="U78" t="s">
        <v>151</v>
      </c>
      <c r="V78" t="s">
        <v>77</v>
      </c>
      <c r="W78" s="58">
        <v>43344</v>
      </c>
      <c r="X78" s="59">
        <v>0.39583333333333331</v>
      </c>
      <c r="Y78" s="59">
        <v>0.4375</v>
      </c>
      <c r="Z78" s="59">
        <v>4.1666666666666664E-2</v>
      </c>
      <c r="AA78">
        <v>9</v>
      </c>
      <c r="AB78">
        <v>5.7556000000000003</v>
      </c>
      <c r="AC78">
        <v>20</v>
      </c>
      <c r="AD78">
        <v>10</v>
      </c>
      <c r="AE78" s="59">
        <v>0.39583333333333331</v>
      </c>
      <c r="AF78" s="59">
        <v>0.4368055555555555</v>
      </c>
      <c r="AG78">
        <v>12</v>
      </c>
    </row>
    <row r="79" spans="1:33" x14ac:dyDescent="0.25">
      <c r="A79" t="s">
        <v>258</v>
      </c>
      <c r="B79" t="s">
        <v>270</v>
      </c>
      <c r="C79" t="s">
        <v>271</v>
      </c>
      <c r="D79" t="s">
        <v>272</v>
      </c>
      <c r="E79" t="s">
        <v>273</v>
      </c>
      <c r="F79" t="s">
        <v>134</v>
      </c>
      <c r="H79" t="s">
        <v>138</v>
      </c>
      <c r="I79" t="s">
        <v>139</v>
      </c>
      <c r="J79" t="s">
        <v>258</v>
      </c>
      <c r="K79" t="s">
        <v>304</v>
      </c>
      <c r="L79" t="s">
        <v>305</v>
      </c>
      <c r="N79" t="s">
        <v>306</v>
      </c>
      <c r="O79" t="s">
        <v>158</v>
      </c>
      <c r="Q79" t="s">
        <v>164</v>
      </c>
      <c r="R79" t="s">
        <v>140</v>
      </c>
      <c r="S79" t="s">
        <v>128</v>
      </c>
      <c r="T79" t="s">
        <v>165</v>
      </c>
      <c r="U79" t="s">
        <v>129</v>
      </c>
      <c r="V79" t="s">
        <v>77</v>
      </c>
      <c r="W79" s="58">
        <v>43344</v>
      </c>
      <c r="X79" s="59">
        <v>0.76041666666666663</v>
      </c>
      <c r="Y79" s="59">
        <v>0.80208333333333337</v>
      </c>
      <c r="Z79" s="59">
        <v>4.1666666666666664E-2</v>
      </c>
      <c r="AA79">
        <v>0</v>
      </c>
      <c r="AC79">
        <v>23</v>
      </c>
      <c r="AD79">
        <v>10</v>
      </c>
      <c r="AE79" s="59">
        <v>0.76041666666666663</v>
      </c>
      <c r="AF79" s="59">
        <v>0.80138888888888893</v>
      </c>
      <c r="AG79">
        <v>12</v>
      </c>
    </row>
    <row r="80" spans="1:33" x14ac:dyDescent="0.25">
      <c r="B80" t="s">
        <v>307</v>
      </c>
      <c r="C80" t="s">
        <v>308</v>
      </c>
      <c r="D80" t="s">
        <v>309</v>
      </c>
      <c r="E80" t="s">
        <v>134</v>
      </c>
      <c r="H80" t="s">
        <v>171</v>
      </c>
      <c r="I80" t="s">
        <v>169</v>
      </c>
      <c r="J80" t="s">
        <v>258</v>
      </c>
      <c r="K80" t="s">
        <v>304</v>
      </c>
      <c r="L80" t="s">
        <v>305</v>
      </c>
      <c r="N80" t="s">
        <v>306</v>
      </c>
      <c r="O80" t="s">
        <v>158</v>
      </c>
      <c r="Q80" t="s">
        <v>164</v>
      </c>
      <c r="R80" t="s">
        <v>172</v>
      </c>
      <c r="S80" t="s">
        <v>128</v>
      </c>
      <c r="T80" t="s">
        <v>165</v>
      </c>
      <c r="U80" t="s">
        <v>129</v>
      </c>
      <c r="V80" t="s">
        <v>71</v>
      </c>
      <c r="W80" s="58">
        <v>43345</v>
      </c>
      <c r="X80" s="59">
        <v>0.3125</v>
      </c>
      <c r="Y80" s="59">
        <v>0.35416666666666669</v>
      </c>
      <c r="Z80" s="59">
        <v>4.1666666666666664E-2</v>
      </c>
      <c r="AA80">
        <v>0</v>
      </c>
      <c r="AC80">
        <v>23</v>
      </c>
      <c r="AD80">
        <v>10</v>
      </c>
      <c r="AE80" s="59">
        <v>0.3125</v>
      </c>
      <c r="AF80" s="59">
        <v>0.35347222222222219</v>
      </c>
      <c r="AG80">
        <v>12</v>
      </c>
    </row>
    <row r="81" spans="1:33" x14ac:dyDescent="0.25">
      <c r="A81" t="s">
        <v>258</v>
      </c>
      <c r="B81" t="s">
        <v>299</v>
      </c>
      <c r="C81" t="s">
        <v>300</v>
      </c>
      <c r="D81" t="s">
        <v>301</v>
      </c>
      <c r="E81" t="s">
        <v>302</v>
      </c>
      <c r="F81" t="s">
        <v>303</v>
      </c>
      <c r="H81" t="s">
        <v>166</v>
      </c>
      <c r="I81" t="s">
        <v>142</v>
      </c>
      <c r="J81" t="s">
        <v>258</v>
      </c>
      <c r="K81" t="s">
        <v>304</v>
      </c>
      <c r="L81" t="s">
        <v>305</v>
      </c>
      <c r="N81" t="s">
        <v>306</v>
      </c>
      <c r="O81" t="s">
        <v>158</v>
      </c>
      <c r="Q81" t="s">
        <v>164</v>
      </c>
      <c r="R81" t="s">
        <v>167</v>
      </c>
      <c r="S81" t="s">
        <v>128</v>
      </c>
      <c r="T81" t="s">
        <v>165</v>
      </c>
      <c r="U81" t="s">
        <v>129</v>
      </c>
      <c r="V81" t="s">
        <v>72</v>
      </c>
      <c r="W81" s="58">
        <v>43346</v>
      </c>
      <c r="X81" s="59">
        <v>0.33333333333333331</v>
      </c>
      <c r="Y81" s="59">
        <v>0.375</v>
      </c>
      <c r="Z81" s="59">
        <v>4.1666666666666664E-2</v>
      </c>
      <c r="AA81">
        <v>0</v>
      </c>
      <c r="AC81">
        <v>23</v>
      </c>
      <c r="AD81">
        <v>9</v>
      </c>
      <c r="AE81" s="59">
        <v>0.33333333333333331</v>
      </c>
      <c r="AF81" s="59">
        <v>0.3743055555555555</v>
      </c>
      <c r="AG81">
        <v>12</v>
      </c>
    </row>
    <row r="82" spans="1:33" x14ac:dyDescent="0.25">
      <c r="A82" t="s">
        <v>258</v>
      </c>
      <c r="B82" t="s">
        <v>310</v>
      </c>
      <c r="C82" t="s">
        <v>311</v>
      </c>
      <c r="D82" t="s">
        <v>312</v>
      </c>
      <c r="E82" t="s">
        <v>313</v>
      </c>
      <c r="F82" t="s">
        <v>134</v>
      </c>
      <c r="H82" t="s">
        <v>175</v>
      </c>
      <c r="I82" t="s">
        <v>127</v>
      </c>
      <c r="J82" t="s">
        <v>258</v>
      </c>
      <c r="K82" t="s">
        <v>304</v>
      </c>
      <c r="L82" t="s">
        <v>305</v>
      </c>
      <c r="N82" t="s">
        <v>306</v>
      </c>
      <c r="O82" t="s">
        <v>158</v>
      </c>
      <c r="Q82" t="s">
        <v>164</v>
      </c>
      <c r="R82" t="s">
        <v>176</v>
      </c>
      <c r="S82" t="s">
        <v>128</v>
      </c>
      <c r="T82" t="s">
        <v>165</v>
      </c>
      <c r="U82" t="s">
        <v>151</v>
      </c>
      <c r="V82" t="s">
        <v>72</v>
      </c>
      <c r="W82" s="58">
        <v>43346</v>
      </c>
      <c r="X82" s="59">
        <v>0.39583333333333331</v>
      </c>
      <c r="Y82" s="59">
        <v>0.4375</v>
      </c>
      <c r="Z82" s="59">
        <v>4.1666666666666664E-2</v>
      </c>
      <c r="AA82">
        <v>8</v>
      </c>
      <c r="AB82">
        <v>5.1647999999999996</v>
      </c>
      <c r="AC82">
        <v>20</v>
      </c>
      <c r="AD82">
        <v>9</v>
      </c>
      <c r="AE82" s="59">
        <v>0.39583333333333331</v>
      </c>
      <c r="AF82" s="59">
        <v>0.4368055555555555</v>
      </c>
      <c r="AG82">
        <v>12</v>
      </c>
    </row>
    <row r="83" spans="1:33" x14ac:dyDescent="0.25">
      <c r="B83" t="s">
        <v>307</v>
      </c>
      <c r="C83" t="s">
        <v>308</v>
      </c>
      <c r="D83" t="s">
        <v>309</v>
      </c>
      <c r="E83" t="s">
        <v>134</v>
      </c>
      <c r="H83" t="s">
        <v>171</v>
      </c>
      <c r="I83" t="s">
        <v>169</v>
      </c>
      <c r="J83" t="s">
        <v>258</v>
      </c>
      <c r="K83" t="s">
        <v>304</v>
      </c>
      <c r="L83" t="s">
        <v>305</v>
      </c>
      <c r="N83" t="s">
        <v>306</v>
      </c>
      <c r="O83" t="s">
        <v>158</v>
      </c>
      <c r="Q83" t="s">
        <v>164</v>
      </c>
      <c r="R83" t="s">
        <v>172</v>
      </c>
      <c r="S83" t="s">
        <v>128</v>
      </c>
      <c r="T83" t="s">
        <v>165</v>
      </c>
      <c r="U83" t="s">
        <v>129</v>
      </c>
      <c r="V83" t="s">
        <v>72</v>
      </c>
      <c r="W83" s="58">
        <v>43346</v>
      </c>
      <c r="X83" s="59">
        <v>0.64583333333333337</v>
      </c>
      <c r="Y83" s="59">
        <v>0.6875</v>
      </c>
      <c r="Z83" s="59">
        <v>4.1666666666666664E-2</v>
      </c>
      <c r="AA83">
        <v>0</v>
      </c>
      <c r="AC83">
        <v>23</v>
      </c>
      <c r="AD83">
        <v>9</v>
      </c>
      <c r="AE83" s="59">
        <v>0.64583333333333337</v>
      </c>
      <c r="AF83" s="59">
        <v>0.68680555555555556</v>
      </c>
      <c r="AG83">
        <v>12</v>
      </c>
    </row>
    <row r="84" spans="1:33" x14ac:dyDescent="0.25">
      <c r="A84" t="s">
        <v>258</v>
      </c>
      <c r="B84" t="s">
        <v>314</v>
      </c>
      <c r="C84" t="s">
        <v>315</v>
      </c>
      <c r="D84">
        <v>72</v>
      </c>
      <c r="E84" t="s">
        <v>316</v>
      </c>
      <c r="F84" t="s">
        <v>317</v>
      </c>
      <c r="G84" t="s">
        <v>218</v>
      </c>
      <c r="H84" t="s">
        <v>168</v>
      </c>
      <c r="I84" t="s">
        <v>169</v>
      </c>
      <c r="J84" t="s">
        <v>258</v>
      </c>
      <c r="K84" t="s">
        <v>304</v>
      </c>
      <c r="L84" t="s">
        <v>305</v>
      </c>
      <c r="N84" t="s">
        <v>306</v>
      </c>
      <c r="O84" t="s">
        <v>158</v>
      </c>
      <c r="Q84" t="s">
        <v>164</v>
      </c>
      <c r="R84" t="s">
        <v>170</v>
      </c>
      <c r="S84" t="s">
        <v>128</v>
      </c>
      <c r="T84" t="s">
        <v>165</v>
      </c>
      <c r="U84" t="s">
        <v>129</v>
      </c>
      <c r="V84" t="s">
        <v>72</v>
      </c>
      <c r="W84" s="58">
        <v>43346</v>
      </c>
      <c r="X84" s="59">
        <v>0.69444444444444453</v>
      </c>
      <c r="Y84" s="59">
        <v>0.73611111111111116</v>
      </c>
      <c r="Z84" s="59">
        <v>4.1666666666666664E-2</v>
      </c>
      <c r="AA84">
        <v>2</v>
      </c>
      <c r="AB84">
        <v>0.62839999999999996</v>
      </c>
      <c r="AC84">
        <v>23</v>
      </c>
      <c r="AD84">
        <v>9</v>
      </c>
      <c r="AE84" s="59">
        <v>0.69444444444444453</v>
      </c>
      <c r="AF84" s="59">
        <v>0.73541666666666661</v>
      </c>
      <c r="AG84">
        <v>12</v>
      </c>
    </row>
    <row r="85" spans="1:33" x14ac:dyDescent="0.25">
      <c r="A85" t="s">
        <v>258</v>
      </c>
      <c r="B85" t="s">
        <v>299</v>
      </c>
      <c r="C85" t="s">
        <v>300</v>
      </c>
      <c r="D85" t="s">
        <v>301</v>
      </c>
      <c r="E85" t="s">
        <v>302</v>
      </c>
      <c r="F85" t="s">
        <v>303</v>
      </c>
      <c r="H85" t="s">
        <v>166</v>
      </c>
      <c r="I85" t="s">
        <v>142</v>
      </c>
      <c r="J85" t="s">
        <v>258</v>
      </c>
      <c r="K85" t="s">
        <v>304</v>
      </c>
      <c r="L85" t="s">
        <v>305</v>
      </c>
      <c r="N85" t="s">
        <v>306</v>
      </c>
      <c r="O85" t="s">
        <v>158</v>
      </c>
      <c r="Q85" t="s">
        <v>164</v>
      </c>
      <c r="R85" t="s">
        <v>167</v>
      </c>
      <c r="S85" t="s">
        <v>128</v>
      </c>
      <c r="T85" t="s">
        <v>165</v>
      </c>
      <c r="U85" t="s">
        <v>129</v>
      </c>
      <c r="V85" t="s">
        <v>73</v>
      </c>
      <c r="W85" s="58">
        <v>43347</v>
      </c>
      <c r="X85" s="59">
        <v>0.33333333333333331</v>
      </c>
      <c r="Y85" s="59">
        <v>0.375</v>
      </c>
      <c r="Z85" s="59">
        <v>4.1666666666666664E-2</v>
      </c>
      <c r="AA85">
        <v>0</v>
      </c>
      <c r="AC85">
        <v>23</v>
      </c>
      <c r="AD85">
        <v>9</v>
      </c>
      <c r="AE85" s="59">
        <v>0.33333333333333331</v>
      </c>
      <c r="AF85" s="59">
        <v>0.3743055555555555</v>
      </c>
      <c r="AG85">
        <v>12</v>
      </c>
    </row>
    <row r="86" spans="1:33" x14ac:dyDescent="0.25">
      <c r="A86" t="s">
        <v>258</v>
      </c>
      <c r="B86" t="s">
        <v>278</v>
      </c>
      <c r="C86" t="s">
        <v>279</v>
      </c>
      <c r="E86" t="s">
        <v>280</v>
      </c>
      <c r="F86" t="s">
        <v>134</v>
      </c>
      <c r="H86" t="s">
        <v>144</v>
      </c>
      <c r="I86" t="s">
        <v>133</v>
      </c>
      <c r="J86" t="s">
        <v>258</v>
      </c>
      <c r="K86" t="s">
        <v>304</v>
      </c>
      <c r="L86" t="s">
        <v>305</v>
      </c>
      <c r="N86" t="s">
        <v>306</v>
      </c>
      <c r="O86" t="s">
        <v>158</v>
      </c>
      <c r="Q86" t="s">
        <v>164</v>
      </c>
      <c r="R86" t="s">
        <v>145</v>
      </c>
      <c r="S86" t="s">
        <v>128</v>
      </c>
      <c r="T86" t="s">
        <v>165</v>
      </c>
      <c r="U86" t="s">
        <v>129</v>
      </c>
      <c r="V86" t="s">
        <v>73</v>
      </c>
      <c r="W86" s="58">
        <v>43347</v>
      </c>
      <c r="X86" s="59">
        <v>0.42708333333333331</v>
      </c>
      <c r="Y86" s="59">
        <v>0.46875</v>
      </c>
      <c r="Z86" s="59">
        <v>4.1666666666666664E-2</v>
      </c>
      <c r="AA86">
        <v>2</v>
      </c>
      <c r="AB86">
        <v>1.091</v>
      </c>
      <c r="AD86">
        <v>9</v>
      </c>
      <c r="AE86" s="59">
        <v>0.42708333333333331</v>
      </c>
      <c r="AF86" s="59">
        <v>0.4680555555555555</v>
      </c>
      <c r="AG86">
        <v>12</v>
      </c>
    </row>
    <row r="87" spans="1:33" x14ac:dyDescent="0.25">
      <c r="A87" t="s">
        <v>258</v>
      </c>
      <c r="B87" t="s">
        <v>310</v>
      </c>
      <c r="C87" t="s">
        <v>311</v>
      </c>
      <c r="D87" t="s">
        <v>312</v>
      </c>
      <c r="E87" t="s">
        <v>313</v>
      </c>
      <c r="F87" t="s">
        <v>134</v>
      </c>
      <c r="H87" t="s">
        <v>175</v>
      </c>
      <c r="I87" t="s">
        <v>127</v>
      </c>
      <c r="J87" t="s">
        <v>258</v>
      </c>
      <c r="K87" t="s">
        <v>304</v>
      </c>
      <c r="L87" t="s">
        <v>305</v>
      </c>
      <c r="N87" t="s">
        <v>306</v>
      </c>
      <c r="O87" t="s">
        <v>158</v>
      </c>
      <c r="Q87" t="s">
        <v>164</v>
      </c>
      <c r="R87" t="s">
        <v>176</v>
      </c>
      <c r="S87" t="s">
        <v>128</v>
      </c>
      <c r="T87" t="s">
        <v>165</v>
      </c>
      <c r="U87" t="s">
        <v>151</v>
      </c>
      <c r="V87" t="s">
        <v>73</v>
      </c>
      <c r="W87" s="58">
        <v>43347</v>
      </c>
      <c r="X87" s="59">
        <v>0.5</v>
      </c>
      <c r="Y87" s="59">
        <v>0.625</v>
      </c>
      <c r="Z87" s="59">
        <v>0.125</v>
      </c>
      <c r="AA87">
        <v>9</v>
      </c>
      <c r="AB87">
        <v>6.0738000000000003</v>
      </c>
      <c r="AC87">
        <v>60</v>
      </c>
      <c r="AD87">
        <v>27</v>
      </c>
      <c r="AE87" s="59">
        <v>0.5</v>
      </c>
      <c r="AF87" s="59">
        <v>0.62430555555555556</v>
      </c>
      <c r="AG87">
        <v>12</v>
      </c>
    </row>
    <row r="88" spans="1:33" x14ac:dyDescent="0.25">
      <c r="A88" t="s">
        <v>258</v>
      </c>
      <c r="B88" t="s">
        <v>299</v>
      </c>
      <c r="C88" t="s">
        <v>300</v>
      </c>
      <c r="D88" t="s">
        <v>301</v>
      </c>
      <c r="E88" t="s">
        <v>302</v>
      </c>
      <c r="F88" t="s">
        <v>303</v>
      </c>
      <c r="H88" t="s">
        <v>166</v>
      </c>
      <c r="I88" t="s">
        <v>142</v>
      </c>
      <c r="J88" t="s">
        <v>258</v>
      </c>
      <c r="K88" t="s">
        <v>304</v>
      </c>
      <c r="L88" t="s">
        <v>305</v>
      </c>
      <c r="N88" t="s">
        <v>306</v>
      </c>
      <c r="O88" t="s">
        <v>158</v>
      </c>
      <c r="Q88" t="s">
        <v>164</v>
      </c>
      <c r="R88" t="s">
        <v>167</v>
      </c>
      <c r="S88" t="s">
        <v>128</v>
      </c>
      <c r="T88" t="s">
        <v>165</v>
      </c>
      <c r="U88" t="s">
        <v>129</v>
      </c>
      <c r="V88" t="s">
        <v>74</v>
      </c>
      <c r="W88" s="58">
        <v>43348</v>
      </c>
      <c r="X88" s="59">
        <v>0.30208333333333331</v>
      </c>
      <c r="Y88" s="59">
        <v>0.34375</v>
      </c>
      <c r="Z88" s="59">
        <v>4.1666666666666664E-2</v>
      </c>
      <c r="AA88">
        <v>7</v>
      </c>
      <c r="AC88">
        <v>23</v>
      </c>
      <c r="AD88">
        <v>9</v>
      </c>
      <c r="AE88" s="59">
        <v>0.30208333333333331</v>
      </c>
      <c r="AF88" s="59">
        <v>0.3430555555555555</v>
      </c>
      <c r="AG88">
        <v>12</v>
      </c>
    </row>
    <row r="89" spans="1:33" x14ac:dyDescent="0.25">
      <c r="A89" t="s">
        <v>274</v>
      </c>
      <c r="B89" t="s">
        <v>275</v>
      </c>
      <c r="C89" t="s">
        <v>276</v>
      </c>
      <c r="E89" t="s">
        <v>277</v>
      </c>
      <c r="F89" t="s">
        <v>134</v>
      </c>
      <c r="H89" t="s">
        <v>141</v>
      </c>
      <c r="I89" t="s">
        <v>142</v>
      </c>
      <c r="J89" t="s">
        <v>258</v>
      </c>
      <c r="K89" t="s">
        <v>304</v>
      </c>
      <c r="L89" t="s">
        <v>305</v>
      </c>
      <c r="N89" t="s">
        <v>306</v>
      </c>
      <c r="O89" t="s">
        <v>158</v>
      </c>
      <c r="Q89" t="s">
        <v>164</v>
      </c>
      <c r="R89" t="s">
        <v>143</v>
      </c>
      <c r="S89" t="s">
        <v>128</v>
      </c>
      <c r="T89" t="s">
        <v>165</v>
      </c>
      <c r="U89" t="s">
        <v>129</v>
      </c>
      <c r="V89" t="s">
        <v>74</v>
      </c>
      <c r="W89" s="58">
        <v>43348</v>
      </c>
      <c r="X89" s="59">
        <v>0.35416666666666669</v>
      </c>
      <c r="Y89" s="59">
        <v>0.39583333333333331</v>
      </c>
      <c r="Z89" s="59">
        <v>4.1666666666666664E-2</v>
      </c>
      <c r="AA89">
        <v>2</v>
      </c>
      <c r="AB89">
        <v>1.1704000000000001</v>
      </c>
      <c r="AC89">
        <v>23</v>
      </c>
      <c r="AD89">
        <v>9</v>
      </c>
      <c r="AE89" s="59">
        <v>0.35416666666666669</v>
      </c>
      <c r="AF89" s="59">
        <v>0.39513888888888887</v>
      </c>
      <c r="AG89">
        <v>12</v>
      </c>
    </row>
    <row r="90" spans="1:33" x14ac:dyDescent="0.25">
      <c r="A90" t="s">
        <v>258</v>
      </c>
      <c r="B90" t="s">
        <v>278</v>
      </c>
      <c r="C90" t="s">
        <v>279</v>
      </c>
      <c r="E90" t="s">
        <v>280</v>
      </c>
      <c r="F90" t="s">
        <v>134</v>
      </c>
      <c r="H90" t="s">
        <v>144</v>
      </c>
      <c r="I90" t="s">
        <v>133</v>
      </c>
      <c r="J90" t="s">
        <v>258</v>
      </c>
      <c r="K90" t="s">
        <v>304</v>
      </c>
      <c r="L90" t="s">
        <v>305</v>
      </c>
      <c r="N90" t="s">
        <v>306</v>
      </c>
      <c r="O90" t="s">
        <v>158</v>
      </c>
      <c r="Q90" t="s">
        <v>164</v>
      </c>
      <c r="R90" t="s">
        <v>145</v>
      </c>
      <c r="S90" t="s">
        <v>128</v>
      </c>
      <c r="T90" t="s">
        <v>165</v>
      </c>
      <c r="U90" t="s">
        <v>129</v>
      </c>
      <c r="V90" t="s">
        <v>74</v>
      </c>
      <c r="W90" s="58">
        <v>43348</v>
      </c>
      <c r="X90" s="59">
        <v>0.52083333333333337</v>
      </c>
      <c r="Y90" s="59">
        <v>0.5625</v>
      </c>
      <c r="Z90" s="59">
        <v>4.1666666666666664E-2</v>
      </c>
      <c r="AA90">
        <v>0</v>
      </c>
      <c r="AC90">
        <v>23</v>
      </c>
      <c r="AD90">
        <v>9</v>
      </c>
      <c r="AE90" s="59">
        <v>0.52083333333333337</v>
      </c>
      <c r="AF90" s="59">
        <v>0.56180555555555556</v>
      </c>
      <c r="AG90">
        <v>12</v>
      </c>
    </row>
    <row r="91" spans="1:33" x14ac:dyDescent="0.25">
      <c r="A91" t="s">
        <v>274</v>
      </c>
      <c r="B91" t="s">
        <v>275</v>
      </c>
      <c r="C91" t="s">
        <v>276</v>
      </c>
      <c r="E91" t="s">
        <v>277</v>
      </c>
      <c r="F91" t="s">
        <v>134</v>
      </c>
      <c r="H91" t="s">
        <v>141</v>
      </c>
      <c r="I91" t="s">
        <v>142</v>
      </c>
      <c r="J91" t="s">
        <v>258</v>
      </c>
      <c r="K91" t="s">
        <v>304</v>
      </c>
      <c r="L91" t="s">
        <v>305</v>
      </c>
      <c r="N91" t="s">
        <v>306</v>
      </c>
      <c r="O91" t="s">
        <v>158</v>
      </c>
      <c r="Q91" t="s">
        <v>164</v>
      </c>
      <c r="R91" t="s">
        <v>143</v>
      </c>
      <c r="S91" t="s">
        <v>128</v>
      </c>
      <c r="T91" t="s">
        <v>165</v>
      </c>
      <c r="U91" t="s">
        <v>129</v>
      </c>
      <c r="V91" t="s">
        <v>74</v>
      </c>
      <c r="W91" s="58">
        <v>43348</v>
      </c>
      <c r="X91" s="59">
        <v>0.64583333333333337</v>
      </c>
      <c r="Y91" s="59">
        <v>0.72916666666666663</v>
      </c>
      <c r="Z91" s="59">
        <v>8.3333333333333329E-2</v>
      </c>
      <c r="AA91">
        <v>4</v>
      </c>
      <c r="AB91">
        <v>2.0796000000000001</v>
      </c>
      <c r="AC91">
        <v>46</v>
      </c>
      <c r="AD91">
        <v>18</v>
      </c>
      <c r="AE91" s="59">
        <v>0.64583333333333337</v>
      </c>
      <c r="AF91" s="59">
        <v>0.7284722222222223</v>
      </c>
      <c r="AG91">
        <v>12</v>
      </c>
    </row>
    <row r="92" spans="1:33" x14ac:dyDescent="0.25">
      <c r="A92" t="s">
        <v>258</v>
      </c>
      <c r="B92" t="s">
        <v>299</v>
      </c>
      <c r="C92" t="s">
        <v>300</v>
      </c>
      <c r="D92" t="s">
        <v>301</v>
      </c>
      <c r="E92" t="s">
        <v>302</v>
      </c>
      <c r="F92" t="s">
        <v>303</v>
      </c>
      <c r="H92" t="s">
        <v>166</v>
      </c>
      <c r="I92" t="s">
        <v>142</v>
      </c>
      <c r="J92" t="s">
        <v>258</v>
      </c>
      <c r="K92" t="s">
        <v>304</v>
      </c>
      <c r="L92" t="s">
        <v>305</v>
      </c>
      <c r="N92" t="s">
        <v>306</v>
      </c>
      <c r="O92" t="s">
        <v>158</v>
      </c>
      <c r="Q92" t="s">
        <v>164</v>
      </c>
      <c r="R92" t="s">
        <v>167</v>
      </c>
      <c r="S92" t="s">
        <v>128</v>
      </c>
      <c r="T92" t="s">
        <v>165</v>
      </c>
      <c r="U92" t="s">
        <v>129</v>
      </c>
      <c r="V92" t="s">
        <v>75</v>
      </c>
      <c r="W92" s="58">
        <v>43349</v>
      </c>
      <c r="X92" s="59">
        <v>0.33333333333333331</v>
      </c>
      <c r="Y92" s="59">
        <v>0.375</v>
      </c>
      <c r="Z92" s="59">
        <v>4.1666666666666664E-2</v>
      </c>
      <c r="AA92">
        <v>0</v>
      </c>
      <c r="AC92">
        <v>23</v>
      </c>
      <c r="AD92">
        <v>9</v>
      </c>
      <c r="AE92" s="59">
        <v>0.33333333333333331</v>
      </c>
      <c r="AF92" s="59">
        <v>0.3743055555555555</v>
      </c>
      <c r="AG92">
        <v>12</v>
      </c>
    </row>
    <row r="93" spans="1:33" x14ac:dyDescent="0.25">
      <c r="A93" t="s">
        <v>274</v>
      </c>
      <c r="B93" t="s">
        <v>275</v>
      </c>
      <c r="C93" t="s">
        <v>276</v>
      </c>
      <c r="E93" t="s">
        <v>277</v>
      </c>
      <c r="F93" t="s">
        <v>134</v>
      </c>
      <c r="H93" t="s">
        <v>141</v>
      </c>
      <c r="I93" t="s">
        <v>142</v>
      </c>
      <c r="J93" t="s">
        <v>258</v>
      </c>
      <c r="K93" t="s">
        <v>304</v>
      </c>
      <c r="L93" t="s">
        <v>305</v>
      </c>
      <c r="N93" t="s">
        <v>306</v>
      </c>
      <c r="O93" t="s">
        <v>158</v>
      </c>
      <c r="Q93" t="s">
        <v>164</v>
      </c>
      <c r="R93" t="s">
        <v>143</v>
      </c>
      <c r="S93" t="s">
        <v>128</v>
      </c>
      <c r="T93" t="s">
        <v>165</v>
      </c>
      <c r="U93" t="s">
        <v>129</v>
      </c>
      <c r="V93" t="s">
        <v>75</v>
      </c>
      <c r="W93" s="58">
        <v>43349</v>
      </c>
      <c r="X93" s="59">
        <v>0.3888888888888889</v>
      </c>
      <c r="Y93" s="59">
        <v>0.43055555555555558</v>
      </c>
      <c r="Z93" s="59">
        <v>4.1666666666666664E-2</v>
      </c>
      <c r="AA93">
        <v>2</v>
      </c>
      <c r="AB93">
        <v>1.1704000000000001</v>
      </c>
      <c r="AC93">
        <v>23</v>
      </c>
      <c r="AD93">
        <v>9</v>
      </c>
      <c r="AE93" s="59">
        <v>0.3888888888888889</v>
      </c>
      <c r="AF93" s="59">
        <v>0.42986111111111108</v>
      </c>
      <c r="AG93">
        <v>12</v>
      </c>
    </row>
    <row r="94" spans="1:33" x14ac:dyDescent="0.25">
      <c r="A94" t="s">
        <v>258</v>
      </c>
      <c r="B94" t="s">
        <v>310</v>
      </c>
      <c r="C94" t="s">
        <v>311</v>
      </c>
      <c r="D94" t="s">
        <v>312</v>
      </c>
      <c r="E94" t="s">
        <v>313</v>
      </c>
      <c r="F94" t="s">
        <v>134</v>
      </c>
      <c r="H94" t="s">
        <v>175</v>
      </c>
      <c r="I94" t="s">
        <v>127</v>
      </c>
      <c r="J94" t="s">
        <v>258</v>
      </c>
      <c r="K94" t="s">
        <v>304</v>
      </c>
      <c r="L94" t="s">
        <v>305</v>
      </c>
      <c r="N94" t="s">
        <v>306</v>
      </c>
      <c r="O94" t="s">
        <v>158</v>
      </c>
      <c r="Q94" t="s">
        <v>164</v>
      </c>
      <c r="R94" t="s">
        <v>176</v>
      </c>
      <c r="S94" t="s">
        <v>128</v>
      </c>
      <c r="T94" t="s">
        <v>165</v>
      </c>
      <c r="U94" t="s">
        <v>151</v>
      </c>
      <c r="V94" t="s">
        <v>76</v>
      </c>
      <c r="W94" s="58">
        <v>43350</v>
      </c>
      <c r="X94" s="59">
        <v>0.54166666666666663</v>
      </c>
      <c r="Y94" s="59">
        <v>0.66666666666666663</v>
      </c>
      <c r="Z94" s="59">
        <v>0.125</v>
      </c>
      <c r="AA94">
        <v>0</v>
      </c>
      <c r="AC94">
        <v>60</v>
      </c>
      <c r="AD94">
        <v>27</v>
      </c>
      <c r="AE94" s="59">
        <v>0.54166666666666663</v>
      </c>
      <c r="AF94" s="59">
        <v>0.66597222222222219</v>
      </c>
      <c r="AG94">
        <v>12</v>
      </c>
    </row>
    <row r="95" spans="1:33" x14ac:dyDescent="0.25">
      <c r="A95" t="s">
        <v>258</v>
      </c>
      <c r="B95" t="s">
        <v>270</v>
      </c>
      <c r="C95" t="s">
        <v>271</v>
      </c>
      <c r="D95" t="s">
        <v>272</v>
      </c>
      <c r="E95" t="s">
        <v>273</v>
      </c>
      <c r="F95" t="s">
        <v>134</v>
      </c>
      <c r="H95" t="s">
        <v>138</v>
      </c>
      <c r="I95" t="s">
        <v>139</v>
      </c>
      <c r="J95" t="s">
        <v>258</v>
      </c>
      <c r="K95" t="s">
        <v>318</v>
      </c>
      <c r="L95" t="s">
        <v>319</v>
      </c>
      <c r="N95" t="s">
        <v>320</v>
      </c>
      <c r="O95" t="s">
        <v>134</v>
      </c>
      <c r="Q95" t="s">
        <v>178</v>
      </c>
      <c r="R95" t="s">
        <v>140</v>
      </c>
      <c r="S95" t="s">
        <v>128</v>
      </c>
      <c r="T95" t="s">
        <v>181</v>
      </c>
      <c r="U95" t="s">
        <v>129</v>
      </c>
      <c r="V95" t="s">
        <v>77</v>
      </c>
      <c r="W95" s="58">
        <v>43309</v>
      </c>
      <c r="X95" s="59">
        <v>0.33124999999999999</v>
      </c>
      <c r="Y95" s="59">
        <v>0.37291666666666662</v>
      </c>
      <c r="Z95" s="59">
        <v>4.1666666666666664E-2</v>
      </c>
      <c r="AA95">
        <v>0</v>
      </c>
      <c r="AC95">
        <v>23</v>
      </c>
      <c r="AD95">
        <v>10.5</v>
      </c>
      <c r="AE95" s="59">
        <v>0.33124999999999999</v>
      </c>
      <c r="AF95" s="59">
        <v>0.37222222222222223</v>
      </c>
      <c r="AG95">
        <v>25</v>
      </c>
    </row>
    <row r="96" spans="1:33" x14ac:dyDescent="0.25">
      <c r="A96" t="s">
        <v>258</v>
      </c>
      <c r="B96" t="s">
        <v>262</v>
      </c>
      <c r="C96" t="s">
        <v>263</v>
      </c>
      <c r="D96" t="s">
        <v>264</v>
      </c>
      <c r="E96" t="s">
        <v>265</v>
      </c>
      <c r="F96" t="s">
        <v>134</v>
      </c>
      <c r="H96" t="s">
        <v>132</v>
      </c>
      <c r="I96" t="s">
        <v>133</v>
      </c>
      <c r="J96" t="s">
        <v>258</v>
      </c>
      <c r="K96" t="s">
        <v>318</v>
      </c>
      <c r="L96" t="s">
        <v>319</v>
      </c>
      <c r="N96" t="s">
        <v>320</v>
      </c>
      <c r="O96" t="s">
        <v>134</v>
      </c>
      <c r="Q96" t="s">
        <v>178</v>
      </c>
      <c r="R96" t="s">
        <v>136</v>
      </c>
      <c r="S96" t="s">
        <v>128</v>
      </c>
      <c r="T96" t="s">
        <v>181</v>
      </c>
      <c r="U96" t="s">
        <v>129</v>
      </c>
      <c r="V96" t="s">
        <v>77</v>
      </c>
      <c r="W96" s="58">
        <v>43309</v>
      </c>
      <c r="X96" s="59">
        <v>0.38194444444444442</v>
      </c>
      <c r="Y96" s="59">
        <v>0.4236111111111111</v>
      </c>
      <c r="Z96" s="59">
        <v>4.1666666666666664E-2</v>
      </c>
      <c r="AA96">
        <v>0</v>
      </c>
      <c r="AB96">
        <v>2.3898000000000001</v>
      </c>
      <c r="AC96">
        <v>23</v>
      </c>
      <c r="AD96">
        <v>10.5</v>
      </c>
      <c r="AE96" s="59">
        <v>0.38194444444444442</v>
      </c>
      <c r="AF96" s="59">
        <v>0.42291666666666666</v>
      </c>
      <c r="AG96">
        <v>25</v>
      </c>
    </row>
    <row r="97" spans="1:33" x14ac:dyDescent="0.25">
      <c r="A97" t="s">
        <v>258</v>
      </c>
      <c r="B97" t="s">
        <v>270</v>
      </c>
      <c r="C97" t="s">
        <v>271</v>
      </c>
      <c r="D97" t="s">
        <v>272</v>
      </c>
      <c r="E97" t="s">
        <v>273</v>
      </c>
      <c r="F97" t="s">
        <v>134</v>
      </c>
      <c r="H97" t="s">
        <v>138</v>
      </c>
      <c r="I97" t="s">
        <v>139</v>
      </c>
      <c r="J97" t="s">
        <v>258</v>
      </c>
      <c r="K97" t="s">
        <v>318</v>
      </c>
      <c r="L97" t="s">
        <v>319</v>
      </c>
      <c r="N97" t="s">
        <v>320</v>
      </c>
      <c r="O97" t="s">
        <v>134</v>
      </c>
      <c r="Q97" t="s">
        <v>178</v>
      </c>
      <c r="R97" t="s">
        <v>140</v>
      </c>
      <c r="S97" t="s">
        <v>128</v>
      </c>
      <c r="T97" t="s">
        <v>181</v>
      </c>
      <c r="U97" t="s">
        <v>129</v>
      </c>
      <c r="V97" t="s">
        <v>77</v>
      </c>
      <c r="W97" s="58">
        <v>43309</v>
      </c>
      <c r="X97" s="59">
        <v>0.76041666666666663</v>
      </c>
      <c r="Y97" s="59">
        <v>0.80208333333333337</v>
      </c>
      <c r="Z97" s="59">
        <v>4.1666666666666664E-2</v>
      </c>
      <c r="AA97">
        <v>0</v>
      </c>
      <c r="AC97">
        <v>23</v>
      </c>
      <c r="AD97">
        <v>10.5</v>
      </c>
      <c r="AE97" s="59">
        <v>0.76041666666666663</v>
      </c>
      <c r="AF97" s="59">
        <v>0.80138888888888893</v>
      </c>
      <c r="AG97">
        <v>25</v>
      </c>
    </row>
    <row r="98" spans="1:33" x14ac:dyDescent="0.25">
      <c r="A98" t="s">
        <v>274</v>
      </c>
      <c r="B98" t="s">
        <v>275</v>
      </c>
      <c r="C98" t="s">
        <v>276</v>
      </c>
      <c r="E98" t="s">
        <v>277</v>
      </c>
      <c r="F98" t="s">
        <v>134</v>
      </c>
      <c r="H98" t="s">
        <v>141</v>
      </c>
      <c r="I98" t="s">
        <v>142</v>
      </c>
      <c r="J98" t="s">
        <v>258</v>
      </c>
      <c r="K98" t="s">
        <v>318</v>
      </c>
      <c r="L98" t="s">
        <v>319</v>
      </c>
      <c r="N98" t="s">
        <v>320</v>
      </c>
      <c r="O98" t="s">
        <v>134</v>
      </c>
      <c r="Q98" t="s">
        <v>178</v>
      </c>
      <c r="R98" t="s">
        <v>143</v>
      </c>
      <c r="S98" t="s">
        <v>128</v>
      </c>
      <c r="T98" t="s">
        <v>181</v>
      </c>
      <c r="U98" t="s">
        <v>129</v>
      </c>
      <c r="V98" t="s">
        <v>77</v>
      </c>
      <c r="W98" s="58">
        <v>43309</v>
      </c>
      <c r="X98" s="59">
        <v>0.8125</v>
      </c>
      <c r="Y98" s="59">
        <v>0.83333333333333337</v>
      </c>
      <c r="Z98" s="59">
        <v>2.0833333333333332E-2</v>
      </c>
      <c r="AA98">
        <v>0</v>
      </c>
      <c r="AB98">
        <v>0.9</v>
      </c>
      <c r="AC98">
        <v>11.5</v>
      </c>
      <c r="AD98">
        <v>5.25</v>
      </c>
      <c r="AE98" s="59">
        <v>0.8125</v>
      </c>
      <c r="AF98" s="59">
        <v>0.83263888888888893</v>
      </c>
      <c r="AG98">
        <v>25</v>
      </c>
    </row>
    <row r="99" spans="1:33" x14ac:dyDescent="0.25">
      <c r="A99" t="s">
        <v>274</v>
      </c>
      <c r="B99" t="s">
        <v>321</v>
      </c>
      <c r="C99" t="s">
        <v>322</v>
      </c>
      <c r="D99" t="s">
        <v>323</v>
      </c>
      <c r="E99" t="s">
        <v>324</v>
      </c>
      <c r="F99" t="s">
        <v>134</v>
      </c>
      <c r="H99" t="s">
        <v>184</v>
      </c>
      <c r="I99" t="s">
        <v>147</v>
      </c>
      <c r="J99" t="s">
        <v>258</v>
      </c>
      <c r="K99" t="s">
        <v>318</v>
      </c>
      <c r="L99" t="s">
        <v>319</v>
      </c>
      <c r="N99" t="s">
        <v>320</v>
      </c>
      <c r="O99" t="s">
        <v>134</v>
      </c>
      <c r="Q99" t="s">
        <v>178</v>
      </c>
      <c r="R99" t="s">
        <v>185</v>
      </c>
      <c r="S99" t="s">
        <v>128</v>
      </c>
      <c r="T99" t="s">
        <v>181</v>
      </c>
      <c r="U99" t="s">
        <v>151</v>
      </c>
      <c r="V99" t="s">
        <v>77</v>
      </c>
      <c r="W99" s="58">
        <v>43309</v>
      </c>
      <c r="X99" s="59">
        <v>0.84375</v>
      </c>
      <c r="Y99" s="59">
        <v>0.875</v>
      </c>
      <c r="Z99" s="59">
        <v>3.125E-2</v>
      </c>
      <c r="AA99">
        <v>0</v>
      </c>
      <c r="AB99">
        <v>9.7805999999999997</v>
      </c>
      <c r="AC99">
        <v>15</v>
      </c>
      <c r="AD99">
        <v>7.875</v>
      </c>
      <c r="AE99" s="59">
        <v>0.84375</v>
      </c>
      <c r="AF99" s="59">
        <v>0.87430555555555556</v>
      </c>
      <c r="AG99">
        <v>25</v>
      </c>
    </row>
    <row r="100" spans="1:33" x14ac:dyDescent="0.25">
      <c r="A100" t="s">
        <v>258</v>
      </c>
      <c r="B100" t="s">
        <v>262</v>
      </c>
      <c r="C100" t="s">
        <v>263</v>
      </c>
      <c r="D100" t="s">
        <v>264</v>
      </c>
      <c r="E100" t="s">
        <v>265</v>
      </c>
      <c r="F100" t="s">
        <v>134</v>
      </c>
      <c r="H100" t="s">
        <v>132</v>
      </c>
      <c r="I100" t="s">
        <v>133</v>
      </c>
      <c r="J100" t="s">
        <v>258</v>
      </c>
      <c r="K100" t="s">
        <v>318</v>
      </c>
      <c r="L100" t="s">
        <v>319</v>
      </c>
      <c r="N100" t="s">
        <v>320</v>
      </c>
      <c r="O100" t="s">
        <v>134</v>
      </c>
      <c r="Q100" t="s">
        <v>178</v>
      </c>
      <c r="R100" t="s">
        <v>136</v>
      </c>
      <c r="S100" t="s">
        <v>128</v>
      </c>
      <c r="T100" t="s">
        <v>181</v>
      </c>
      <c r="U100" t="s">
        <v>129</v>
      </c>
      <c r="V100" t="s">
        <v>71</v>
      </c>
      <c r="W100" s="58">
        <v>43310</v>
      </c>
      <c r="X100" s="59">
        <v>0.35416666666666669</v>
      </c>
      <c r="Y100" s="59">
        <v>0.39583333333333331</v>
      </c>
      <c r="Z100" s="59">
        <v>4.1666666666666664E-2</v>
      </c>
      <c r="AA100">
        <v>0</v>
      </c>
      <c r="AC100">
        <v>23</v>
      </c>
      <c r="AD100">
        <v>10.5</v>
      </c>
      <c r="AE100" s="59">
        <v>0.35416666666666669</v>
      </c>
      <c r="AF100" s="59">
        <v>0.39513888888888887</v>
      </c>
      <c r="AG100">
        <v>25</v>
      </c>
    </row>
    <row r="101" spans="1:33" x14ac:dyDescent="0.25">
      <c r="A101" t="s">
        <v>258</v>
      </c>
      <c r="B101" t="s">
        <v>325</v>
      </c>
      <c r="C101" t="s">
        <v>326</v>
      </c>
      <c r="E101" t="s">
        <v>327</v>
      </c>
      <c r="F101" t="s">
        <v>134</v>
      </c>
      <c r="H101" t="s">
        <v>182</v>
      </c>
      <c r="I101" t="s">
        <v>147</v>
      </c>
      <c r="J101" t="s">
        <v>258</v>
      </c>
      <c r="K101" t="s">
        <v>318</v>
      </c>
      <c r="L101" t="s">
        <v>319</v>
      </c>
      <c r="N101" t="s">
        <v>320</v>
      </c>
      <c r="O101" t="s">
        <v>134</v>
      </c>
      <c r="Q101" t="s">
        <v>178</v>
      </c>
      <c r="R101" t="s">
        <v>183</v>
      </c>
      <c r="S101" t="s">
        <v>128</v>
      </c>
      <c r="T101" t="s">
        <v>181</v>
      </c>
      <c r="U101" t="s">
        <v>129</v>
      </c>
      <c r="V101" t="s">
        <v>72</v>
      </c>
      <c r="W101" s="58">
        <v>43311</v>
      </c>
      <c r="X101" s="59">
        <v>0.36458333333333331</v>
      </c>
      <c r="Y101" s="59">
        <v>0.40625</v>
      </c>
      <c r="Z101" s="59">
        <v>4.1666666666666664E-2</v>
      </c>
      <c r="AA101">
        <v>0</v>
      </c>
      <c r="AC101">
        <v>23</v>
      </c>
      <c r="AD101">
        <v>9.5</v>
      </c>
      <c r="AE101" s="59">
        <v>0.36458333333333331</v>
      </c>
      <c r="AF101" s="59">
        <v>0.4055555555555555</v>
      </c>
      <c r="AG101">
        <v>25</v>
      </c>
    </row>
    <row r="102" spans="1:33" x14ac:dyDescent="0.25">
      <c r="A102" t="s">
        <v>274</v>
      </c>
      <c r="B102" t="s">
        <v>321</v>
      </c>
      <c r="C102" t="s">
        <v>322</v>
      </c>
      <c r="D102" t="s">
        <v>323</v>
      </c>
      <c r="E102" t="s">
        <v>324</v>
      </c>
      <c r="F102" t="s">
        <v>134</v>
      </c>
      <c r="H102" t="s">
        <v>184</v>
      </c>
      <c r="I102" t="s">
        <v>147</v>
      </c>
      <c r="J102" t="s">
        <v>258</v>
      </c>
      <c r="K102" t="s">
        <v>318</v>
      </c>
      <c r="L102" t="s">
        <v>319</v>
      </c>
      <c r="N102" t="s">
        <v>320</v>
      </c>
      <c r="O102" t="s">
        <v>134</v>
      </c>
      <c r="Q102" t="s">
        <v>178</v>
      </c>
      <c r="R102" t="s">
        <v>185</v>
      </c>
      <c r="S102" t="s">
        <v>128</v>
      </c>
      <c r="T102" t="s">
        <v>181</v>
      </c>
      <c r="U102" t="s">
        <v>151</v>
      </c>
      <c r="V102" t="s">
        <v>72</v>
      </c>
      <c r="W102" s="58">
        <v>43311</v>
      </c>
      <c r="X102" s="59">
        <v>0.41666666666666669</v>
      </c>
      <c r="Y102" s="59">
        <v>0.45833333333333331</v>
      </c>
      <c r="Z102" s="59">
        <v>4.1666666666666664E-2</v>
      </c>
      <c r="AA102">
        <v>0</v>
      </c>
      <c r="AB102">
        <v>2.2181999999999999</v>
      </c>
      <c r="AC102">
        <v>20</v>
      </c>
      <c r="AD102">
        <v>9.5</v>
      </c>
      <c r="AE102" s="59">
        <v>0.41666666666666669</v>
      </c>
      <c r="AF102" s="59">
        <v>0.45763888888888887</v>
      </c>
      <c r="AG102">
        <v>25</v>
      </c>
    </row>
    <row r="103" spans="1:33" x14ac:dyDescent="0.25">
      <c r="A103" t="s">
        <v>258</v>
      </c>
      <c r="B103" t="s">
        <v>325</v>
      </c>
      <c r="C103" t="s">
        <v>326</v>
      </c>
      <c r="E103" t="s">
        <v>327</v>
      </c>
      <c r="F103" t="s">
        <v>134</v>
      </c>
      <c r="H103" t="s">
        <v>182</v>
      </c>
      <c r="I103" t="s">
        <v>147</v>
      </c>
      <c r="J103" t="s">
        <v>258</v>
      </c>
      <c r="K103" t="s">
        <v>318</v>
      </c>
      <c r="L103" t="s">
        <v>319</v>
      </c>
      <c r="N103" t="s">
        <v>320</v>
      </c>
      <c r="O103" t="s">
        <v>134</v>
      </c>
      <c r="Q103" t="s">
        <v>178</v>
      </c>
      <c r="R103" t="s">
        <v>183</v>
      </c>
      <c r="S103" t="s">
        <v>128</v>
      </c>
      <c r="T103" t="s">
        <v>181</v>
      </c>
      <c r="U103" t="s">
        <v>129</v>
      </c>
      <c r="V103" t="s">
        <v>72</v>
      </c>
      <c r="W103" s="58">
        <v>43311</v>
      </c>
      <c r="X103" s="59">
        <v>0.5</v>
      </c>
      <c r="Y103" s="59">
        <v>0.54166666666666663</v>
      </c>
      <c r="Z103" s="59">
        <v>4.1666666666666664E-2</v>
      </c>
      <c r="AA103">
        <v>0</v>
      </c>
      <c r="AB103">
        <v>2.2181999999999999</v>
      </c>
      <c r="AC103">
        <v>23</v>
      </c>
      <c r="AD103">
        <v>9.5</v>
      </c>
      <c r="AE103" s="59">
        <v>0.5</v>
      </c>
      <c r="AF103" s="59">
        <v>0.54097222222222219</v>
      </c>
      <c r="AG103">
        <v>25</v>
      </c>
    </row>
    <row r="104" spans="1:33" x14ac:dyDescent="0.25">
      <c r="A104" t="s">
        <v>258</v>
      </c>
      <c r="B104" t="s">
        <v>262</v>
      </c>
      <c r="C104" t="s">
        <v>263</v>
      </c>
      <c r="D104" t="s">
        <v>264</v>
      </c>
      <c r="E104" t="s">
        <v>265</v>
      </c>
      <c r="F104" t="s">
        <v>134</v>
      </c>
      <c r="H104" t="s">
        <v>132</v>
      </c>
      <c r="I104" t="s">
        <v>133</v>
      </c>
      <c r="J104" t="s">
        <v>258</v>
      </c>
      <c r="K104" t="s">
        <v>318</v>
      </c>
      <c r="L104" t="s">
        <v>319</v>
      </c>
      <c r="N104" t="s">
        <v>320</v>
      </c>
      <c r="O104" t="s">
        <v>134</v>
      </c>
      <c r="Q104" t="s">
        <v>178</v>
      </c>
      <c r="R104" t="s">
        <v>136</v>
      </c>
      <c r="S104" t="s">
        <v>128</v>
      </c>
      <c r="T104" t="s">
        <v>181</v>
      </c>
      <c r="U104" t="s">
        <v>174</v>
      </c>
      <c r="V104" t="s">
        <v>72</v>
      </c>
      <c r="W104" s="58">
        <v>43311</v>
      </c>
      <c r="X104" s="59">
        <v>0.66666666666666663</v>
      </c>
      <c r="Y104" s="59">
        <v>0.70833333333333337</v>
      </c>
      <c r="Z104" s="59">
        <v>4.1666666666666664E-2</v>
      </c>
      <c r="AA104">
        <v>0</v>
      </c>
      <c r="AD104">
        <v>9.5</v>
      </c>
      <c r="AE104" s="59">
        <v>0.66666666666666663</v>
      </c>
      <c r="AF104" s="59">
        <v>0.70763888888888893</v>
      </c>
      <c r="AG104">
        <v>25</v>
      </c>
    </row>
    <row r="105" spans="1:33" x14ac:dyDescent="0.25">
      <c r="A105" t="s">
        <v>258</v>
      </c>
      <c r="B105" t="s">
        <v>262</v>
      </c>
      <c r="C105" t="s">
        <v>263</v>
      </c>
      <c r="D105" t="s">
        <v>264</v>
      </c>
      <c r="E105" t="s">
        <v>265</v>
      </c>
      <c r="F105" t="s">
        <v>134</v>
      </c>
      <c r="H105" t="s">
        <v>132</v>
      </c>
      <c r="I105" t="s">
        <v>133</v>
      </c>
      <c r="J105" t="s">
        <v>258</v>
      </c>
      <c r="K105" t="s">
        <v>318</v>
      </c>
      <c r="L105" t="s">
        <v>319</v>
      </c>
      <c r="N105" t="s">
        <v>320</v>
      </c>
      <c r="O105" t="s">
        <v>134</v>
      </c>
      <c r="Q105" t="s">
        <v>178</v>
      </c>
      <c r="R105" t="s">
        <v>136</v>
      </c>
      <c r="S105" t="s">
        <v>128</v>
      </c>
      <c r="T105" t="s">
        <v>181</v>
      </c>
      <c r="U105" t="s">
        <v>174</v>
      </c>
      <c r="V105" t="s">
        <v>72</v>
      </c>
      <c r="W105" s="58">
        <v>43318</v>
      </c>
      <c r="X105" s="59">
        <v>0.72916666666666663</v>
      </c>
      <c r="Y105" s="59">
        <v>0.75</v>
      </c>
      <c r="Z105" s="59">
        <v>2.0833333333333332E-2</v>
      </c>
      <c r="AA105">
        <v>0</v>
      </c>
      <c r="AD105">
        <v>4.75</v>
      </c>
      <c r="AE105" s="59">
        <v>0.72916666666666663</v>
      </c>
      <c r="AF105" s="59">
        <v>0.74930555555555556</v>
      </c>
      <c r="AG105">
        <v>25</v>
      </c>
    </row>
    <row r="106" spans="1:33" x14ac:dyDescent="0.25">
      <c r="A106" t="s">
        <v>274</v>
      </c>
      <c r="B106" t="s">
        <v>321</v>
      </c>
      <c r="C106" t="s">
        <v>322</v>
      </c>
      <c r="D106" t="s">
        <v>323</v>
      </c>
      <c r="E106" t="s">
        <v>324</v>
      </c>
      <c r="F106" t="s">
        <v>134</v>
      </c>
      <c r="H106" t="s">
        <v>184</v>
      </c>
      <c r="I106" t="s">
        <v>147</v>
      </c>
      <c r="J106" t="s">
        <v>258</v>
      </c>
      <c r="K106" t="s">
        <v>318</v>
      </c>
      <c r="L106" t="s">
        <v>319</v>
      </c>
      <c r="N106" t="s">
        <v>320</v>
      </c>
      <c r="O106" t="s">
        <v>134</v>
      </c>
      <c r="Q106" t="s">
        <v>178</v>
      </c>
      <c r="R106" t="s">
        <v>185</v>
      </c>
      <c r="S106" t="s">
        <v>128</v>
      </c>
      <c r="T106" t="s">
        <v>181</v>
      </c>
      <c r="U106" t="s">
        <v>151</v>
      </c>
      <c r="V106" t="s">
        <v>72</v>
      </c>
      <c r="W106" s="58">
        <v>43318</v>
      </c>
      <c r="X106" s="59">
        <v>0.8125</v>
      </c>
      <c r="Y106" s="59">
        <v>0.84375</v>
      </c>
      <c r="Z106" s="59">
        <v>3.125E-2</v>
      </c>
      <c r="AA106">
        <v>0</v>
      </c>
      <c r="AB106">
        <v>13.225</v>
      </c>
      <c r="AC106">
        <v>15</v>
      </c>
      <c r="AD106">
        <v>7.125</v>
      </c>
      <c r="AE106" s="59">
        <v>0.8125</v>
      </c>
      <c r="AF106" s="59">
        <v>0.84305555555555556</v>
      </c>
      <c r="AG106">
        <v>25</v>
      </c>
    </row>
    <row r="107" spans="1:33" x14ac:dyDescent="0.25">
      <c r="A107" t="s">
        <v>258</v>
      </c>
      <c r="B107" t="s">
        <v>310</v>
      </c>
      <c r="C107" t="s">
        <v>311</v>
      </c>
      <c r="D107" t="s">
        <v>312</v>
      </c>
      <c r="E107" t="s">
        <v>313</v>
      </c>
      <c r="F107" t="s">
        <v>134</v>
      </c>
      <c r="H107" t="s">
        <v>175</v>
      </c>
      <c r="I107" t="s">
        <v>127</v>
      </c>
      <c r="J107" t="s">
        <v>258</v>
      </c>
      <c r="K107" t="s">
        <v>318</v>
      </c>
      <c r="L107" t="s">
        <v>319</v>
      </c>
      <c r="N107" t="s">
        <v>320</v>
      </c>
      <c r="O107" t="s">
        <v>134</v>
      </c>
      <c r="Q107" t="s">
        <v>178</v>
      </c>
      <c r="R107" t="s">
        <v>176</v>
      </c>
      <c r="S107" t="s">
        <v>128</v>
      </c>
      <c r="T107" t="s">
        <v>181</v>
      </c>
      <c r="U107" t="s">
        <v>151</v>
      </c>
      <c r="V107" t="s">
        <v>72</v>
      </c>
      <c r="W107" s="58">
        <v>43318</v>
      </c>
      <c r="X107" s="59">
        <v>0.85416666666666663</v>
      </c>
      <c r="Y107" s="59">
        <v>0.875</v>
      </c>
      <c r="Z107" s="59">
        <v>2.0833333333333332E-2</v>
      </c>
      <c r="AA107">
        <v>0</v>
      </c>
      <c r="AB107">
        <v>4.8944000000000001</v>
      </c>
      <c r="AC107">
        <v>10</v>
      </c>
      <c r="AD107">
        <v>4.75</v>
      </c>
      <c r="AE107" s="59">
        <v>0.85416666666666663</v>
      </c>
      <c r="AF107" s="59">
        <v>0.87430555555555556</v>
      </c>
      <c r="AG107">
        <v>25</v>
      </c>
    </row>
    <row r="108" spans="1:33" x14ac:dyDescent="0.25">
      <c r="A108" t="s">
        <v>258</v>
      </c>
      <c r="B108" t="s">
        <v>262</v>
      </c>
      <c r="C108" t="s">
        <v>263</v>
      </c>
      <c r="D108" t="s">
        <v>264</v>
      </c>
      <c r="E108" t="s">
        <v>265</v>
      </c>
      <c r="F108" t="s">
        <v>134</v>
      </c>
      <c r="H108" t="s">
        <v>132</v>
      </c>
      <c r="I108" t="s">
        <v>133</v>
      </c>
      <c r="J108" t="s">
        <v>258</v>
      </c>
      <c r="K108" t="s">
        <v>318</v>
      </c>
      <c r="L108" t="s">
        <v>319</v>
      </c>
      <c r="N108" t="s">
        <v>320</v>
      </c>
      <c r="O108" t="s">
        <v>134</v>
      </c>
      <c r="Q108" t="s">
        <v>178</v>
      </c>
      <c r="R108" t="s">
        <v>136</v>
      </c>
      <c r="S108" t="s">
        <v>128</v>
      </c>
      <c r="T108" t="s">
        <v>181</v>
      </c>
      <c r="U108" t="s">
        <v>174</v>
      </c>
      <c r="V108" t="s">
        <v>73</v>
      </c>
      <c r="W108" s="58">
        <v>43319</v>
      </c>
      <c r="X108" s="59">
        <v>0.32291666666666669</v>
      </c>
      <c r="Y108" s="59">
        <v>0.34375</v>
      </c>
      <c r="Z108" s="59">
        <v>2.0833333333333332E-2</v>
      </c>
      <c r="AA108">
        <v>0</v>
      </c>
      <c r="AD108">
        <v>4.75</v>
      </c>
      <c r="AE108" s="59">
        <v>0.32291666666666669</v>
      </c>
      <c r="AF108" s="59">
        <v>0.3430555555555555</v>
      </c>
      <c r="AG108">
        <v>25</v>
      </c>
    </row>
    <row r="109" spans="1:33" x14ac:dyDescent="0.25">
      <c r="A109" t="s">
        <v>258</v>
      </c>
      <c r="B109" t="s">
        <v>325</v>
      </c>
      <c r="C109" t="s">
        <v>326</v>
      </c>
      <c r="E109" t="s">
        <v>327</v>
      </c>
      <c r="F109" t="s">
        <v>134</v>
      </c>
      <c r="H109" t="s">
        <v>182</v>
      </c>
      <c r="I109" t="s">
        <v>147</v>
      </c>
      <c r="J109" t="s">
        <v>258</v>
      </c>
      <c r="K109" t="s">
        <v>318</v>
      </c>
      <c r="L109" t="s">
        <v>319</v>
      </c>
      <c r="N109" t="s">
        <v>320</v>
      </c>
      <c r="O109" t="s">
        <v>134</v>
      </c>
      <c r="Q109" t="s">
        <v>178</v>
      </c>
      <c r="R109" t="s">
        <v>183</v>
      </c>
      <c r="S109" t="s">
        <v>128</v>
      </c>
      <c r="T109" t="s">
        <v>181</v>
      </c>
      <c r="U109" t="s">
        <v>129</v>
      </c>
      <c r="V109" t="s">
        <v>73</v>
      </c>
      <c r="W109" s="58">
        <v>43319</v>
      </c>
      <c r="X109" s="59">
        <v>0.36458333333333331</v>
      </c>
      <c r="Y109" s="59">
        <v>0.40625</v>
      </c>
      <c r="Z109" s="59">
        <v>4.1666666666666664E-2</v>
      </c>
      <c r="AA109">
        <v>0</v>
      </c>
      <c r="AB109">
        <v>11.3988</v>
      </c>
      <c r="AC109">
        <v>23</v>
      </c>
      <c r="AD109">
        <v>9.5</v>
      </c>
      <c r="AE109" s="59">
        <v>0.36458333333333331</v>
      </c>
      <c r="AF109" s="59">
        <v>0.4055555555555555</v>
      </c>
      <c r="AG109">
        <v>25</v>
      </c>
    </row>
    <row r="110" spans="1:33" x14ac:dyDescent="0.25">
      <c r="A110" t="s">
        <v>274</v>
      </c>
      <c r="B110" t="s">
        <v>321</v>
      </c>
      <c r="C110" t="s">
        <v>322</v>
      </c>
      <c r="D110" t="s">
        <v>323</v>
      </c>
      <c r="E110" t="s">
        <v>324</v>
      </c>
      <c r="F110" t="s">
        <v>134</v>
      </c>
      <c r="H110" t="s">
        <v>184</v>
      </c>
      <c r="I110" t="s">
        <v>147</v>
      </c>
      <c r="J110" t="s">
        <v>258</v>
      </c>
      <c r="K110" t="s">
        <v>318</v>
      </c>
      <c r="L110" t="s">
        <v>319</v>
      </c>
      <c r="N110" t="s">
        <v>320</v>
      </c>
      <c r="O110" t="s">
        <v>134</v>
      </c>
      <c r="Q110" t="s">
        <v>178</v>
      </c>
      <c r="R110" t="s">
        <v>185</v>
      </c>
      <c r="S110" t="s">
        <v>128</v>
      </c>
      <c r="T110" t="s">
        <v>181</v>
      </c>
      <c r="U110" t="s">
        <v>151</v>
      </c>
      <c r="V110" t="s">
        <v>73</v>
      </c>
      <c r="W110" s="58">
        <v>43319</v>
      </c>
      <c r="X110" s="59">
        <v>0.41666666666666669</v>
      </c>
      <c r="Y110" s="59">
        <v>0.45833333333333331</v>
      </c>
      <c r="Z110" s="59">
        <v>4.1666666666666664E-2</v>
      </c>
      <c r="AA110">
        <v>0</v>
      </c>
      <c r="AB110">
        <v>2.2181999999999999</v>
      </c>
      <c r="AC110">
        <v>20</v>
      </c>
      <c r="AD110">
        <v>9.5</v>
      </c>
      <c r="AE110" s="59">
        <v>0.41666666666666669</v>
      </c>
      <c r="AF110" s="59">
        <v>0.45763888888888887</v>
      </c>
      <c r="AG110">
        <v>25</v>
      </c>
    </row>
    <row r="111" spans="1:33" x14ac:dyDescent="0.25">
      <c r="A111" t="s">
        <v>258</v>
      </c>
      <c r="B111" t="s">
        <v>325</v>
      </c>
      <c r="C111" t="s">
        <v>326</v>
      </c>
      <c r="E111" t="s">
        <v>327</v>
      </c>
      <c r="F111" t="s">
        <v>134</v>
      </c>
      <c r="H111" t="s">
        <v>182</v>
      </c>
      <c r="I111" t="s">
        <v>147</v>
      </c>
      <c r="J111" t="s">
        <v>258</v>
      </c>
      <c r="K111" t="s">
        <v>318</v>
      </c>
      <c r="L111" t="s">
        <v>319</v>
      </c>
      <c r="N111" t="s">
        <v>320</v>
      </c>
      <c r="O111" t="s">
        <v>134</v>
      </c>
      <c r="Q111" t="s">
        <v>178</v>
      </c>
      <c r="R111" t="s">
        <v>183</v>
      </c>
      <c r="S111" t="s">
        <v>128</v>
      </c>
      <c r="T111" t="s">
        <v>181</v>
      </c>
      <c r="U111" t="s">
        <v>129</v>
      </c>
      <c r="V111" t="s">
        <v>73</v>
      </c>
      <c r="W111" s="58">
        <v>43319</v>
      </c>
      <c r="X111" s="59">
        <v>0.5</v>
      </c>
      <c r="Y111" s="59">
        <v>0.54166666666666663</v>
      </c>
      <c r="Z111" s="59">
        <v>4.1666666666666664E-2</v>
      </c>
      <c r="AA111">
        <v>0</v>
      </c>
      <c r="AB111">
        <v>2.2181999999999999</v>
      </c>
      <c r="AC111">
        <v>23</v>
      </c>
      <c r="AD111">
        <v>9.5</v>
      </c>
      <c r="AE111" s="59">
        <v>0.5</v>
      </c>
      <c r="AF111" s="59">
        <v>0.54097222222222219</v>
      </c>
      <c r="AG111">
        <v>25</v>
      </c>
    </row>
    <row r="112" spans="1:33" x14ac:dyDescent="0.25">
      <c r="A112" t="s">
        <v>274</v>
      </c>
      <c r="B112" t="s">
        <v>328</v>
      </c>
      <c r="C112" t="s">
        <v>329</v>
      </c>
      <c r="D112">
        <v>5</v>
      </c>
      <c r="E112" t="s">
        <v>330</v>
      </c>
      <c r="F112" t="s">
        <v>134</v>
      </c>
      <c r="G112" t="s">
        <v>218</v>
      </c>
      <c r="H112" t="s">
        <v>188</v>
      </c>
      <c r="I112" t="s">
        <v>189</v>
      </c>
      <c r="J112" t="s">
        <v>258</v>
      </c>
      <c r="K112" t="s">
        <v>318</v>
      </c>
      <c r="L112" t="s">
        <v>319</v>
      </c>
      <c r="N112" t="s">
        <v>320</v>
      </c>
      <c r="O112" t="s">
        <v>134</v>
      </c>
      <c r="Q112" t="s">
        <v>178</v>
      </c>
      <c r="R112" t="s">
        <v>190</v>
      </c>
      <c r="S112" t="s">
        <v>128</v>
      </c>
      <c r="T112" t="s">
        <v>181</v>
      </c>
      <c r="U112" t="s">
        <v>174</v>
      </c>
      <c r="V112" t="s">
        <v>73</v>
      </c>
      <c r="W112" s="58">
        <v>43319</v>
      </c>
      <c r="X112" s="59">
        <v>0.5625</v>
      </c>
      <c r="Y112" s="59">
        <v>0.60416666666666663</v>
      </c>
      <c r="Z112" s="59">
        <v>4.1666666666666664E-2</v>
      </c>
      <c r="AA112">
        <v>0</v>
      </c>
      <c r="AB112">
        <v>3.4613999999999998</v>
      </c>
      <c r="AD112">
        <v>9.5</v>
      </c>
      <c r="AE112" s="59">
        <v>0.5625</v>
      </c>
      <c r="AF112" s="59">
        <v>0.60347222222222219</v>
      </c>
      <c r="AG112">
        <v>25</v>
      </c>
    </row>
    <row r="113" spans="1:33" x14ac:dyDescent="0.25">
      <c r="B113" t="s">
        <v>331</v>
      </c>
      <c r="C113" t="s">
        <v>332</v>
      </c>
      <c r="E113" t="s">
        <v>333</v>
      </c>
      <c r="F113" t="s">
        <v>134</v>
      </c>
      <c r="G113" t="s">
        <v>218</v>
      </c>
      <c r="H113" t="s">
        <v>177</v>
      </c>
      <c r="I113" t="s">
        <v>158</v>
      </c>
      <c r="J113" t="s">
        <v>258</v>
      </c>
      <c r="K113" t="s">
        <v>318</v>
      </c>
      <c r="L113" t="s">
        <v>319</v>
      </c>
      <c r="N113" t="s">
        <v>320</v>
      </c>
      <c r="O113" t="s">
        <v>134</v>
      </c>
      <c r="Q113" t="s">
        <v>178</v>
      </c>
      <c r="R113" t="s">
        <v>179</v>
      </c>
      <c r="S113" t="s">
        <v>180</v>
      </c>
      <c r="T113" t="s">
        <v>181</v>
      </c>
      <c r="U113" t="s">
        <v>191</v>
      </c>
      <c r="V113" t="s">
        <v>73</v>
      </c>
      <c r="W113" s="58">
        <v>43319</v>
      </c>
      <c r="X113" s="59">
        <v>0.625</v>
      </c>
      <c r="Y113" s="59">
        <v>0.75</v>
      </c>
      <c r="Z113" s="59">
        <v>0.125</v>
      </c>
      <c r="AA113">
        <v>0</v>
      </c>
      <c r="AB113">
        <v>11.574999999999999</v>
      </c>
      <c r="AC113">
        <v>0</v>
      </c>
      <c r="AD113">
        <v>0</v>
      </c>
      <c r="AE113" s="59">
        <v>0.625</v>
      </c>
      <c r="AF113" s="59">
        <v>0.74930555555555556</v>
      </c>
      <c r="AG113">
        <v>25</v>
      </c>
    </row>
    <row r="114" spans="1:33" x14ac:dyDescent="0.25">
      <c r="A114" t="s">
        <v>274</v>
      </c>
      <c r="B114" t="s">
        <v>334</v>
      </c>
      <c r="C114" t="s">
        <v>285</v>
      </c>
      <c r="E114" t="s">
        <v>335</v>
      </c>
      <c r="F114" t="s">
        <v>134</v>
      </c>
      <c r="H114" t="s">
        <v>192</v>
      </c>
      <c r="I114" t="s">
        <v>155</v>
      </c>
      <c r="J114" t="s">
        <v>258</v>
      </c>
      <c r="K114" t="s">
        <v>318</v>
      </c>
      <c r="L114" t="s">
        <v>319</v>
      </c>
      <c r="N114" t="s">
        <v>320</v>
      </c>
      <c r="O114" t="s">
        <v>134</v>
      </c>
      <c r="Q114" t="s">
        <v>178</v>
      </c>
      <c r="R114" t="s">
        <v>193</v>
      </c>
      <c r="S114" t="s">
        <v>128</v>
      </c>
      <c r="T114" t="s">
        <v>181</v>
      </c>
      <c r="U114" t="s">
        <v>129</v>
      </c>
      <c r="V114" t="s">
        <v>73</v>
      </c>
      <c r="W114" s="58">
        <v>43319</v>
      </c>
      <c r="X114" s="59">
        <v>0.75</v>
      </c>
      <c r="Y114" s="59">
        <v>0.79166666666666663</v>
      </c>
      <c r="Z114" s="59">
        <v>4.1666666666666664E-2</v>
      </c>
      <c r="AA114">
        <v>0</v>
      </c>
      <c r="AB114">
        <v>11.1046</v>
      </c>
      <c r="AD114">
        <v>9.5</v>
      </c>
      <c r="AE114" s="59">
        <v>0.75</v>
      </c>
      <c r="AF114" s="59">
        <v>0.7909722222222223</v>
      </c>
      <c r="AG114">
        <v>25</v>
      </c>
    </row>
    <row r="115" spans="1:33" x14ac:dyDescent="0.25">
      <c r="A115" t="s">
        <v>274</v>
      </c>
      <c r="B115" t="s">
        <v>321</v>
      </c>
      <c r="C115" t="s">
        <v>322</v>
      </c>
      <c r="D115" t="s">
        <v>323</v>
      </c>
      <c r="E115" t="s">
        <v>324</v>
      </c>
      <c r="F115" t="s">
        <v>134</v>
      </c>
      <c r="H115" t="s">
        <v>184</v>
      </c>
      <c r="I115" t="s">
        <v>147</v>
      </c>
      <c r="J115" t="s">
        <v>258</v>
      </c>
      <c r="K115" t="s">
        <v>318</v>
      </c>
      <c r="L115" t="s">
        <v>319</v>
      </c>
      <c r="N115" t="s">
        <v>320</v>
      </c>
      <c r="O115" t="s">
        <v>134</v>
      </c>
      <c r="Q115" t="s">
        <v>178</v>
      </c>
      <c r="R115" t="s">
        <v>185</v>
      </c>
      <c r="S115" t="s">
        <v>128</v>
      </c>
      <c r="T115" t="s">
        <v>181</v>
      </c>
      <c r="U115" t="s">
        <v>151</v>
      </c>
      <c r="V115" t="s">
        <v>73</v>
      </c>
      <c r="W115" s="58">
        <v>43319</v>
      </c>
      <c r="X115" s="59">
        <v>0.8125</v>
      </c>
      <c r="Y115" s="59">
        <v>0.84375</v>
      </c>
      <c r="Z115" s="59">
        <v>3.125E-2</v>
      </c>
      <c r="AA115">
        <v>0</v>
      </c>
      <c r="AB115">
        <v>8.8659999999999997</v>
      </c>
      <c r="AC115">
        <v>15</v>
      </c>
      <c r="AD115">
        <v>7.125</v>
      </c>
      <c r="AE115" s="59">
        <v>0.8125</v>
      </c>
      <c r="AF115" s="59">
        <v>0.84305555555555556</v>
      </c>
      <c r="AG115">
        <v>25</v>
      </c>
    </row>
    <row r="116" spans="1:33" x14ac:dyDescent="0.25">
      <c r="B116" t="s">
        <v>331</v>
      </c>
      <c r="C116" t="s">
        <v>332</v>
      </c>
      <c r="E116" t="s">
        <v>333</v>
      </c>
      <c r="F116" t="s">
        <v>134</v>
      </c>
      <c r="G116" t="s">
        <v>218</v>
      </c>
      <c r="H116" t="s">
        <v>177</v>
      </c>
      <c r="I116" t="s">
        <v>158</v>
      </c>
      <c r="J116" t="s">
        <v>258</v>
      </c>
      <c r="K116" t="s">
        <v>318</v>
      </c>
      <c r="L116" t="s">
        <v>319</v>
      </c>
      <c r="N116" t="s">
        <v>320</v>
      </c>
      <c r="O116" t="s">
        <v>134</v>
      </c>
      <c r="Q116" t="s">
        <v>178</v>
      </c>
      <c r="R116" t="s">
        <v>179</v>
      </c>
      <c r="S116" t="s">
        <v>180</v>
      </c>
      <c r="T116" t="s">
        <v>181</v>
      </c>
      <c r="U116" t="s">
        <v>191</v>
      </c>
      <c r="V116" t="s">
        <v>75</v>
      </c>
      <c r="W116" s="58">
        <v>43321</v>
      </c>
      <c r="X116" s="59">
        <v>0.28125</v>
      </c>
      <c r="Y116" s="59">
        <v>0.36458333333333331</v>
      </c>
      <c r="Z116" s="59">
        <v>8.3333333333333329E-2</v>
      </c>
      <c r="AA116">
        <v>0</v>
      </c>
      <c r="AC116">
        <v>0</v>
      </c>
      <c r="AD116">
        <v>0</v>
      </c>
      <c r="AE116" s="59">
        <v>0.28125</v>
      </c>
      <c r="AF116" s="59">
        <v>0.36388888888888887</v>
      </c>
      <c r="AG116">
        <v>25</v>
      </c>
    </row>
    <row r="117" spans="1:33" x14ac:dyDescent="0.25">
      <c r="A117" t="s">
        <v>258</v>
      </c>
      <c r="B117" t="s">
        <v>325</v>
      </c>
      <c r="C117" t="s">
        <v>326</v>
      </c>
      <c r="E117" t="s">
        <v>327</v>
      </c>
      <c r="F117" t="s">
        <v>134</v>
      </c>
      <c r="H117" t="s">
        <v>182</v>
      </c>
      <c r="I117" t="s">
        <v>147</v>
      </c>
      <c r="J117" t="s">
        <v>258</v>
      </c>
      <c r="K117" t="s">
        <v>318</v>
      </c>
      <c r="L117" t="s">
        <v>319</v>
      </c>
      <c r="N117" t="s">
        <v>320</v>
      </c>
      <c r="O117" t="s">
        <v>134</v>
      </c>
      <c r="Q117" t="s">
        <v>178</v>
      </c>
      <c r="R117" t="s">
        <v>183</v>
      </c>
      <c r="S117" t="s">
        <v>128</v>
      </c>
      <c r="T117" t="s">
        <v>181</v>
      </c>
      <c r="U117" t="s">
        <v>129</v>
      </c>
      <c r="V117" t="s">
        <v>75</v>
      </c>
      <c r="W117" s="58">
        <v>43321</v>
      </c>
      <c r="X117" s="59">
        <v>0.36458333333333331</v>
      </c>
      <c r="Y117" s="59">
        <v>0.40625</v>
      </c>
      <c r="Z117" s="59">
        <v>4.1666666666666664E-2</v>
      </c>
      <c r="AA117">
        <v>0</v>
      </c>
      <c r="AB117">
        <v>11.5228</v>
      </c>
      <c r="AC117">
        <v>23</v>
      </c>
      <c r="AD117">
        <v>9.5</v>
      </c>
      <c r="AE117" s="59">
        <v>0.36458333333333331</v>
      </c>
      <c r="AF117" s="59">
        <v>0.4055555555555555</v>
      </c>
      <c r="AG117">
        <v>25</v>
      </c>
    </row>
    <row r="118" spans="1:33" x14ac:dyDescent="0.25">
      <c r="A118" t="s">
        <v>274</v>
      </c>
      <c r="B118" t="s">
        <v>321</v>
      </c>
      <c r="C118" t="s">
        <v>322</v>
      </c>
      <c r="D118" t="s">
        <v>323</v>
      </c>
      <c r="E118" t="s">
        <v>324</v>
      </c>
      <c r="F118" t="s">
        <v>134</v>
      </c>
      <c r="H118" t="s">
        <v>184</v>
      </c>
      <c r="I118" t="s">
        <v>147</v>
      </c>
      <c r="J118" t="s">
        <v>258</v>
      </c>
      <c r="K118" t="s">
        <v>318</v>
      </c>
      <c r="L118" t="s">
        <v>319</v>
      </c>
      <c r="N118" t="s">
        <v>320</v>
      </c>
      <c r="O118" t="s">
        <v>134</v>
      </c>
      <c r="Q118" t="s">
        <v>178</v>
      </c>
      <c r="R118" t="s">
        <v>185</v>
      </c>
      <c r="S118" t="s">
        <v>128</v>
      </c>
      <c r="T118" t="s">
        <v>181</v>
      </c>
      <c r="U118" t="s">
        <v>151</v>
      </c>
      <c r="V118" t="s">
        <v>75</v>
      </c>
      <c r="W118" s="58">
        <v>43321</v>
      </c>
      <c r="X118" s="59">
        <v>0.41666666666666669</v>
      </c>
      <c r="Y118" s="59">
        <v>0.45833333333333331</v>
      </c>
      <c r="Z118" s="59">
        <v>4.1666666666666664E-2</v>
      </c>
      <c r="AA118">
        <v>0</v>
      </c>
      <c r="AB118">
        <v>2.2181999999999999</v>
      </c>
      <c r="AC118">
        <v>20</v>
      </c>
      <c r="AD118">
        <v>9.5</v>
      </c>
      <c r="AE118" s="59">
        <v>0.41666666666666669</v>
      </c>
      <c r="AF118" s="59">
        <v>0.45763888888888887</v>
      </c>
      <c r="AG118">
        <v>25</v>
      </c>
    </row>
    <row r="119" spans="1:33" x14ac:dyDescent="0.25">
      <c r="A119" t="s">
        <v>258</v>
      </c>
      <c r="B119" t="s">
        <v>290</v>
      </c>
      <c r="C119" t="s">
        <v>291</v>
      </c>
      <c r="E119" t="s">
        <v>292</v>
      </c>
      <c r="F119" t="s">
        <v>134</v>
      </c>
      <c r="H119" t="s">
        <v>154</v>
      </c>
      <c r="I119" t="s">
        <v>155</v>
      </c>
      <c r="J119" t="s">
        <v>258</v>
      </c>
      <c r="K119" t="s">
        <v>318</v>
      </c>
      <c r="L119" t="s">
        <v>319</v>
      </c>
      <c r="N119" t="s">
        <v>320</v>
      </c>
      <c r="O119" t="s">
        <v>134</v>
      </c>
      <c r="Q119" t="s">
        <v>178</v>
      </c>
      <c r="R119" t="s">
        <v>156</v>
      </c>
      <c r="S119" t="s">
        <v>128</v>
      </c>
      <c r="T119" t="s">
        <v>181</v>
      </c>
      <c r="U119" t="s">
        <v>151</v>
      </c>
      <c r="V119" t="s">
        <v>75</v>
      </c>
      <c r="W119" s="58">
        <v>43321</v>
      </c>
      <c r="X119" s="59">
        <v>0.47916666666666669</v>
      </c>
      <c r="Y119" s="59">
        <v>0.5</v>
      </c>
      <c r="Z119" s="59">
        <v>2.0833333333333332E-2</v>
      </c>
      <c r="AA119">
        <v>0</v>
      </c>
      <c r="AB119">
        <v>5.8090000000000002</v>
      </c>
      <c r="AC119">
        <v>10</v>
      </c>
      <c r="AD119">
        <v>4.75</v>
      </c>
      <c r="AG119">
        <v>25</v>
      </c>
    </row>
    <row r="120" spans="1:33" x14ac:dyDescent="0.25">
      <c r="B120" t="s">
        <v>331</v>
      </c>
      <c r="C120" t="s">
        <v>332</v>
      </c>
      <c r="E120" t="s">
        <v>333</v>
      </c>
      <c r="F120" t="s">
        <v>134</v>
      </c>
      <c r="G120" t="s">
        <v>218</v>
      </c>
      <c r="H120" t="s">
        <v>177</v>
      </c>
      <c r="I120" t="s">
        <v>158</v>
      </c>
      <c r="J120" t="s">
        <v>258</v>
      </c>
      <c r="K120" t="s">
        <v>318</v>
      </c>
      <c r="L120" t="s">
        <v>319</v>
      </c>
      <c r="N120" t="s">
        <v>320</v>
      </c>
      <c r="O120" t="s">
        <v>134</v>
      </c>
      <c r="Q120" t="s">
        <v>178</v>
      </c>
      <c r="R120" t="s">
        <v>179</v>
      </c>
      <c r="S120" t="s">
        <v>180</v>
      </c>
      <c r="T120" t="s">
        <v>181</v>
      </c>
      <c r="U120" t="s">
        <v>191</v>
      </c>
      <c r="V120" t="s">
        <v>75</v>
      </c>
      <c r="W120" s="58">
        <v>43321</v>
      </c>
      <c r="X120" s="59">
        <v>0.60416666666666663</v>
      </c>
      <c r="Y120" s="59">
        <v>0.72916666666666663</v>
      </c>
      <c r="Z120" s="59">
        <v>0.125</v>
      </c>
      <c r="AA120">
        <v>0</v>
      </c>
      <c r="AB120">
        <v>13.4556</v>
      </c>
      <c r="AC120">
        <v>0</v>
      </c>
      <c r="AD120">
        <v>0</v>
      </c>
      <c r="AE120" s="59">
        <v>0.60416666666666663</v>
      </c>
      <c r="AF120" s="59">
        <v>0.7284722222222223</v>
      </c>
      <c r="AG120">
        <v>25</v>
      </c>
    </row>
    <row r="121" spans="1:33" x14ac:dyDescent="0.25">
      <c r="A121" t="s">
        <v>258</v>
      </c>
      <c r="B121" t="s">
        <v>262</v>
      </c>
      <c r="C121" t="s">
        <v>263</v>
      </c>
      <c r="D121" t="s">
        <v>264</v>
      </c>
      <c r="E121" t="s">
        <v>265</v>
      </c>
      <c r="F121" t="s">
        <v>134</v>
      </c>
      <c r="H121" t="s">
        <v>132</v>
      </c>
      <c r="I121" t="s">
        <v>133</v>
      </c>
      <c r="J121" t="s">
        <v>258</v>
      </c>
      <c r="K121" t="s">
        <v>318</v>
      </c>
      <c r="L121" t="s">
        <v>319</v>
      </c>
      <c r="N121" t="s">
        <v>320</v>
      </c>
      <c r="O121" t="s">
        <v>134</v>
      </c>
      <c r="Q121" t="s">
        <v>178</v>
      </c>
      <c r="R121" t="s">
        <v>136</v>
      </c>
      <c r="S121" t="s">
        <v>128</v>
      </c>
      <c r="T121" t="s">
        <v>181</v>
      </c>
      <c r="U121" t="s">
        <v>129</v>
      </c>
      <c r="V121" t="s">
        <v>75</v>
      </c>
      <c r="W121" s="58">
        <v>43321</v>
      </c>
      <c r="X121" s="59">
        <v>0.72916666666666663</v>
      </c>
      <c r="Y121" s="59">
        <v>0.77083333333333337</v>
      </c>
      <c r="Z121" s="59">
        <v>4.1666666666666664E-2</v>
      </c>
      <c r="AA121">
        <v>0</v>
      </c>
      <c r="AB121">
        <v>3.2101999999999999</v>
      </c>
      <c r="AC121">
        <v>23</v>
      </c>
      <c r="AD121">
        <v>9.5</v>
      </c>
      <c r="AE121" s="59">
        <v>0.72916666666666663</v>
      </c>
      <c r="AF121" s="59">
        <v>0.77013888888888893</v>
      </c>
      <c r="AG121">
        <v>25</v>
      </c>
    </row>
    <row r="122" spans="1:33" x14ac:dyDescent="0.25">
      <c r="A122" t="s">
        <v>274</v>
      </c>
      <c r="B122" t="s">
        <v>321</v>
      </c>
      <c r="C122" t="s">
        <v>322</v>
      </c>
      <c r="D122" t="s">
        <v>323</v>
      </c>
      <c r="E122" t="s">
        <v>324</v>
      </c>
      <c r="F122" t="s">
        <v>134</v>
      </c>
      <c r="H122" t="s">
        <v>184</v>
      </c>
      <c r="I122" t="s">
        <v>147</v>
      </c>
      <c r="J122" t="s">
        <v>258</v>
      </c>
      <c r="K122" t="s">
        <v>318</v>
      </c>
      <c r="L122" t="s">
        <v>319</v>
      </c>
      <c r="N122" t="s">
        <v>320</v>
      </c>
      <c r="O122" t="s">
        <v>134</v>
      </c>
      <c r="Q122" t="s">
        <v>178</v>
      </c>
      <c r="R122" t="s">
        <v>185</v>
      </c>
      <c r="S122" t="s">
        <v>128</v>
      </c>
      <c r="T122" t="s">
        <v>181</v>
      </c>
      <c r="U122" t="s">
        <v>151</v>
      </c>
      <c r="V122" t="s">
        <v>75</v>
      </c>
      <c r="W122" s="58">
        <v>43321</v>
      </c>
      <c r="X122" s="59">
        <v>0.8125</v>
      </c>
      <c r="Y122" s="59">
        <v>0.84375</v>
      </c>
      <c r="Z122" s="59">
        <v>3.125E-2</v>
      </c>
      <c r="AA122">
        <v>0</v>
      </c>
      <c r="AB122">
        <v>13.225</v>
      </c>
      <c r="AC122">
        <v>15</v>
      </c>
      <c r="AD122">
        <v>7.125</v>
      </c>
      <c r="AE122" s="59">
        <v>0.8125</v>
      </c>
      <c r="AF122" s="59">
        <v>0.84305555555555556</v>
      </c>
      <c r="AG122">
        <v>25</v>
      </c>
    </row>
    <row r="123" spans="1:33" x14ac:dyDescent="0.25">
      <c r="A123" t="s">
        <v>258</v>
      </c>
      <c r="B123" t="s">
        <v>284</v>
      </c>
      <c r="C123" t="s">
        <v>285</v>
      </c>
      <c r="E123" t="s">
        <v>286</v>
      </c>
      <c r="F123" t="s">
        <v>134</v>
      </c>
      <c r="H123" t="s">
        <v>149</v>
      </c>
      <c r="I123" t="s">
        <v>127</v>
      </c>
      <c r="J123" t="s">
        <v>258</v>
      </c>
      <c r="K123" t="s">
        <v>318</v>
      </c>
      <c r="L123" t="s">
        <v>319</v>
      </c>
      <c r="N123" t="s">
        <v>320</v>
      </c>
      <c r="O123" t="s">
        <v>134</v>
      </c>
      <c r="Q123" t="s">
        <v>178</v>
      </c>
      <c r="R123" t="s">
        <v>150</v>
      </c>
      <c r="S123" t="s">
        <v>128</v>
      </c>
      <c r="T123" t="s">
        <v>181</v>
      </c>
      <c r="U123" t="s">
        <v>151</v>
      </c>
      <c r="V123" t="s">
        <v>76</v>
      </c>
      <c r="W123" s="58">
        <v>43322</v>
      </c>
      <c r="X123" s="59">
        <v>0.33333333333333331</v>
      </c>
      <c r="Y123" s="59">
        <v>0.39583333333333331</v>
      </c>
      <c r="Z123" s="59">
        <v>6.25E-2</v>
      </c>
      <c r="AA123">
        <v>0</v>
      </c>
      <c r="AC123">
        <v>30</v>
      </c>
      <c r="AD123">
        <v>14.25</v>
      </c>
      <c r="AE123" s="59">
        <v>0.33333333333333331</v>
      </c>
      <c r="AF123" s="59">
        <v>0.39513888888888887</v>
      </c>
      <c r="AG123">
        <v>25</v>
      </c>
    </row>
    <row r="124" spans="1:33" x14ac:dyDescent="0.25">
      <c r="A124" t="s">
        <v>258</v>
      </c>
      <c r="B124" t="s">
        <v>287</v>
      </c>
      <c r="C124" t="s">
        <v>288</v>
      </c>
      <c r="E124" t="s">
        <v>289</v>
      </c>
      <c r="F124" t="s">
        <v>134</v>
      </c>
      <c r="H124" t="s">
        <v>152</v>
      </c>
      <c r="I124" t="s">
        <v>127</v>
      </c>
      <c r="J124" t="s">
        <v>258</v>
      </c>
      <c r="K124" t="s">
        <v>318</v>
      </c>
      <c r="L124" t="s">
        <v>319</v>
      </c>
      <c r="N124" t="s">
        <v>320</v>
      </c>
      <c r="O124" t="s">
        <v>134</v>
      </c>
      <c r="Q124" t="s">
        <v>178</v>
      </c>
      <c r="R124" t="s">
        <v>153</v>
      </c>
      <c r="S124" t="s">
        <v>128</v>
      </c>
      <c r="T124" t="s">
        <v>181</v>
      </c>
      <c r="U124" t="s">
        <v>151</v>
      </c>
      <c r="V124" t="s">
        <v>76</v>
      </c>
      <c r="W124" s="58">
        <v>43322</v>
      </c>
      <c r="X124" s="59">
        <v>0.39583333333333331</v>
      </c>
      <c r="Y124" s="59">
        <v>0.45833333333333331</v>
      </c>
      <c r="Z124" s="59">
        <v>6.25E-2</v>
      </c>
      <c r="AA124">
        <v>0</v>
      </c>
      <c r="AB124">
        <v>0.27279999999999999</v>
      </c>
      <c r="AC124">
        <v>30</v>
      </c>
      <c r="AD124">
        <v>14.25</v>
      </c>
      <c r="AE124" s="59">
        <v>0.39583333333333331</v>
      </c>
      <c r="AF124" s="59">
        <v>0.45763888888888887</v>
      </c>
      <c r="AG124">
        <v>25</v>
      </c>
    </row>
    <row r="125" spans="1:33" x14ac:dyDescent="0.25">
      <c r="A125" t="s">
        <v>258</v>
      </c>
      <c r="B125" t="s">
        <v>325</v>
      </c>
      <c r="C125" t="s">
        <v>326</v>
      </c>
      <c r="E125" t="s">
        <v>327</v>
      </c>
      <c r="F125" t="s">
        <v>134</v>
      </c>
      <c r="H125" t="s">
        <v>182</v>
      </c>
      <c r="I125" t="s">
        <v>147</v>
      </c>
      <c r="J125" t="s">
        <v>258</v>
      </c>
      <c r="K125" t="s">
        <v>318</v>
      </c>
      <c r="L125" t="s">
        <v>319</v>
      </c>
      <c r="N125" t="s">
        <v>320</v>
      </c>
      <c r="O125" t="s">
        <v>134</v>
      </c>
      <c r="Q125" t="s">
        <v>178</v>
      </c>
      <c r="R125" t="s">
        <v>183</v>
      </c>
      <c r="S125" t="s">
        <v>128</v>
      </c>
      <c r="T125" t="s">
        <v>181</v>
      </c>
      <c r="U125" t="s">
        <v>129</v>
      </c>
      <c r="V125" t="s">
        <v>76</v>
      </c>
      <c r="W125" s="58">
        <v>43322</v>
      </c>
      <c r="X125" s="59">
        <v>0.5</v>
      </c>
      <c r="Y125" s="59">
        <v>0.54166666666666663</v>
      </c>
      <c r="Z125" s="59">
        <v>4.1666666666666664E-2</v>
      </c>
      <c r="AA125">
        <v>0</v>
      </c>
      <c r="AB125">
        <v>2.8090000000000002</v>
      </c>
      <c r="AC125">
        <v>23</v>
      </c>
      <c r="AD125">
        <v>9.5</v>
      </c>
      <c r="AE125" s="59">
        <v>0.5</v>
      </c>
      <c r="AF125" s="59">
        <v>0.54097222222222219</v>
      </c>
      <c r="AG125">
        <v>25</v>
      </c>
    </row>
    <row r="126" spans="1:33" x14ac:dyDescent="0.25">
      <c r="B126" t="s">
        <v>331</v>
      </c>
      <c r="C126" t="s">
        <v>332</v>
      </c>
      <c r="E126" t="s">
        <v>333</v>
      </c>
      <c r="F126" t="s">
        <v>134</v>
      </c>
      <c r="G126" t="s">
        <v>218</v>
      </c>
      <c r="H126" t="s">
        <v>177</v>
      </c>
      <c r="I126" t="s">
        <v>158</v>
      </c>
      <c r="J126" t="s">
        <v>258</v>
      </c>
      <c r="K126" t="s">
        <v>318</v>
      </c>
      <c r="L126" t="s">
        <v>319</v>
      </c>
      <c r="N126" t="s">
        <v>320</v>
      </c>
      <c r="O126" t="s">
        <v>134</v>
      </c>
      <c r="Q126" t="s">
        <v>178</v>
      </c>
      <c r="R126" t="s">
        <v>179</v>
      </c>
      <c r="S126" t="s">
        <v>180</v>
      </c>
      <c r="T126" t="s">
        <v>181</v>
      </c>
      <c r="U126" t="s">
        <v>191</v>
      </c>
      <c r="V126" t="s">
        <v>76</v>
      </c>
      <c r="W126" s="58">
        <v>43322</v>
      </c>
      <c r="X126" s="59">
        <v>0.70833333333333337</v>
      </c>
      <c r="Y126" s="59">
        <v>0.83333333333333337</v>
      </c>
      <c r="Z126" s="59">
        <v>0.125</v>
      </c>
      <c r="AA126">
        <v>0</v>
      </c>
      <c r="AC126">
        <v>0</v>
      </c>
      <c r="AD126">
        <v>0</v>
      </c>
      <c r="AE126" s="59">
        <v>0.70833333333333337</v>
      </c>
      <c r="AF126" s="59">
        <v>0.83263888888888893</v>
      </c>
      <c r="AG126">
        <v>25</v>
      </c>
    </row>
    <row r="127" spans="1:33" x14ac:dyDescent="0.25">
      <c r="A127" t="s">
        <v>274</v>
      </c>
      <c r="B127" t="s">
        <v>321</v>
      </c>
      <c r="C127" t="s">
        <v>322</v>
      </c>
      <c r="D127" t="s">
        <v>323</v>
      </c>
      <c r="E127" t="s">
        <v>324</v>
      </c>
      <c r="F127" t="s">
        <v>134</v>
      </c>
      <c r="H127" t="s">
        <v>184</v>
      </c>
      <c r="I127" t="s">
        <v>147</v>
      </c>
      <c r="J127" t="s">
        <v>258</v>
      </c>
      <c r="K127" t="s">
        <v>318</v>
      </c>
      <c r="L127" t="s">
        <v>319</v>
      </c>
      <c r="N127" t="s">
        <v>320</v>
      </c>
      <c r="O127" t="s">
        <v>134</v>
      </c>
      <c r="Q127" t="s">
        <v>178</v>
      </c>
      <c r="R127" t="s">
        <v>185</v>
      </c>
      <c r="S127" t="s">
        <v>128</v>
      </c>
      <c r="T127" t="s">
        <v>181</v>
      </c>
      <c r="U127" t="s">
        <v>151</v>
      </c>
      <c r="V127" t="s">
        <v>76</v>
      </c>
      <c r="W127" s="58">
        <v>43322</v>
      </c>
      <c r="X127" s="59">
        <v>0.85</v>
      </c>
      <c r="Y127" s="59">
        <v>0.88124999999999998</v>
      </c>
      <c r="Z127" s="59">
        <v>3.125E-2</v>
      </c>
      <c r="AA127">
        <v>0</v>
      </c>
      <c r="AB127">
        <v>13.348800000000001</v>
      </c>
      <c r="AC127">
        <v>15</v>
      </c>
      <c r="AD127">
        <v>7.125</v>
      </c>
      <c r="AE127" s="59">
        <v>0.85</v>
      </c>
      <c r="AF127" s="59">
        <v>0.88055555555555554</v>
      </c>
      <c r="AG127">
        <v>25</v>
      </c>
    </row>
    <row r="128" spans="1:33" x14ac:dyDescent="0.25">
      <c r="A128" t="s">
        <v>258</v>
      </c>
      <c r="B128" t="s">
        <v>299</v>
      </c>
      <c r="C128" t="s">
        <v>300</v>
      </c>
      <c r="D128" t="s">
        <v>301</v>
      </c>
      <c r="E128" t="s">
        <v>302</v>
      </c>
      <c r="F128" t="s">
        <v>303</v>
      </c>
      <c r="H128" t="s">
        <v>166</v>
      </c>
      <c r="I128" t="s">
        <v>142</v>
      </c>
      <c r="J128" t="s">
        <v>258</v>
      </c>
      <c r="K128" t="s">
        <v>318</v>
      </c>
      <c r="L128" t="s">
        <v>319</v>
      </c>
      <c r="N128" t="s">
        <v>320</v>
      </c>
      <c r="O128" t="s">
        <v>134</v>
      </c>
      <c r="Q128" t="s">
        <v>178</v>
      </c>
      <c r="R128" t="s">
        <v>167</v>
      </c>
      <c r="S128" t="s">
        <v>128</v>
      </c>
      <c r="T128" t="s">
        <v>181</v>
      </c>
      <c r="U128" t="s">
        <v>129</v>
      </c>
      <c r="V128" t="s">
        <v>77</v>
      </c>
      <c r="W128" s="58">
        <v>43323</v>
      </c>
      <c r="X128" s="59">
        <v>0.3125</v>
      </c>
      <c r="Y128" s="59">
        <v>0.35416666666666669</v>
      </c>
      <c r="Z128" s="59">
        <v>4.1666666666666664E-2</v>
      </c>
      <c r="AA128">
        <v>0</v>
      </c>
      <c r="AC128">
        <v>23</v>
      </c>
      <c r="AD128">
        <v>10.5</v>
      </c>
      <c r="AE128" s="59">
        <v>0.3125</v>
      </c>
      <c r="AF128" s="59">
        <v>0.35347222222222219</v>
      </c>
      <c r="AG128">
        <v>25</v>
      </c>
    </row>
    <row r="129" spans="1:33" x14ac:dyDescent="0.25">
      <c r="A129" t="s">
        <v>274</v>
      </c>
      <c r="B129" t="s">
        <v>328</v>
      </c>
      <c r="C129" t="s">
        <v>329</v>
      </c>
      <c r="D129">
        <v>5</v>
      </c>
      <c r="E129" t="s">
        <v>330</v>
      </c>
      <c r="F129" t="s">
        <v>134</v>
      </c>
      <c r="G129" t="s">
        <v>218</v>
      </c>
      <c r="H129" t="s">
        <v>188</v>
      </c>
      <c r="I129" t="s">
        <v>189</v>
      </c>
      <c r="J129" t="s">
        <v>258</v>
      </c>
      <c r="K129" t="s">
        <v>318</v>
      </c>
      <c r="L129" t="s">
        <v>319</v>
      </c>
      <c r="N129" t="s">
        <v>320</v>
      </c>
      <c r="O129" t="s">
        <v>134</v>
      </c>
      <c r="Q129" t="s">
        <v>178</v>
      </c>
      <c r="R129" t="s">
        <v>190</v>
      </c>
      <c r="S129" t="s">
        <v>128</v>
      </c>
      <c r="T129" t="s">
        <v>181</v>
      </c>
      <c r="U129" t="s">
        <v>151</v>
      </c>
      <c r="V129" t="s">
        <v>77</v>
      </c>
      <c r="W129" s="58">
        <v>43323</v>
      </c>
      <c r="X129" s="59">
        <v>0.375</v>
      </c>
      <c r="Y129" s="59">
        <v>0.45833333333333331</v>
      </c>
      <c r="Z129" s="59">
        <v>8.3333333333333329E-2</v>
      </c>
      <c r="AA129">
        <v>0</v>
      </c>
      <c r="AB129">
        <v>8.1056000000000008</v>
      </c>
      <c r="AC129">
        <v>40</v>
      </c>
      <c r="AD129">
        <v>21</v>
      </c>
      <c r="AE129" s="59">
        <v>0.375</v>
      </c>
      <c r="AF129" s="59">
        <v>0.45763888888888887</v>
      </c>
      <c r="AG129">
        <v>25</v>
      </c>
    </row>
    <row r="130" spans="1:33" x14ac:dyDescent="0.25">
      <c r="A130" t="s">
        <v>258</v>
      </c>
      <c r="B130" t="s">
        <v>262</v>
      </c>
      <c r="C130" t="s">
        <v>263</v>
      </c>
      <c r="D130" t="s">
        <v>264</v>
      </c>
      <c r="E130" t="s">
        <v>265</v>
      </c>
      <c r="F130" t="s">
        <v>134</v>
      </c>
      <c r="H130" t="s">
        <v>132</v>
      </c>
      <c r="I130" t="s">
        <v>133</v>
      </c>
      <c r="J130" t="s">
        <v>258</v>
      </c>
      <c r="K130" t="s">
        <v>318</v>
      </c>
      <c r="L130" t="s">
        <v>319</v>
      </c>
      <c r="N130" t="s">
        <v>320</v>
      </c>
      <c r="O130" t="s">
        <v>134</v>
      </c>
      <c r="Q130" t="s">
        <v>178</v>
      </c>
      <c r="R130" t="s">
        <v>136</v>
      </c>
      <c r="S130" t="s">
        <v>128</v>
      </c>
      <c r="T130" t="s">
        <v>181</v>
      </c>
      <c r="U130" t="s">
        <v>129</v>
      </c>
      <c r="V130" t="s">
        <v>77</v>
      </c>
      <c r="W130" s="58">
        <v>43323</v>
      </c>
      <c r="X130" s="59">
        <v>0.70833333333333337</v>
      </c>
      <c r="Y130" s="59">
        <v>0.75</v>
      </c>
      <c r="Z130" s="59">
        <v>4.1666666666666664E-2</v>
      </c>
      <c r="AA130">
        <v>0</v>
      </c>
      <c r="AC130">
        <v>23</v>
      </c>
      <c r="AD130">
        <v>10.5</v>
      </c>
      <c r="AE130" s="59">
        <v>0.70833333333333337</v>
      </c>
      <c r="AF130" s="59">
        <v>0.74930555555555556</v>
      </c>
      <c r="AG130">
        <v>25</v>
      </c>
    </row>
    <row r="131" spans="1:33" x14ac:dyDescent="0.25">
      <c r="A131" t="s">
        <v>258</v>
      </c>
      <c r="B131" t="s">
        <v>270</v>
      </c>
      <c r="C131" t="s">
        <v>271</v>
      </c>
      <c r="D131" t="s">
        <v>272</v>
      </c>
      <c r="E131" t="s">
        <v>273</v>
      </c>
      <c r="F131" t="s">
        <v>134</v>
      </c>
      <c r="H131" t="s">
        <v>138</v>
      </c>
      <c r="I131" t="s">
        <v>139</v>
      </c>
      <c r="J131" t="s">
        <v>258</v>
      </c>
      <c r="K131" t="s">
        <v>318</v>
      </c>
      <c r="L131" t="s">
        <v>319</v>
      </c>
      <c r="N131" t="s">
        <v>320</v>
      </c>
      <c r="O131" t="s">
        <v>134</v>
      </c>
      <c r="Q131" t="s">
        <v>178</v>
      </c>
      <c r="R131" t="s">
        <v>140</v>
      </c>
      <c r="S131" t="s">
        <v>128</v>
      </c>
      <c r="T131" t="s">
        <v>181</v>
      </c>
      <c r="U131" t="s">
        <v>129</v>
      </c>
      <c r="V131" t="s">
        <v>77</v>
      </c>
      <c r="W131" s="58">
        <v>43323</v>
      </c>
      <c r="X131" s="59">
        <v>0.76041666666666663</v>
      </c>
      <c r="Y131" s="59">
        <v>0.80208333333333337</v>
      </c>
      <c r="Z131" s="59">
        <v>4.1666666666666664E-2</v>
      </c>
      <c r="AA131">
        <v>0</v>
      </c>
      <c r="AB131">
        <v>2.3694000000000002</v>
      </c>
      <c r="AC131">
        <v>23</v>
      </c>
      <c r="AD131">
        <v>10.5</v>
      </c>
      <c r="AE131" s="59">
        <v>0.76041666666666663</v>
      </c>
      <c r="AF131" s="59">
        <v>0.80138888888888893</v>
      </c>
      <c r="AG131">
        <v>25</v>
      </c>
    </row>
    <row r="132" spans="1:33" x14ac:dyDescent="0.25">
      <c r="A132" t="s">
        <v>258</v>
      </c>
      <c r="B132" t="s">
        <v>325</v>
      </c>
      <c r="C132" t="s">
        <v>326</v>
      </c>
      <c r="E132" t="s">
        <v>327</v>
      </c>
      <c r="F132" t="s">
        <v>134</v>
      </c>
      <c r="H132" t="s">
        <v>182</v>
      </c>
      <c r="I132" t="s">
        <v>147</v>
      </c>
      <c r="J132" t="s">
        <v>258</v>
      </c>
      <c r="K132" t="s">
        <v>318</v>
      </c>
      <c r="L132" t="s">
        <v>319</v>
      </c>
      <c r="N132" t="s">
        <v>320</v>
      </c>
      <c r="O132" t="s">
        <v>134</v>
      </c>
      <c r="Q132" t="s">
        <v>178</v>
      </c>
      <c r="R132" t="s">
        <v>183</v>
      </c>
      <c r="S132" t="s">
        <v>128</v>
      </c>
      <c r="T132" t="s">
        <v>181</v>
      </c>
      <c r="U132" t="s">
        <v>129</v>
      </c>
      <c r="V132" t="s">
        <v>71</v>
      </c>
      <c r="W132" s="58">
        <v>43324</v>
      </c>
      <c r="X132" s="59">
        <v>0.36458333333333331</v>
      </c>
      <c r="Y132" s="59">
        <v>0.40625</v>
      </c>
      <c r="Z132" s="59">
        <v>4.1666666666666664E-2</v>
      </c>
      <c r="AA132">
        <v>0</v>
      </c>
      <c r="AC132">
        <v>23</v>
      </c>
      <c r="AD132">
        <v>10.5</v>
      </c>
      <c r="AE132" s="59">
        <v>0.36458333333333331</v>
      </c>
      <c r="AF132" s="59">
        <v>0.4055555555555555</v>
      </c>
      <c r="AG132">
        <v>25</v>
      </c>
    </row>
    <row r="133" spans="1:33" x14ac:dyDescent="0.25">
      <c r="A133" t="s">
        <v>274</v>
      </c>
      <c r="B133" t="s">
        <v>321</v>
      </c>
      <c r="C133" t="s">
        <v>322</v>
      </c>
      <c r="D133" t="s">
        <v>323</v>
      </c>
      <c r="E133" t="s">
        <v>324</v>
      </c>
      <c r="F133" t="s">
        <v>134</v>
      </c>
      <c r="H133" t="s">
        <v>184</v>
      </c>
      <c r="I133" t="s">
        <v>147</v>
      </c>
      <c r="J133" t="s">
        <v>258</v>
      </c>
      <c r="K133" t="s">
        <v>318</v>
      </c>
      <c r="L133" t="s">
        <v>319</v>
      </c>
      <c r="N133" t="s">
        <v>320</v>
      </c>
      <c r="O133" t="s">
        <v>134</v>
      </c>
      <c r="Q133" t="s">
        <v>178</v>
      </c>
      <c r="R133" t="s">
        <v>185</v>
      </c>
      <c r="S133" t="s">
        <v>128</v>
      </c>
      <c r="T133" t="s">
        <v>181</v>
      </c>
      <c r="U133" t="s">
        <v>151</v>
      </c>
      <c r="V133" t="s">
        <v>71</v>
      </c>
      <c r="W133" s="58">
        <v>43324</v>
      </c>
      <c r="X133" s="59">
        <v>0.41666666666666669</v>
      </c>
      <c r="Y133" s="59">
        <v>0.45833333333333331</v>
      </c>
      <c r="Z133" s="59">
        <v>4.1666666666666664E-2</v>
      </c>
      <c r="AA133">
        <v>0</v>
      </c>
      <c r="AB133">
        <v>2.2181999999999999</v>
      </c>
      <c r="AC133">
        <v>20</v>
      </c>
      <c r="AD133">
        <v>10.5</v>
      </c>
      <c r="AE133" s="59">
        <v>0.41666666666666669</v>
      </c>
      <c r="AF133" s="59">
        <v>0.45763888888888887</v>
      </c>
      <c r="AG133">
        <v>25</v>
      </c>
    </row>
    <row r="134" spans="1:33" x14ac:dyDescent="0.25">
      <c r="A134" t="s">
        <v>258</v>
      </c>
      <c r="B134" t="s">
        <v>325</v>
      </c>
      <c r="C134" t="s">
        <v>326</v>
      </c>
      <c r="E134" t="s">
        <v>327</v>
      </c>
      <c r="F134" t="s">
        <v>134</v>
      </c>
      <c r="H134" t="s">
        <v>182</v>
      </c>
      <c r="I134" t="s">
        <v>147</v>
      </c>
      <c r="J134" t="s">
        <v>258</v>
      </c>
      <c r="K134" t="s">
        <v>318</v>
      </c>
      <c r="L134" t="s">
        <v>319</v>
      </c>
      <c r="N134" t="s">
        <v>320</v>
      </c>
      <c r="O134" t="s">
        <v>134</v>
      </c>
      <c r="Q134" t="s">
        <v>178</v>
      </c>
      <c r="R134" t="s">
        <v>183</v>
      </c>
      <c r="S134" t="s">
        <v>128</v>
      </c>
      <c r="T134" t="s">
        <v>181</v>
      </c>
      <c r="U134" t="s">
        <v>129</v>
      </c>
      <c r="V134" t="s">
        <v>71</v>
      </c>
      <c r="W134" s="58">
        <v>43324</v>
      </c>
      <c r="X134" s="59">
        <v>0.5</v>
      </c>
      <c r="Y134" s="59">
        <v>0.54166666666666663</v>
      </c>
      <c r="Z134" s="59">
        <v>4.1666666666666664E-2</v>
      </c>
      <c r="AA134">
        <v>0</v>
      </c>
      <c r="AB134">
        <v>2.2181999999999999</v>
      </c>
      <c r="AC134">
        <v>23</v>
      </c>
      <c r="AD134">
        <v>10.5</v>
      </c>
      <c r="AE134" s="59">
        <v>0.5</v>
      </c>
      <c r="AF134" s="59">
        <v>0.54097222222222219</v>
      </c>
      <c r="AG134">
        <v>25</v>
      </c>
    </row>
    <row r="135" spans="1:33" x14ac:dyDescent="0.25">
      <c r="A135" t="s">
        <v>258</v>
      </c>
      <c r="B135" t="s">
        <v>262</v>
      </c>
      <c r="C135" t="s">
        <v>263</v>
      </c>
      <c r="D135" t="s">
        <v>264</v>
      </c>
      <c r="E135" t="s">
        <v>265</v>
      </c>
      <c r="F135" t="s">
        <v>134</v>
      </c>
      <c r="H135" t="s">
        <v>132</v>
      </c>
      <c r="I135" t="s">
        <v>133</v>
      </c>
      <c r="J135" t="s">
        <v>258</v>
      </c>
      <c r="K135" t="s">
        <v>318</v>
      </c>
      <c r="L135" t="s">
        <v>319</v>
      </c>
      <c r="N135" t="s">
        <v>320</v>
      </c>
      <c r="O135" t="s">
        <v>134</v>
      </c>
      <c r="Q135" t="s">
        <v>178</v>
      </c>
      <c r="R135" t="s">
        <v>136</v>
      </c>
      <c r="S135" t="s">
        <v>128</v>
      </c>
      <c r="T135" t="s">
        <v>181</v>
      </c>
      <c r="U135" t="s">
        <v>129</v>
      </c>
      <c r="V135" t="s">
        <v>71</v>
      </c>
      <c r="W135" s="58">
        <v>43324</v>
      </c>
      <c r="X135" s="59">
        <v>0.70833333333333337</v>
      </c>
      <c r="Y135" s="59">
        <v>0.75</v>
      </c>
      <c r="Z135" s="59">
        <v>4.1666666666666664E-2</v>
      </c>
      <c r="AA135">
        <v>0</v>
      </c>
      <c r="AC135">
        <v>23</v>
      </c>
      <c r="AD135">
        <v>10.5</v>
      </c>
      <c r="AE135" s="59">
        <v>0.70833333333333337</v>
      </c>
      <c r="AF135" s="59">
        <v>0.74930555555555556</v>
      </c>
      <c r="AG135">
        <v>25</v>
      </c>
    </row>
    <row r="136" spans="1:33" x14ac:dyDescent="0.25">
      <c r="A136" t="s">
        <v>258</v>
      </c>
      <c r="B136" t="s">
        <v>270</v>
      </c>
      <c r="C136" t="s">
        <v>271</v>
      </c>
      <c r="D136" t="s">
        <v>272</v>
      </c>
      <c r="E136" t="s">
        <v>273</v>
      </c>
      <c r="F136" t="s">
        <v>134</v>
      </c>
      <c r="H136" t="s">
        <v>138</v>
      </c>
      <c r="I136" t="s">
        <v>139</v>
      </c>
      <c r="J136" t="s">
        <v>258</v>
      </c>
      <c r="K136" t="s">
        <v>318</v>
      </c>
      <c r="L136" t="s">
        <v>319</v>
      </c>
      <c r="N136" t="s">
        <v>320</v>
      </c>
      <c r="O136" t="s">
        <v>134</v>
      </c>
      <c r="Q136" t="s">
        <v>178</v>
      </c>
      <c r="R136" t="s">
        <v>140</v>
      </c>
      <c r="S136" t="s">
        <v>128</v>
      </c>
      <c r="T136" t="s">
        <v>181</v>
      </c>
      <c r="U136" t="s">
        <v>129</v>
      </c>
      <c r="V136" t="s">
        <v>71</v>
      </c>
      <c r="W136" s="58">
        <v>43324</v>
      </c>
      <c r="X136" s="59">
        <v>0.76041666666666663</v>
      </c>
      <c r="Y136" s="59">
        <v>0.80208333333333337</v>
      </c>
      <c r="Z136" s="59">
        <v>4.1666666666666664E-2</v>
      </c>
      <c r="AA136">
        <v>0</v>
      </c>
      <c r="AB136">
        <v>2.3694000000000002</v>
      </c>
      <c r="AC136">
        <v>23</v>
      </c>
      <c r="AD136">
        <v>10.5</v>
      </c>
      <c r="AE136" s="59">
        <v>0.76041666666666663</v>
      </c>
      <c r="AF136" s="59">
        <v>0.80138888888888893</v>
      </c>
      <c r="AG136">
        <v>25</v>
      </c>
    </row>
    <row r="137" spans="1:33" x14ac:dyDescent="0.25">
      <c r="A137" t="s">
        <v>274</v>
      </c>
      <c r="B137" t="s">
        <v>275</v>
      </c>
      <c r="C137" t="s">
        <v>276</v>
      </c>
      <c r="E137" t="s">
        <v>277</v>
      </c>
      <c r="F137" t="s">
        <v>134</v>
      </c>
      <c r="H137" t="s">
        <v>141</v>
      </c>
      <c r="I137" t="s">
        <v>142</v>
      </c>
      <c r="J137" t="s">
        <v>258</v>
      </c>
      <c r="K137" t="s">
        <v>318</v>
      </c>
      <c r="L137" t="s">
        <v>319</v>
      </c>
      <c r="N137" t="s">
        <v>320</v>
      </c>
      <c r="O137" t="s">
        <v>134</v>
      </c>
      <c r="Q137" t="s">
        <v>178</v>
      </c>
      <c r="R137" t="s">
        <v>143</v>
      </c>
      <c r="S137" t="s">
        <v>128</v>
      </c>
      <c r="T137" t="s">
        <v>181</v>
      </c>
      <c r="U137" t="s">
        <v>129</v>
      </c>
      <c r="V137" t="s">
        <v>71</v>
      </c>
      <c r="W137" s="58">
        <v>43324</v>
      </c>
      <c r="X137" s="59">
        <v>0.8125</v>
      </c>
      <c r="Y137" s="59">
        <v>0.83333333333333337</v>
      </c>
      <c r="Z137" s="59">
        <v>2.0833333333333332E-2</v>
      </c>
      <c r="AA137">
        <v>0</v>
      </c>
      <c r="AB137">
        <v>0.9</v>
      </c>
      <c r="AC137">
        <v>11.5</v>
      </c>
      <c r="AD137">
        <v>5.25</v>
      </c>
      <c r="AE137" s="59">
        <v>0.8125</v>
      </c>
      <c r="AF137" s="59">
        <v>0.83263888888888893</v>
      </c>
      <c r="AG137">
        <v>25</v>
      </c>
    </row>
    <row r="138" spans="1:33" x14ac:dyDescent="0.25">
      <c r="A138" t="s">
        <v>274</v>
      </c>
      <c r="B138" t="s">
        <v>321</v>
      </c>
      <c r="C138" t="s">
        <v>322</v>
      </c>
      <c r="D138" t="s">
        <v>323</v>
      </c>
      <c r="E138" t="s">
        <v>324</v>
      </c>
      <c r="F138" t="s">
        <v>134</v>
      </c>
      <c r="H138" t="s">
        <v>184</v>
      </c>
      <c r="I138" t="s">
        <v>147</v>
      </c>
      <c r="J138" t="s">
        <v>258</v>
      </c>
      <c r="K138" t="s">
        <v>318</v>
      </c>
      <c r="L138" t="s">
        <v>319</v>
      </c>
      <c r="N138" t="s">
        <v>320</v>
      </c>
      <c r="O138" t="s">
        <v>134</v>
      </c>
      <c r="Q138" t="s">
        <v>178</v>
      </c>
      <c r="R138" t="s">
        <v>185</v>
      </c>
      <c r="S138" t="s">
        <v>128</v>
      </c>
      <c r="T138" t="s">
        <v>181</v>
      </c>
      <c r="U138" t="s">
        <v>151</v>
      </c>
      <c r="V138" t="s">
        <v>71</v>
      </c>
      <c r="W138" s="58">
        <v>43324</v>
      </c>
      <c r="X138" s="59">
        <v>0.85</v>
      </c>
      <c r="Y138" s="59">
        <v>0.88124999999999998</v>
      </c>
      <c r="Z138" s="59">
        <v>3.125E-2</v>
      </c>
      <c r="AA138">
        <v>0</v>
      </c>
      <c r="AB138">
        <v>9.7805999999999997</v>
      </c>
      <c r="AC138">
        <v>15</v>
      </c>
      <c r="AD138">
        <v>7.875</v>
      </c>
      <c r="AE138" s="59">
        <v>0.85</v>
      </c>
      <c r="AF138" s="59">
        <v>0.88055555555555554</v>
      </c>
      <c r="AG138">
        <v>25</v>
      </c>
    </row>
    <row r="139" spans="1:33" x14ac:dyDescent="0.25">
      <c r="A139" t="s">
        <v>258</v>
      </c>
      <c r="B139" t="s">
        <v>270</v>
      </c>
      <c r="C139" t="s">
        <v>271</v>
      </c>
      <c r="D139" t="s">
        <v>272</v>
      </c>
      <c r="E139" t="s">
        <v>273</v>
      </c>
      <c r="F139" t="s">
        <v>134</v>
      </c>
      <c r="H139" t="s">
        <v>138</v>
      </c>
      <c r="I139" t="s">
        <v>139</v>
      </c>
      <c r="J139" t="s">
        <v>258</v>
      </c>
      <c r="K139" t="s">
        <v>318</v>
      </c>
      <c r="L139" t="s">
        <v>319</v>
      </c>
      <c r="N139" t="s">
        <v>320</v>
      </c>
      <c r="O139" t="s">
        <v>134</v>
      </c>
      <c r="Q139" t="s">
        <v>178</v>
      </c>
      <c r="R139" t="s">
        <v>140</v>
      </c>
      <c r="S139" t="s">
        <v>128</v>
      </c>
      <c r="T139" t="s">
        <v>181</v>
      </c>
      <c r="U139" t="s">
        <v>129</v>
      </c>
      <c r="V139" t="s">
        <v>73</v>
      </c>
      <c r="W139" s="58">
        <v>43326</v>
      </c>
      <c r="X139" s="59">
        <v>0.33333333333333331</v>
      </c>
      <c r="Y139" s="59">
        <v>0.375</v>
      </c>
      <c r="Z139" s="59">
        <v>4.1666666666666664E-2</v>
      </c>
      <c r="AA139">
        <v>0</v>
      </c>
      <c r="AC139">
        <v>23</v>
      </c>
      <c r="AD139">
        <v>9.5</v>
      </c>
      <c r="AE139" s="59">
        <v>0.33333333333333331</v>
      </c>
      <c r="AF139" s="59">
        <v>0.3743055555555555</v>
      </c>
      <c r="AG139">
        <v>25</v>
      </c>
    </row>
    <row r="140" spans="1:33" x14ac:dyDescent="0.25">
      <c r="A140" t="s">
        <v>274</v>
      </c>
      <c r="B140" t="s">
        <v>275</v>
      </c>
      <c r="C140" t="s">
        <v>276</v>
      </c>
      <c r="E140" t="s">
        <v>277</v>
      </c>
      <c r="F140" t="s">
        <v>134</v>
      </c>
      <c r="H140" t="s">
        <v>141</v>
      </c>
      <c r="I140" t="s">
        <v>142</v>
      </c>
      <c r="J140" t="s">
        <v>258</v>
      </c>
      <c r="K140" t="s">
        <v>318</v>
      </c>
      <c r="L140" t="s">
        <v>319</v>
      </c>
      <c r="N140" t="s">
        <v>320</v>
      </c>
      <c r="O140" t="s">
        <v>134</v>
      </c>
      <c r="Q140" t="s">
        <v>178</v>
      </c>
      <c r="R140" t="s">
        <v>143</v>
      </c>
      <c r="S140" t="s">
        <v>128</v>
      </c>
      <c r="T140" t="s">
        <v>181</v>
      </c>
      <c r="U140" t="s">
        <v>129</v>
      </c>
      <c r="V140" t="s">
        <v>73</v>
      </c>
      <c r="W140" s="58">
        <v>43326</v>
      </c>
      <c r="X140" s="59">
        <v>0.3888888888888889</v>
      </c>
      <c r="Y140" s="59">
        <v>0.43055555555555558</v>
      </c>
      <c r="Z140" s="59">
        <v>4.1666666666666664E-2</v>
      </c>
      <c r="AA140">
        <v>0</v>
      </c>
      <c r="AB140">
        <v>0.9</v>
      </c>
      <c r="AC140">
        <v>23</v>
      </c>
      <c r="AD140">
        <v>9.5</v>
      </c>
      <c r="AE140" s="59">
        <v>0.3888888888888889</v>
      </c>
      <c r="AF140" s="59">
        <v>0.42986111111111108</v>
      </c>
      <c r="AG140">
        <v>25</v>
      </c>
    </row>
    <row r="141" spans="1:33" x14ac:dyDescent="0.25">
      <c r="B141" t="s">
        <v>331</v>
      </c>
      <c r="C141" t="s">
        <v>332</v>
      </c>
      <c r="E141" t="s">
        <v>333</v>
      </c>
      <c r="F141" t="s">
        <v>134</v>
      </c>
      <c r="G141" t="s">
        <v>218</v>
      </c>
      <c r="H141" t="s">
        <v>177</v>
      </c>
      <c r="I141" t="s">
        <v>158</v>
      </c>
      <c r="J141" t="s">
        <v>258</v>
      </c>
      <c r="K141" t="s">
        <v>318</v>
      </c>
      <c r="L141" t="s">
        <v>319</v>
      </c>
      <c r="N141" t="s">
        <v>320</v>
      </c>
      <c r="O141" t="s">
        <v>134</v>
      </c>
      <c r="Q141" t="s">
        <v>178</v>
      </c>
      <c r="R141" t="s">
        <v>179</v>
      </c>
      <c r="S141" t="s">
        <v>128</v>
      </c>
      <c r="T141" t="s">
        <v>181</v>
      </c>
      <c r="U141" t="s">
        <v>194</v>
      </c>
      <c r="V141" t="s">
        <v>73</v>
      </c>
      <c r="W141" s="58">
        <v>43326</v>
      </c>
      <c r="X141" s="59">
        <v>0.44791666666666669</v>
      </c>
      <c r="Y141" s="59">
        <v>0.70833333333333337</v>
      </c>
      <c r="Z141" s="59">
        <v>0.26041666666666669</v>
      </c>
      <c r="AA141">
        <v>0</v>
      </c>
      <c r="AC141">
        <v>156.25</v>
      </c>
      <c r="AD141">
        <v>59.375</v>
      </c>
      <c r="AE141" s="59">
        <v>0.44791666666666669</v>
      </c>
      <c r="AF141" s="59">
        <v>0.70763888888888893</v>
      </c>
      <c r="AG141">
        <v>25</v>
      </c>
    </row>
    <row r="142" spans="1:33" x14ac:dyDescent="0.25">
      <c r="A142" t="s">
        <v>258</v>
      </c>
      <c r="B142" t="s">
        <v>262</v>
      </c>
      <c r="C142" t="s">
        <v>263</v>
      </c>
      <c r="D142" t="s">
        <v>264</v>
      </c>
      <c r="E142" t="s">
        <v>265</v>
      </c>
      <c r="F142" t="s">
        <v>134</v>
      </c>
      <c r="H142" t="s">
        <v>132</v>
      </c>
      <c r="I142" t="s">
        <v>133</v>
      </c>
      <c r="J142" t="s">
        <v>258</v>
      </c>
      <c r="K142" t="s">
        <v>318</v>
      </c>
      <c r="L142" t="s">
        <v>319</v>
      </c>
      <c r="N142" t="s">
        <v>320</v>
      </c>
      <c r="O142" t="s">
        <v>134</v>
      </c>
      <c r="Q142" t="s">
        <v>178</v>
      </c>
      <c r="R142" t="s">
        <v>136</v>
      </c>
      <c r="S142" t="s">
        <v>128</v>
      </c>
      <c r="T142" t="s">
        <v>181</v>
      </c>
      <c r="U142" t="s">
        <v>129</v>
      </c>
      <c r="V142" t="s">
        <v>73</v>
      </c>
      <c r="W142" s="58">
        <v>43326</v>
      </c>
      <c r="X142" s="59">
        <v>0.72916666666666663</v>
      </c>
      <c r="Y142" s="59">
        <v>0.77083333333333337</v>
      </c>
      <c r="Z142" s="59">
        <v>4.1666666666666664E-2</v>
      </c>
      <c r="AA142">
        <v>0</v>
      </c>
      <c r="AC142">
        <v>23</v>
      </c>
      <c r="AD142">
        <v>9.5</v>
      </c>
      <c r="AE142" s="59">
        <v>0.72916666666666663</v>
      </c>
      <c r="AF142" s="59">
        <v>0.77013888888888893</v>
      </c>
      <c r="AG142">
        <v>25</v>
      </c>
    </row>
    <row r="143" spans="1:33" x14ac:dyDescent="0.25">
      <c r="A143" t="s">
        <v>258</v>
      </c>
      <c r="B143" t="s">
        <v>284</v>
      </c>
      <c r="C143" t="s">
        <v>285</v>
      </c>
      <c r="E143" t="s">
        <v>286</v>
      </c>
      <c r="F143" t="s">
        <v>134</v>
      </c>
      <c r="H143" t="s">
        <v>149</v>
      </c>
      <c r="I143" t="s">
        <v>127</v>
      </c>
      <c r="J143" t="s">
        <v>258</v>
      </c>
      <c r="K143" t="s">
        <v>318</v>
      </c>
      <c r="L143" t="s">
        <v>319</v>
      </c>
      <c r="N143" t="s">
        <v>320</v>
      </c>
      <c r="O143" t="s">
        <v>134</v>
      </c>
      <c r="Q143" t="s">
        <v>178</v>
      </c>
      <c r="R143" t="s">
        <v>150</v>
      </c>
      <c r="S143" t="s">
        <v>128</v>
      </c>
      <c r="T143" t="s">
        <v>181</v>
      </c>
      <c r="U143" t="s">
        <v>151</v>
      </c>
      <c r="V143" t="s">
        <v>74</v>
      </c>
      <c r="W143" s="58">
        <v>43327</v>
      </c>
      <c r="X143" s="59">
        <v>0.35416666666666669</v>
      </c>
      <c r="Y143" s="59">
        <v>0.39583333333333331</v>
      </c>
      <c r="Z143" s="59">
        <v>4.1666666666666664E-2</v>
      </c>
      <c r="AA143">
        <v>0</v>
      </c>
      <c r="AC143">
        <v>20</v>
      </c>
      <c r="AD143">
        <v>9.5</v>
      </c>
      <c r="AE143" s="59">
        <v>0.35416666666666669</v>
      </c>
      <c r="AF143" s="59">
        <v>0.39513888888888887</v>
      </c>
      <c r="AG143">
        <v>25</v>
      </c>
    </row>
    <row r="144" spans="1:33" x14ac:dyDescent="0.25">
      <c r="A144" t="s">
        <v>258</v>
      </c>
      <c r="B144" t="s">
        <v>287</v>
      </c>
      <c r="C144" t="s">
        <v>288</v>
      </c>
      <c r="E144" t="s">
        <v>289</v>
      </c>
      <c r="F144" t="s">
        <v>134</v>
      </c>
      <c r="H144" t="s">
        <v>152</v>
      </c>
      <c r="I144" t="s">
        <v>127</v>
      </c>
      <c r="J144" t="s">
        <v>258</v>
      </c>
      <c r="K144" t="s">
        <v>318</v>
      </c>
      <c r="L144" t="s">
        <v>319</v>
      </c>
      <c r="N144" t="s">
        <v>320</v>
      </c>
      <c r="O144" t="s">
        <v>134</v>
      </c>
      <c r="Q144" t="s">
        <v>178</v>
      </c>
      <c r="R144" t="s">
        <v>153</v>
      </c>
      <c r="S144" t="s">
        <v>128</v>
      </c>
      <c r="T144" t="s">
        <v>181</v>
      </c>
      <c r="U144" t="s">
        <v>151</v>
      </c>
      <c r="V144" t="s">
        <v>74</v>
      </c>
      <c r="W144" s="58">
        <v>43327</v>
      </c>
      <c r="X144" s="59">
        <v>0.39583333333333331</v>
      </c>
      <c r="Y144" s="59">
        <v>0.4375</v>
      </c>
      <c r="Z144" s="59">
        <v>4.1666666666666664E-2</v>
      </c>
      <c r="AA144">
        <v>0</v>
      </c>
      <c r="AB144">
        <v>0.27279999999999999</v>
      </c>
      <c r="AC144">
        <v>20</v>
      </c>
      <c r="AD144">
        <v>9.5</v>
      </c>
      <c r="AE144" s="59">
        <v>0.39583333333333331</v>
      </c>
      <c r="AF144" s="59">
        <v>0.4368055555555555</v>
      </c>
      <c r="AG144">
        <v>25</v>
      </c>
    </row>
    <row r="145" spans="1:33" x14ac:dyDescent="0.25">
      <c r="B145" t="s">
        <v>331</v>
      </c>
      <c r="C145" t="s">
        <v>332</v>
      </c>
      <c r="E145" t="s">
        <v>333</v>
      </c>
      <c r="F145" t="s">
        <v>134</v>
      </c>
      <c r="G145" t="s">
        <v>218</v>
      </c>
      <c r="H145" t="s">
        <v>177</v>
      </c>
      <c r="I145" t="s">
        <v>158</v>
      </c>
      <c r="J145" t="s">
        <v>258</v>
      </c>
      <c r="K145" t="s">
        <v>318</v>
      </c>
      <c r="L145" t="s">
        <v>319</v>
      </c>
      <c r="N145" t="s">
        <v>320</v>
      </c>
      <c r="O145" t="s">
        <v>134</v>
      </c>
      <c r="Q145" t="s">
        <v>178</v>
      </c>
      <c r="R145" t="s">
        <v>179</v>
      </c>
      <c r="S145" t="s">
        <v>128</v>
      </c>
      <c r="T145" t="s">
        <v>181</v>
      </c>
      <c r="U145" t="s">
        <v>194</v>
      </c>
      <c r="V145" t="s">
        <v>74</v>
      </c>
      <c r="W145" s="58">
        <v>43327</v>
      </c>
      <c r="X145" s="59">
        <v>0.58333333333333337</v>
      </c>
      <c r="Y145" s="59">
        <v>0.70833333333333337</v>
      </c>
      <c r="Z145" s="59">
        <v>0.125</v>
      </c>
      <c r="AA145">
        <v>0</v>
      </c>
      <c r="AC145">
        <v>75</v>
      </c>
      <c r="AD145">
        <v>28.5</v>
      </c>
      <c r="AG145">
        <v>25</v>
      </c>
    </row>
    <row r="146" spans="1:33" x14ac:dyDescent="0.25">
      <c r="A146" t="s">
        <v>258</v>
      </c>
      <c r="B146" t="s">
        <v>262</v>
      </c>
      <c r="C146" t="s">
        <v>263</v>
      </c>
      <c r="D146" t="s">
        <v>264</v>
      </c>
      <c r="E146" t="s">
        <v>265</v>
      </c>
      <c r="F146" t="s">
        <v>134</v>
      </c>
      <c r="H146" t="s">
        <v>132</v>
      </c>
      <c r="I146" t="s">
        <v>133</v>
      </c>
      <c r="J146" t="s">
        <v>258</v>
      </c>
      <c r="K146" t="s">
        <v>318</v>
      </c>
      <c r="L146" t="s">
        <v>319</v>
      </c>
      <c r="N146" t="s">
        <v>320</v>
      </c>
      <c r="O146" t="s">
        <v>134</v>
      </c>
      <c r="Q146" t="s">
        <v>178</v>
      </c>
      <c r="R146" t="s">
        <v>136</v>
      </c>
      <c r="S146" t="s">
        <v>128</v>
      </c>
      <c r="T146" t="s">
        <v>181</v>
      </c>
      <c r="U146" t="s">
        <v>129</v>
      </c>
      <c r="V146" t="s">
        <v>74</v>
      </c>
      <c r="W146" s="58">
        <v>43327</v>
      </c>
      <c r="X146" s="59">
        <v>0.72916666666666663</v>
      </c>
      <c r="Y146" s="59">
        <v>0.77083333333333337</v>
      </c>
      <c r="Z146" s="59">
        <v>4.1666666666666664E-2</v>
      </c>
      <c r="AA146">
        <v>0</v>
      </c>
      <c r="AC146">
        <v>23</v>
      </c>
      <c r="AD146">
        <v>9.5</v>
      </c>
      <c r="AE146" s="59">
        <v>0.72916666666666663</v>
      </c>
      <c r="AF146" s="59">
        <v>0.77013888888888893</v>
      </c>
      <c r="AG146">
        <v>25</v>
      </c>
    </row>
    <row r="147" spans="1:33" x14ac:dyDescent="0.25">
      <c r="A147" t="s">
        <v>274</v>
      </c>
      <c r="B147" t="s">
        <v>321</v>
      </c>
      <c r="C147" t="s">
        <v>322</v>
      </c>
      <c r="D147" t="s">
        <v>323</v>
      </c>
      <c r="E147" t="s">
        <v>324</v>
      </c>
      <c r="F147" t="s">
        <v>134</v>
      </c>
      <c r="H147" t="s">
        <v>184</v>
      </c>
      <c r="I147" t="s">
        <v>147</v>
      </c>
      <c r="J147" t="s">
        <v>258</v>
      </c>
      <c r="K147" t="s">
        <v>318</v>
      </c>
      <c r="L147" t="s">
        <v>319</v>
      </c>
      <c r="N147" t="s">
        <v>320</v>
      </c>
      <c r="O147" t="s">
        <v>134</v>
      </c>
      <c r="Q147" t="s">
        <v>178</v>
      </c>
      <c r="R147" t="s">
        <v>185</v>
      </c>
      <c r="S147" t="s">
        <v>128</v>
      </c>
      <c r="T147" t="s">
        <v>181</v>
      </c>
      <c r="U147" t="s">
        <v>151</v>
      </c>
      <c r="V147" t="s">
        <v>74</v>
      </c>
      <c r="W147" s="58">
        <v>43327</v>
      </c>
      <c r="X147" s="59">
        <v>0.86458333333333337</v>
      </c>
      <c r="Y147" s="59">
        <v>0.89583333333333337</v>
      </c>
      <c r="Z147" s="59">
        <v>3.125E-2</v>
      </c>
      <c r="AA147">
        <v>0</v>
      </c>
      <c r="AB147">
        <v>13.225</v>
      </c>
      <c r="AC147">
        <v>15</v>
      </c>
      <c r="AD147">
        <v>7.125</v>
      </c>
      <c r="AE147" s="59">
        <v>0.86458333333333337</v>
      </c>
      <c r="AF147" s="59">
        <v>0.89513888888888893</v>
      </c>
      <c r="AG147">
        <v>25</v>
      </c>
    </row>
    <row r="148" spans="1:33" x14ac:dyDescent="0.25">
      <c r="B148" t="s">
        <v>331</v>
      </c>
      <c r="C148" t="s">
        <v>332</v>
      </c>
      <c r="E148" t="s">
        <v>333</v>
      </c>
      <c r="F148" t="s">
        <v>134</v>
      </c>
      <c r="G148" t="s">
        <v>218</v>
      </c>
      <c r="H148" t="s">
        <v>177</v>
      </c>
      <c r="I148" t="s">
        <v>158</v>
      </c>
      <c r="J148" t="s">
        <v>258</v>
      </c>
      <c r="K148" t="s">
        <v>318</v>
      </c>
      <c r="L148" t="s">
        <v>319</v>
      </c>
      <c r="N148" t="s">
        <v>320</v>
      </c>
      <c r="O148" t="s">
        <v>134</v>
      </c>
      <c r="Q148" t="s">
        <v>178</v>
      </c>
      <c r="R148" t="s">
        <v>179</v>
      </c>
      <c r="S148" t="s">
        <v>128</v>
      </c>
      <c r="T148" t="s">
        <v>181</v>
      </c>
      <c r="U148" t="s">
        <v>191</v>
      </c>
      <c r="V148" t="s">
        <v>75</v>
      </c>
      <c r="W148" s="58">
        <v>43328</v>
      </c>
      <c r="X148" s="59">
        <v>0.28125</v>
      </c>
      <c r="Y148" s="59">
        <v>0.36458333333333331</v>
      </c>
      <c r="Z148" s="59">
        <v>8.3333333333333329E-2</v>
      </c>
      <c r="AA148">
        <v>0</v>
      </c>
      <c r="AC148">
        <v>0</v>
      </c>
      <c r="AD148">
        <v>19</v>
      </c>
      <c r="AE148" s="59">
        <v>0.28125</v>
      </c>
      <c r="AF148" s="59">
        <v>0.36388888888888887</v>
      </c>
      <c r="AG148">
        <v>25</v>
      </c>
    </row>
    <row r="149" spans="1:33" x14ac:dyDescent="0.25">
      <c r="A149" t="s">
        <v>258</v>
      </c>
      <c r="B149" t="s">
        <v>325</v>
      </c>
      <c r="C149" t="s">
        <v>326</v>
      </c>
      <c r="E149" t="s">
        <v>327</v>
      </c>
      <c r="F149" t="s">
        <v>134</v>
      </c>
      <c r="H149" t="s">
        <v>182</v>
      </c>
      <c r="I149" t="s">
        <v>147</v>
      </c>
      <c r="J149" t="s">
        <v>258</v>
      </c>
      <c r="K149" t="s">
        <v>318</v>
      </c>
      <c r="L149" t="s">
        <v>319</v>
      </c>
      <c r="N149" t="s">
        <v>320</v>
      </c>
      <c r="O149" t="s">
        <v>134</v>
      </c>
      <c r="Q149" t="s">
        <v>178</v>
      </c>
      <c r="R149" t="s">
        <v>183</v>
      </c>
      <c r="S149" t="s">
        <v>128</v>
      </c>
      <c r="T149" t="s">
        <v>181</v>
      </c>
      <c r="U149" t="s">
        <v>129</v>
      </c>
      <c r="V149" t="s">
        <v>75</v>
      </c>
      <c r="W149" s="58">
        <v>43328</v>
      </c>
      <c r="X149" s="59">
        <v>0.36458333333333331</v>
      </c>
      <c r="Y149" s="59">
        <v>0.40625</v>
      </c>
      <c r="Z149" s="59">
        <v>4.1666666666666664E-2</v>
      </c>
      <c r="AA149">
        <v>0</v>
      </c>
      <c r="AC149">
        <v>23</v>
      </c>
      <c r="AD149">
        <v>9.5</v>
      </c>
      <c r="AE149" s="59">
        <v>0.36458333333333331</v>
      </c>
      <c r="AF149" s="59">
        <v>0.4055555555555555</v>
      </c>
      <c r="AG149">
        <v>25</v>
      </c>
    </row>
    <row r="150" spans="1:33" x14ac:dyDescent="0.25">
      <c r="A150" t="s">
        <v>274</v>
      </c>
      <c r="B150" t="s">
        <v>321</v>
      </c>
      <c r="C150" t="s">
        <v>322</v>
      </c>
      <c r="D150" t="s">
        <v>323</v>
      </c>
      <c r="E150" t="s">
        <v>324</v>
      </c>
      <c r="F150" t="s">
        <v>134</v>
      </c>
      <c r="H150" t="s">
        <v>184</v>
      </c>
      <c r="I150" t="s">
        <v>147</v>
      </c>
      <c r="J150" t="s">
        <v>258</v>
      </c>
      <c r="K150" t="s">
        <v>318</v>
      </c>
      <c r="L150" t="s">
        <v>319</v>
      </c>
      <c r="N150" t="s">
        <v>320</v>
      </c>
      <c r="O150" t="s">
        <v>134</v>
      </c>
      <c r="Q150" t="s">
        <v>178</v>
      </c>
      <c r="R150" t="s">
        <v>185</v>
      </c>
      <c r="S150" t="s">
        <v>128</v>
      </c>
      <c r="T150" t="s">
        <v>181</v>
      </c>
      <c r="U150" t="s">
        <v>151</v>
      </c>
      <c r="V150" t="s">
        <v>75</v>
      </c>
      <c r="W150" s="58">
        <v>43328</v>
      </c>
      <c r="X150" s="59">
        <v>0.41666666666666669</v>
      </c>
      <c r="Y150" s="59">
        <v>0.45833333333333331</v>
      </c>
      <c r="Z150" s="59">
        <v>4.1666666666666664E-2</v>
      </c>
      <c r="AA150">
        <v>0</v>
      </c>
      <c r="AB150">
        <v>2.2181999999999999</v>
      </c>
      <c r="AC150">
        <v>20</v>
      </c>
      <c r="AD150">
        <v>9.5</v>
      </c>
      <c r="AE150" s="59">
        <v>0.41666666666666669</v>
      </c>
      <c r="AF150" s="59">
        <v>0.45763888888888887</v>
      </c>
      <c r="AG150">
        <v>25</v>
      </c>
    </row>
    <row r="151" spans="1:33" x14ac:dyDescent="0.25">
      <c r="A151" t="s">
        <v>258</v>
      </c>
      <c r="B151" t="s">
        <v>325</v>
      </c>
      <c r="C151" t="s">
        <v>326</v>
      </c>
      <c r="E151" t="s">
        <v>327</v>
      </c>
      <c r="F151" t="s">
        <v>134</v>
      </c>
      <c r="H151" t="s">
        <v>182</v>
      </c>
      <c r="I151" t="s">
        <v>147</v>
      </c>
      <c r="J151" t="s">
        <v>258</v>
      </c>
      <c r="K151" t="s">
        <v>318</v>
      </c>
      <c r="L151" t="s">
        <v>319</v>
      </c>
      <c r="N151" t="s">
        <v>320</v>
      </c>
      <c r="O151" t="s">
        <v>134</v>
      </c>
      <c r="Q151" t="s">
        <v>178</v>
      </c>
      <c r="R151" t="s">
        <v>183</v>
      </c>
      <c r="S151" t="s">
        <v>128</v>
      </c>
      <c r="T151" t="s">
        <v>181</v>
      </c>
      <c r="U151" t="s">
        <v>129</v>
      </c>
      <c r="V151" t="s">
        <v>75</v>
      </c>
      <c r="W151" s="58">
        <v>43328</v>
      </c>
      <c r="X151" s="59">
        <v>0.52083333333333337</v>
      </c>
      <c r="Y151" s="59">
        <v>0.5625</v>
      </c>
      <c r="Z151" s="59">
        <v>4.1666666666666664E-2</v>
      </c>
      <c r="AA151">
        <v>0</v>
      </c>
      <c r="AB151">
        <v>2.2181999999999999</v>
      </c>
      <c r="AC151">
        <v>23</v>
      </c>
      <c r="AD151">
        <v>9.5</v>
      </c>
      <c r="AE151" s="59">
        <v>0.52083333333333337</v>
      </c>
      <c r="AF151" s="59">
        <v>0.56180555555555556</v>
      </c>
      <c r="AG151">
        <v>25</v>
      </c>
    </row>
    <row r="152" spans="1:33" x14ac:dyDescent="0.25">
      <c r="A152" t="s">
        <v>258</v>
      </c>
      <c r="B152" t="s">
        <v>262</v>
      </c>
      <c r="C152" t="s">
        <v>263</v>
      </c>
      <c r="D152" t="s">
        <v>264</v>
      </c>
      <c r="E152" t="s">
        <v>265</v>
      </c>
      <c r="F152" t="s">
        <v>134</v>
      </c>
      <c r="H152" t="s">
        <v>132</v>
      </c>
      <c r="I152" t="s">
        <v>133</v>
      </c>
      <c r="J152" t="s">
        <v>258</v>
      </c>
      <c r="K152" t="s">
        <v>318</v>
      </c>
      <c r="L152" t="s">
        <v>319</v>
      </c>
      <c r="N152" t="s">
        <v>320</v>
      </c>
      <c r="O152" t="s">
        <v>134</v>
      </c>
      <c r="Q152" t="s">
        <v>178</v>
      </c>
      <c r="R152" t="s">
        <v>136</v>
      </c>
      <c r="S152" t="s">
        <v>128</v>
      </c>
      <c r="T152" t="s">
        <v>181</v>
      </c>
      <c r="U152" t="s">
        <v>129</v>
      </c>
      <c r="V152" t="s">
        <v>75</v>
      </c>
      <c r="W152" s="58">
        <v>43328</v>
      </c>
      <c r="X152" s="59">
        <v>0.72916666666666663</v>
      </c>
      <c r="Y152" s="59">
        <v>0.77083333333333337</v>
      </c>
      <c r="Z152" s="59">
        <v>4.1666666666666664E-2</v>
      </c>
      <c r="AA152">
        <v>0</v>
      </c>
      <c r="AC152">
        <v>23</v>
      </c>
      <c r="AD152">
        <v>9.5</v>
      </c>
      <c r="AE152" s="59">
        <v>0.72916666666666663</v>
      </c>
      <c r="AF152" s="59">
        <v>0.77013888888888893</v>
      </c>
      <c r="AG152">
        <v>25</v>
      </c>
    </row>
    <row r="153" spans="1:33" x14ac:dyDescent="0.25">
      <c r="A153" t="s">
        <v>274</v>
      </c>
      <c r="B153" t="s">
        <v>321</v>
      </c>
      <c r="C153" t="s">
        <v>322</v>
      </c>
      <c r="D153" t="s">
        <v>323</v>
      </c>
      <c r="E153" t="s">
        <v>324</v>
      </c>
      <c r="F153" t="s">
        <v>134</v>
      </c>
      <c r="H153" t="s">
        <v>184</v>
      </c>
      <c r="I153" t="s">
        <v>147</v>
      </c>
      <c r="J153" t="s">
        <v>258</v>
      </c>
      <c r="K153" t="s">
        <v>318</v>
      </c>
      <c r="L153" t="s">
        <v>319</v>
      </c>
      <c r="N153" t="s">
        <v>320</v>
      </c>
      <c r="O153" t="s">
        <v>134</v>
      </c>
      <c r="Q153" t="s">
        <v>178</v>
      </c>
      <c r="R153" t="s">
        <v>185</v>
      </c>
      <c r="S153" t="s">
        <v>128</v>
      </c>
      <c r="T153" t="s">
        <v>181</v>
      </c>
      <c r="U153" t="s">
        <v>151</v>
      </c>
      <c r="V153" t="s">
        <v>75</v>
      </c>
      <c r="W153" s="58">
        <v>43328</v>
      </c>
      <c r="X153" s="59">
        <v>0.8125</v>
      </c>
      <c r="Y153" s="59">
        <v>0.84375</v>
      </c>
      <c r="Z153" s="59">
        <v>3.125E-2</v>
      </c>
      <c r="AA153">
        <v>0</v>
      </c>
      <c r="AB153">
        <v>13.225</v>
      </c>
      <c r="AC153">
        <v>15</v>
      </c>
      <c r="AD153">
        <v>7.125</v>
      </c>
      <c r="AE153" s="59">
        <v>0.8125</v>
      </c>
      <c r="AF153" s="59">
        <v>0.84305555555555556</v>
      </c>
      <c r="AG153">
        <v>25</v>
      </c>
    </row>
    <row r="154" spans="1:33" x14ac:dyDescent="0.25">
      <c r="A154" t="s">
        <v>258</v>
      </c>
      <c r="B154" t="s">
        <v>284</v>
      </c>
      <c r="C154" t="s">
        <v>285</v>
      </c>
      <c r="E154" t="s">
        <v>286</v>
      </c>
      <c r="F154" t="s">
        <v>134</v>
      </c>
      <c r="H154" t="s">
        <v>149</v>
      </c>
      <c r="I154" t="s">
        <v>127</v>
      </c>
      <c r="J154" t="s">
        <v>258</v>
      </c>
      <c r="K154" t="s">
        <v>318</v>
      </c>
      <c r="L154" t="s">
        <v>319</v>
      </c>
      <c r="N154" t="s">
        <v>320</v>
      </c>
      <c r="O154" t="s">
        <v>134</v>
      </c>
      <c r="Q154" t="s">
        <v>178</v>
      </c>
      <c r="R154" t="s">
        <v>150</v>
      </c>
      <c r="S154" t="s">
        <v>128</v>
      </c>
      <c r="T154" t="s">
        <v>181</v>
      </c>
      <c r="U154" t="s">
        <v>151</v>
      </c>
      <c r="V154" t="s">
        <v>76</v>
      </c>
      <c r="W154" s="58">
        <v>43329</v>
      </c>
      <c r="X154" s="59">
        <v>0.35416666666666669</v>
      </c>
      <c r="Y154" s="59">
        <v>0.41666666666666669</v>
      </c>
      <c r="Z154" s="59">
        <v>6.25E-2</v>
      </c>
      <c r="AA154">
        <v>0</v>
      </c>
      <c r="AC154">
        <v>30</v>
      </c>
      <c r="AD154">
        <v>14.25</v>
      </c>
      <c r="AE154" s="59">
        <v>0.35416666666666669</v>
      </c>
      <c r="AF154" s="59">
        <v>0.41597222222222219</v>
      </c>
      <c r="AG154">
        <v>25</v>
      </c>
    </row>
    <row r="155" spans="1:33" x14ac:dyDescent="0.25">
      <c r="A155" t="s">
        <v>258</v>
      </c>
      <c r="B155" t="s">
        <v>287</v>
      </c>
      <c r="C155" t="s">
        <v>288</v>
      </c>
      <c r="E155" t="s">
        <v>289</v>
      </c>
      <c r="F155" t="s">
        <v>134</v>
      </c>
      <c r="H155" t="s">
        <v>152</v>
      </c>
      <c r="I155" t="s">
        <v>127</v>
      </c>
      <c r="J155" t="s">
        <v>258</v>
      </c>
      <c r="K155" t="s">
        <v>318</v>
      </c>
      <c r="L155" t="s">
        <v>319</v>
      </c>
      <c r="N155" t="s">
        <v>320</v>
      </c>
      <c r="O155" t="s">
        <v>134</v>
      </c>
      <c r="Q155" t="s">
        <v>178</v>
      </c>
      <c r="R155" t="s">
        <v>153</v>
      </c>
      <c r="S155" t="s">
        <v>128</v>
      </c>
      <c r="T155" t="s">
        <v>181</v>
      </c>
      <c r="U155" t="s">
        <v>151</v>
      </c>
      <c r="V155" t="s">
        <v>76</v>
      </c>
      <c r="W155" s="58">
        <v>43329</v>
      </c>
      <c r="X155" s="59">
        <v>0.41666666666666669</v>
      </c>
      <c r="Y155" s="59">
        <v>0.47916666666666669</v>
      </c>
      <c r="Z155" s="59">
        <v>6.25E-2</v>
      </c>
      <c r="AA155">
        <v>0</v>
      </c>
      <c r="AB155">
        <v>0.27279999999999999</v>
      </c>
      <c r="AC155">
        <v>30</v>
      </c>
      <c r="AD155">
        <v>14.25</v>
      </c>
      <c r="AE155" s="59">
        <v>0.41666666666666669</v>
      </c>
      <c r="AF155" s="59">
        <v>0.47847222222222219</v>
      </c>
      <c r="AG155">
        <v>25</v>
      </c>
    </row>
    <row r="156" spans="1:33" x14ac:dyDescent="0.25">
      <c r="A156" t="s">
        <v>274</v>
      </c>
      <c r="B156" t="s">
        <v>336</v>
      </c>
      <c r="C156" t="s">
        <v>337</v>
      </c>
      <c r="E156" t="s">
        <v>338</v>
      </c>
      <c r="F156" t="s">
        <v>134</v>
      </c>
      <c r="H156" t="s">
        <v>186</v>
      </c>
      <c r="I156" t="s">
        <v>147</v>
      </c>
      <c r="J156" t="s">
        <v>258</v>
      </c>
      <c r="K156" t="s">
        <v>318</v>
      </c>
      <c r="L156" t="s">
        <v>319</v>
      </c>
      <c r="N156" t="s">
        <v>320</v>
      </c>
      <c r="O156" t="s">
        <v>134</v>
      </c>
      <c r="Q156" t="s">
        <v>178</v>
      </c>
      <c r="R156" t="s">
        <v>187</v>
      </c>
      <c r="S156" t="s">
        <v>128</v>
      </c>
      <c r="T156" t="s">
        <v>181</v>
      </c>
      <c r="U156" t="s">
        <v>151</v>
      </c>
      <c r="V156" t="s">
        <v>77</v>
      </c>
      <c r="W156" s="58">
        <v>43330</v>
      </c>
      <c r="X156" s="59">
        <v>0.375</v>
      </c>
      <c r="Y156" s="59">
        <v>0.41666666666666669</v>
      </c>
      <c r="Z156" s="59">
        <v>4.1666666666666664E-2</v>
      </c>
      <c r="AA156">
        <v>0</v>
      </c>
      <c r="AC156">
        <v>20</v>
      </c>
      <c r="AD156">
        <v>10.5</v>
      </c>
      <c r="AE156" s="59">
        <v>0.375</v>
      </c>
      <c r="AF156" s="59">
        <v>0.41597222222222219</v>
      </c>
      <c r="AG156">
        <v>25</v>
      </c>
    </row>
    <row r="157" spans="1:33" x14ac:dyDescent="0.25">
      <c r="B157" t="s">
        <v>331</v>
      </c>
      <c r="C157" t="s">
        <v>332</v>
      </c>
      <c r="E157" t="s">
        <v>333</v>
      </c>
      <c r="F157" t="s">
        <v>134</v>
      </c>
      <c r="G157" t="s">
        <v>218</v>
      </c>
      <c r="H157" t="s">
        <v>177</v>
      </c>
      <c r="I157" t="s">
        <v>158</v>
      </c>
      <c r="J157" t="s">
        <v>258</v>
      </c>
      <c r="K157" t="s">
        <v>318</v>
      </c>
      <c r="L157" t="s">
        <v>319</v>
      </c>
      <c r="N157" t="s">
        <v>320</v>
      </c>
      <c r="O157" t="s">
        <v>134</v>
      </c>
      <c r="Q157" t="s">
        <v>178</v>
      </c>
      <c r="R157" t="s">
        <v>179</v>
      </c>
      <c r="S157" t="s">
        <v>128</v>
      </c>
      <c r="T157" t="s">
        <v>181</v>
      </c>
      <c r="U157" t="s">
        <v>191</v>
      </c>
      <c r="V157" t="s">
        <v>77</v>
      </c>
      <c r="W157" s="58">
        <v>43330</v>
      </c>
      <c r="X157" s="59">
        <v>0.5</v>
      </c>
      <c r="Y157" s="59">
        <v>0.75</v>
      </c>
      <c r="Z157" s="59">
        <v>0.25</v>
      </c>
      <c r="AA157">
        <v>0</v>
      </c>
      <c r="AB157">
        <v>12.929600000000001</v>
      </c>
      <c r="AD157">
        <v>63</v>
      </c>
      <c r="AE157" s="59">
        <v>0.5</v>
      </c>
      <c r="AF157" s="59">
        <v>0.74930555555555556</v>
      </c>
      <c r="AG157">
        <v>25</v>
      </c>
    </row>
    <row r="158" spans="1:33" x14ac:dyDescent="0.25">
      <c r="B158" t="s">
        <v>331</v>
      </c>
      <c r="C158" t="s">
        <v>332</v>
      </c>
      <c r="E158" t="s">
        <v>333</v>
      </c>
      <c r="F158" t="s">
        <v>134</v>
      </c>
      <c r="G158" t="s">
        <v>218</v>
      </c>
      <c r="H158" t="s">
        <v>177</v>
      </c>
      <c r="I158" t="s">
        <v>158</v>
      </c>
      <c r="J158" t="s">
        <v>258</v>
      </c>
      <c r="K158" t="s">
        <v>318</v>
      </c>
      <c r="L158" t="s">
        <v>319</v>
      </c>
      <c r="N158" t="s">
        <v>320</v>
      </c>
      <c r="O158" t="s">
        <v>134</v>
      </c>
      <c r="Q158" t="s">
        <v>178</v>
      </c>
      <c r="R158" t="s">
        <v>179</v>
      </c>
      <c r="S158" t="s">
        <v>128</v>
      </c>
      <c r="T158" t="s">
        <v>181</v>
      </c>
      <c r="U158" t="s">
        <v>191</v>
      </c>
      <c r="V158" t="s">
        <v>71</v>
      </c>
      <c r="W158" s="58">
        <v>43331</v>
      </c>
      <c r="X158" s="59">
        <v>0.28125</v>
      </c>
      <c r="Y158" s="59">
        <v>0.36458333333333331</v>
      </c>
      <c r="Z158" s="59">
        <v>8.3333333333333329E-2</v>
      </c>
      <c r="AA158">
        <v>0</v>
      </c>
      <c r="AD158">
        <v>21</v>
      </c>
      <c r="AE158" s="59">
        <v>0.28125</v>
      </c>
      <c r="AF158" s="59">
        <v>0.36388888888888887</v>
      </c>
      <c r="AG158">
        <v>25</v>
      </c>
    </row>
    <row r="159" spans="1:33" x14ac:dyDescent="0.25">
      <c r="A159" t="s">
        <v>274</v>
      </c>
      <c r="B159" t="s">
        <v>275</v>
      </c>
      <c r="C159" t="s">
        <v>276</v>
      </c>
      <c r="E159" t="s">
        <v>277</v>
      </c>
      <c r="F159" t="s">
        <v>134</v>
      </c>
      <c r="H159" t="s">
        <v>141</v>
      </c>
      <c r="I159" t="s">
        <v>142</v>
      </c>
      <c r="J159" t="s">
        <v>258</v>
      </c>
      <c r="K159" t="s">
        <v>318</v>
      </c>
      <c r="L159" t="s">
        <v>319</v>
      </c>
      <c r="N159" t="s">
        <v>320</v>
      </c>
      <c r="O159" t="s">
        <v>134</v>
      </c>
      <c r="Q159" t="s">
        <v>178</v>
      </c>
      <c r="R159" t="s">
        <v>143</v>
      </c>
      <c r="S159" t="s">
        <v>128</v>
      </c>
      <c r="T159" t="s">
        <v>181</v>
      </c>
      <c r="U159" t="s">
        <v>129</v>
      </c>
      <c r="V159" t="s">
        <v>71</v>
      </c>
      <c r="W159" s="58">
        <v>43331</v>
      </c>
      <c r="X159" s="59">
        <v>0.3888888888888889</v>
      </c>
      <c r="Y159" s="59">
        <v>0.43055555555555558</v>
      </c>
      <c r="Z159" s="59">
        <v>4.1666666666666664E-2</v>
      </c>
      <c r="AA159">
        <v>0</v>
      </c>
      <c r="AB159">
        <v>4.4295999999999998</v>
      </c>
      <c r="AC159">
        <v>23</v>
      </c>
      <c r="AD159">
        <v>10.5</v>
      </c>
      <c r="AE159" s="59">
        <v>0.3888888888888889</v>
      </c>
      <c r="AF159" s="59">
        <v>0.42986111111111108</v>
      </c>
      <c r="AG159">
        <v>25</v>
      </c>
    </row>
    <row r="160" spans="1:33" x14ac:dyDescent="0.25">
      <c r="A160" t="s">
        <v>258</v>
      </c>
      <c r="B160" t="s">
        <v>339</v>
      </c>
      <c r="C160" t="s">
        <v>340</v>
      </c>
      <c r="D160" t="s">
        <v>341</v>
      </c>
      <c r="E160" t="s">
        <v>265</v>
      </c>
      <c r="F160" t="s">
        <v>134</v>
      </c>
      <c r="H160" t="s">
        <v>195</v>
      </c>
      <c r="I160" t="s">
        <v>133</v>
      </c>
      <c r="J160" t="s">
        <v>258</v>
      </c>
      <c r="K160" t="s">
        <v>318</v>
      </c>
      <c r="L160" t="s">
        <v>319</v>
      </c>
      <c r="N160" t="s">
        <v>320</v>
      </c>
      <c r="O160" t="s">
        <v>134</v>
      </c>
      <c r="Q160" t="s">
        <v>178</v>
      </c>
      <c r="R160" t="s">
        <v>196</v>
      </c>
      <c r="S160" t="s">
        <v>128</v>
      </c>
      <c r="T160" t="s">
        <v>181</v>
      </c>
      <c r="U160" t="s">
        <v>129</v>
      </c>
      <c r="V160" t="s">
        <v>71</v>
      </c>
      <c r="W160" s="58">
        <v>43331</v>
      </c>
      <c r="X160" s="59">
        <v>0.47916666666666669</v>
      </c>
      <c r="Y160" s="59">
        <v>0.52083333333333337</v>
      </c>
      <c r="Z160" s="59">
        <v>4.1666666666666664E-2</v>
      </c>
      <c r="AA160">
        <v>0</v>
      </c>
      <c r="AB160">
        <v>5.6045999999999996</v>
      </c>
      <c r="AC160">
        <v>23</v>
      </c>
      <c r="AD160">
        <v>10.5</v>
      </c>
      <c r="AE160" s="59">
        <v>0.47916666666666669</v>
      </c>
      <c r="AF160" s="59">
        <v>0.52013888888888882</v>
      </c>
      <c r="AG160">
        <v>25</v>
      </c>
    </row>
    <row r="161" spans="1:33" x14ac:dyDescent="0.25">
      <c r="B161" t="s">
        <v>331</v>
      </c>
      <c r="C161" t="s">
        <v>332</v>
      </c>
      <c r="E161" t="s">
        <v>333</v>
      </c>
      <c r="F161" t="s">
        <v>134</v>
      </c>
      <c r="G161" t="s">
        <v>218</v>
      </c>
      <c r="H161" t="s">
        <v>177</v>
      </c>
      <c r="I161" t="s">
        <v>158</v>
      </c>
      <c r="J161" t="s">
        <v>258</v>
      </c>
      <c r="K161" t="s">
        <v>318</v>
      </c>
      <c r="L161" t="s">
        <v>319</v>
      </c>
      <c r="N161" t="s">
        <v>320</v>
      </c>
      <c r="O161" t="s">
        <v>134</v>
      </c>
      <c r="Q161" t="s">
        <v>178</v>
      </c>
      <c r="R161" t="s">
        <v>179</v>
      </c>
      <c r="S161" t="s">
        <v>128</v>
      </c>
      <c r="T161" t="s">
        <v>181</v>
      </c>
      <c r="U161" t="s">
        <v>191</v>
      </c>
      <c r="V161" t="s">
        <v>71</v>
      </c>
      <c r="W161" s="58">
        <v>43331</v>
      </c>
      <c r="X161" s="59">
        <v>0.52083333333333337</v>
      </c>
      <c r="Y161" s="59">
        <v>0.6875</v>
      </c>
      <c r="Z161" s="59">
        <v>0.16666666666666666</v>
      </c>
      <c r="AA161">
        <v>0</v>
      </c>
      <c r="AB161">
        <v>9.0204000000000004</v>
      </c>
      <c r="AD161">
        <v>42</v>
      </c>
      <c r="AE161" s="59">
        <v>0.52083333333333337</v>
      </c>
      <c r="AF161" s="59">
        <v>0.68680555555555556</v>
      </c>
      <c r="AG161">
        <v>25</v>
      </c>
    </row>
    <row r="162" spans="1:33" x14ac:dyDescent="0.25">
      <c r="A162" t="s">
        <v>258</v>
      </c>
      <c r="B162" t="s">
        <v>339</v>
      </c>
      <c r="C162" t="s">
        <v>340</v>
      </c>
      <c r="D162" t="s">
        <v>341</v>
      </c>
      <c r="E162" t="s">
        <v>265</v>
      </c>
      <c r="F162" t="s">
        <v>134</v>
      </c>
      <c r="H162" t="s">
        <v>195</v>
      </c>
      <c r="I162" t="s">
        <v>133</v>
      </c>
      <c r="J162" t="s">
        <v>258</v>
      </c>
      <c r="K162" t="s">
        <v>318</v>
      </c>
      <c r="L162" t="s">
        <v>319</v>
      </c>
      <c r="N162" t="s">
        <v>320</v>
      </c>
      <c r="O162" t="s">
        <v>134</v>
      </c>
      <c r="Q162" t="s">
        <v>178</v>
      </c>
      <c r="R162" t="s">
        <v>196</v>
      </c>
      <c r="S162" t="s">
        <v>128</v>
      </c>
      <c r="T162" t="s">
        <v>181</v>
      </c>
      <c r="U162" t="s">
        <v>129</v>
      </c>
      <c r="V162" t="s">
        <v>71</v>
      </c>
      <c r="W162" s="58">
        <v>43331</v>
      </c>
      <c r="X162" s="59">
        <v>0.75</v>
      </c>
      <c r="Y162" s="59">
        <v>0.79166666666666663</v>
      </c>
      <c r="Z162" s="59">
        <v>4.1666666666666664E-2</v>
      </c>
      <c r="AA162">
        <v>0</v>
      </c>
      <c r="AB162">
        <v>9.5182000000000002</v>
      </c>
      <c r="AC162">
        <v>23</v>
      </c>
      <c r="AD162">
        <v>10.5</v>
      </c>
      <c r="AE162" s="59">
        <v>0.75</v>
      </c>
      <c r="AF162" s="59">
        <v>0.7909722222222223</v>
      </c>
      <c r="AG162">
        <v>25</v>
      </c>
    </row>
    <row r="163" spans="1:33" x14ac:dyDescent="0.25">
      <c r="A163" t="s">
        <v>274</v>
      </c>
      <c r="B163" t="s">
        <v>328</v>
      </c>
      <c r="C163" t="s">
        <v>329</v>
      </c>
      <c r="D163">
        <v>5</v>
      </c>
      <c r="E163" t="s">
        <v>330</v>
      </c>
      <c r="F163" t="s">
        <v>134</v>
      </c>
      <c r="G163" t="s">
        <v>218</v>
      </c>
      <c r="H163" t="s">
        <v>188</v>
      </c>
      <c r="I163" t="s">
        <v>189</v>
      </c>
      <c r="J163" t="s">
        <v>258</v>
      </c>
      <c r="K163" t="s">
        <v>318</v>
      </c>
      <c r="L163" t="s">
        <v>319</v>
      </c>
      <c r="N163" t="s">
        <v>320</v>
      </c>
      <c r="O163" t="s">
        <v>134</v>
      </c>
      <c r="Q163" t="s">
        <v>178</v>
      </c>
      <c r="R163" t="s">
        <v>190</v>
      </c>
      <c r="S163" t="s">
        <v>128</v>
      </c>
      <c r="T163" t="s">
        <v>181</v>
      </c>
      <c r="U163" t="s">
        <v>151</v>
      </c>
      <c r="V163" t="s">
        <v>72</v>
      </c>
      <c r="W163" s="58">
        <v>43332</v>
      </c>
      <c r="X163" s="59">
        <v>0.33333333333333331</v>
      </c>
      <c r="Y163" s="59">
        <v>0.5</v>
      </c>
      <c r="Z163" s="59">
        <v>0.16666666666666666</v>
      </c>
      <c r="AA163">
        <v>0</v>
      </c>
      <c r="AC163">
        <v>80</v>
      </c>
      <c r="AD163">
        <v>38</v>
      </c>
      <c r="AE163" s="59">
        <v>0.33333333333333331</v>
      </c>
      <c r="AF163" s="59">
        <v>0.4993055555555555</v>
      </c>
      <c r="AG163">
        <v>25</v>
      </c>
    </row>
    <row r="164" spans="1:33" x14ac:dyDescent="0.25">
      <c r="A164" t="s">
        <v>258</v>
      </c>
      <c r="B164" t="s">
        <v>262</v>
      </c>
      <c r="C164" t="s">
        <v>263</v>
      </c>
      <c r="D164" t="s">
        <v>264</v>
      </c>
      <c r="E164" t="s">
        <v>265</v>
      </c>
      <c r="F164" t="s">
        <v>134</v>
      </c>
      <c r="H164" t="s">
        <v>132</v>
      </c>
      <c r="I164" t="s">
        <v>133</v>
      </c>
      <c r="J164" t="s">
        <v>258</v>
      </c>
      <c r="K164" t="s">
        <v>318</v>
      </c>
      <c r="L164" t="s">
        <v>319</v>
      </c>
      <c r="N164" t="s">
        <v>320</v>
      </c>
      <c r="O164" t="s">
        <v>134</v>
      </c>
      <c r="Q164" t="s">
        <v>178</v>
      </c>
      <c r="R164" t="s">
        <v>136</v>
      </c>
      <c r="S164" t="s">
        <v>128</v>
      </c>
      <c r="T164" t="s">
        <v>181</v>
      </c>
      <c r="U164" t="s">
        <v>129</v>
      </c>
      <c r="V164" t="s">
        <v>72</v>
      </c>
      <c r="W164" s="58">
        <v>43332</v>
      </c>
      <c r="X164" s="59">
        <v>0.72916666666666663</v>
      </c>
      <c r="Y164" s="59">
        <v>0.77083333333333337</v>
      </c>
      <c r="Z164" s="59">
        <v>4.1666666666666664E-2</v>
      </c>
      <c r="AA164">
        <v>0</v>
      </c>
      <c r="AC164">
        <v>23</v>
      </c>
      <c r="AD164">
        <v>9.5</v>
      </c>
      <c r="AE164" s="59">
        <v>0.72916666666666663</v>
      </c>
      <c r="AF164" s="59">
        <v>0.77013888888888893</v>
      </c>
      <c r="AG164">
        <v>25</v>
      </c>
    </row>
    <row r="165" spans="1:33" x14ac:dyDescent="0.25">
      <c r="B165" t="s">
        <v>331</v>
      </c>
      <c r="C165" t="s">
        <v>332</v>
      </c>
      <c r="E165" t="s">
        <v>333</v>
      </c>
      <c r="F165" t="s">
        <v>134</v>
      </c>
      <c r="G165" t="s">
        <v>218</v>
      </c>
      <c r="H165" t="s">
        <v>177</v>
      </c>
      <c r="I165" t="s">
        <v>158</v>
      </c>
      <c r="J165" t="s">
        <v>258</v>
      </c>
      <c r="K165" t="s">
        <v>318</v>
      </c>
      <c r="L165" t="s">
        <v>319</v>
      </c>
      <c r="N165" t="s">
        <v>320</v>
      </c>
      <c r="O165" t="s">
        <v>134</v>
      </c>
      <c r="Q165" t="s">
        <v>178</v>
      </c>
      <c r="R165" t="s">
        <v>179</v>
      </c>
      <c r="S165" t="s">
        <v>128</v>
      </c>
      <c r="T165" t="s">
        <v>181</v>
      </c>
      <c r="U165" t="s">
        <v>129</v>
      </c>
      <c r="V165" t="s">
        <v>73</v>
      </c>
      <c r="W165" s="58">
        <v>43333</v>
      </c>
      <c r="X165" s="59">
        <v>0.47222222222222227</v>
      </c>
      <c r="Y165" s="59">
        <v>0.55555555555555558</v>
      </c>
      <c r="Z165" s="59">
        <v>8.3333333333333329E-2</v>
      </c>
      <c r="AA165">
        <v>0</v>
      </c>
      <c r="AD165">
        <v>19</v>
      </c>
      <c r="AG165">
        <v>25</v>
      </c>
    </row>
    <row r="166" spans="1:33" x14ac:dyDescent="0.25">
      <c r="B166" t="s">
        <v>331</v>
      </c>
      <c r="C166" t="s">
        <v>332</v>
      </c>
      <c r="E166" t="s">
        <v>333</v>
      </c>
      <c r="F166" t="s">
        <v>134</v>
      </c>
      <c r="G166" t="s">
        <v>218</v>
      </c>
      <c r="H166" t="s">
        <v>177</v>
      </c>
      <c r="I166" t="s">
        <v>158</v>
      </c>
      <c r="J166" t="s">
        <v>258</v>
      </c>
      <c r="K166" t="s">
        <v>318</v>
      </c>
      <c r="L166" t="s">
        <v>319</v>
      </c>
      <c r="N166" t="s">
        <v>320</v>
      </c>
      <c r="O166" t="s">
        <v>134</v>
      </c>
      <c r="Q166" t="s">
        <v>178</v>
      </c>
      <c r="R166" t="s">
        <v>179</v>
      </c>
      <c r="S166" t="s">
        <v>128</v>
      </c>
      <c r="T166" t="s">
        <v>181</v>
      </c>
      <c r="U166" t="s">
        <v>191</v>
      </c>
      <c r="V166" t="s">
        <v>74</v>
      </c>
      <c r="W166" s="58">
        <v>43334</v>
      </c>
      <c r="X166" s="59">
        <v>0.28125</v>
      </c>
      <c r="Y166" s="59">
        <v>0.33333333333333331</v>
      </c>
      <c r="Z166" s="59">
        <v>5.2083333333333336E-2</v>
      </c>
      <c r="AA166">
        <v>0</v>
      </c>
      <c r="AD166">
        <v>11.875</v>
      </c>
      <c r="AE166" s="59">
        <v>0.28125</v>
      </c>
      <c r="AF166" s="59">
        <v>0.33263888888888887</v>
      </c>
      <c r="AG166">
        <v>25</v>
      </c>
    </row>
    <row r="167" spans="1:33" x14ac:dyDescent="0.25">
      <c r="A167" t="s">
        <v>274</v>
      </c>
      <c r="B167" t="s">
        <v>328</v>
      </c>
      <c r="C167" t="s">
        <v>329</v>
      </c>
      <c r="D167">
        <v>5</v>
      </c>
      <c r="E167" t="s">
        <v>330</v>
      </c>
      <c r="F167" t="s">
        <v>134</v>
      </c>
      <c r="G167" t="s">
        <v>218</v>
      </c>
      <c r="H167" t="s">
        <v>188</v>
      </c>
      <c r="I167" t="s">
        <v>189</v>
      </c>
      <c r="J167" t="s">
        <v>258</v>
      </c>
      <c r="K167" t="s">
        <v>318</v>
      </c>
      <c r="L167" t="s">
        <v>319</v>
      </c>
      <c r="N167" t="s">
        <v>320</v>
      </c>
      <c r="O167" t="s">
        <v>134</v>
      </c>
      <c r="Q167" t="s">
        <v>178</v>
      </c>
      <c r="R167" t="s">
        <v>190</v>
      </c>
      <c r="S167" t="s">
        <v>128</v>
      </c>
      <c r="T167" t="s">
        <v>181</v>
      </c>
      <c r="U167" t="s">
        <v>151</v>
      </c>
      <c r="V167" t="s">
        <v>74</v>
      </c>
      <c r="W167" s="58">
        <v>43334</v>
      </c>
      <c r="X167" s="59">
        <v>0.33333333333333331</v>
      </c>
      <c r="Y167" s="59">
        <v>0.5</v>
      </c>
      <c r="Z167" s="59">
        <v>0.16666666666666666</v>
      </c>
      <c r="AA167">
        <v>0</v>
      </c>
      <c r="AB167">
        <v>11.364800000000001</v>
      </c>
      <c r="AC167">
        <v>80</v>
      </c>
      <c r="AD167">
        <v>38</v>
      </c>
      <c r="AE167" s="59">
        <v>0.33333333333333331</v>
      </c>
      <c r="AF167" s="59">
        <v>0.4993055555555555</v>
      </c>
      <c r="AG167">
        <v>25</v>
      </c>
    </row>
    <row r="168" spans="1:33" x14ac:dyDescent="0.25">
      <c r="A168" t="s">
        <v>258</v>
      </c>
      <c r="B168" t="s">
        <v>270</v>
      </c>
      <c r="C168" t="s">
        <v>271</v>
      </c>
      <c r="D168" t="s">
        <v>272</v>
      </c>
      <c r="E168" t="s">
        <v>273</v>
      </c>
      <c r="F168" t="s">
        <v>134</v>
      </c>
      <c r="H168" t="s">
        <v>138</v>
      </c>
      <c r="I168" t="s">
        <v>139</v>
      </c>
      <c r="J168" t="s">
        <v>258</v>
      </c>
      <c r="K168" t="s">
        <v>318</v>
      </c>
      <c r="L168" t="s">
        <v>319</v>
      </c>
      <c r="N168" t="s">
        <v>320</v>
      </c>
      <c r="O168" t="s">
        <v>134</v>
      </c>
      <c r="Q168" t="s">
        <v>178</v>
      </c>
      <c r="R168" t="s">
        <v>140</v>
      </c>
      <c r="S168" t="s">
        <v>128</v>
      </c>
      <c r="T168" t="s">
        <v>181</v>
      </c>
      <c r="U168" t="s">
        <v>129</v>
      </c>
      <c r="V168" t="s">
        <v>75</v>
      </c>
      <c r="W168" s="58">
        <v>43335</v>
      </c>
      <c r="X168" s="59">
        <v>0.33333333333333331</v>
      </c>
      <c r="Y168" s="59">
        <v>0.375</v>
      </c>
      <c r="Z168" s="59">
        <v>4.1666666666666664E-2</v>
      </c>
      <c r="AA168">
        <v>0</v>
      </c>
      <c r="AC168">
        <v>23</v>
      </c>
      <c r="AD168">
        <v>9.5</v>
      </c>
      <c r="AE168" s="59">
        <v>0.33333333333333331</v>
      </c>
      <c r="AF168" s="59">
        <v>0.3743055555555555</v>
      </c>
      <c r="AG168">
        <v>25</v>
      </c>
    </row>
    <row r="169" spans="1:33" x14ac:dyDescent="0.25">
      <c r="A169" t="s">
        <v>258</v>
      </c>
      <c r="B169" t="s">
        <v>262</v>
      </c>
      <c r="C169" t="s">
        <v>263</v>
      </c>
      <c r="D169" t="s">
        <v>264</v>
      </c>
      <c r="E169" t="s">
        <v>265</v>
      </c>
      <c r="F169" t="s">
        <v>134</v>
      </c>
      <c r="H169" t="s">
        <v>132</v>
      </c>
      <c r="I169" t="s">
        <v>133</v>
      </c>
      <c r="J169" t="s">
        <v>258</v>
      </c>
      <c r="K169" t="s">
        <v>318</v>
      </c>
      <c r="L169" t="s">
        <v>319</v>
      </c>
      <c r="N169" t="s">
        <v>320</v>
      </c>
      <c r="O169" t="s">
        <v>134</v>
      </c>
      <c r="Q169" t="s">
        <v>178</v>
      </c>
      <c r="R169" t="s">
        <v>136</v>
      </c>
      <c r="S169" t="s">
        <v>128</v>
      </c>
      <c r="T169" t="s">
        <v>181</v>
      </c>
      <c r="U169" t="s">
        <v>129</v>
      </c>
      <c r="V169" t="s">
        <v>75</v>
      </c>
      <c r="W169" s="58">
        <v>43335</v>
      </c>
      <c r="X169" s="59">
        <v>0.38541666666666669</v>
      </c>
      <c r="Y169" s="59">
        <v>0.42708333333333331</v>
      </c>
      <c r="Z169" s="59">
        <v>4.1666666666666664E-2</v>
      </c>
      <c r="AA169">
        <v>0</v>
      </c>
      <c r="AB169">
        <v>2.3898000000000001</v>
      </c>
      <c r="AC169">
        <v>23</v>
      </c>
      <c r="AD169">
        <v>9.5</v>
      </c>
      <c r="AE169" s="59">
        <v>0.38541666666666669</v>
      </c>
      <c r="AF169" s="59">
        <v>0.42638888888888887</v>
      </c>
      <c r="AG169">
        <v>25</v>
      </c>
    </row>
    <row r="170" spans="1:33" x14ac:dyDescent="0.25">
      <c r="A170" t="s">
        <v>258</v>
      </c>
      <c r="B170" t="s">
        <v>278</v>
      </c>
      <c r="C170" t="s">
        <v>279</v>
      </c>
      <c r="E170" t="s">
        <v>280</v>
      </c>
      <c r="F170" t="s">
        <v>134</v>
      </c>
      <c r="H170" t="s">
        <v>144</v>
      </c>
      <c r="I170" t="s">
        <v>133</v>
      </c>
      <c r="J170" t="s">
        <v>258</v>
      </c>
      <c r="K170" t="s">
        <v>318</v>
      </c>
      <c r="L170" t="s">
        <v>319</v>
      </c>
      <c r="N170" t="s">
        <v>320</v>
      </c>
      <c r="O170" t="s">
        <v>134</v>
      </c>
      <c r="Q170" t="s">
        <v>178</v>
      </c>
      <c r="R170" t="s">
        <v>145</v>
      </c>
      <c r="S170" t="s">
        <v>128</v>
      </c>
      <c r="T170" t="s">
        <v>181</v>
      </c>
      <c r="U170" t="s">
        <v>129</v>
      </c>
      <c r="V170" t="s">
        <v>75</v>
      </c>
      <c r="W170" s="58">
        <v>43335</v>
      </c>
      <c r="X170" s="59">
        <v>0.43055555555555558</v>
      </c>
      <c r="Y170" s="59">
        <v>0.47222222222222227</v>
      </c>
      <c r="Z170" s="59">
        <v>4.1666666666666664E-2</v>
      </c>
      <c r="AA170">
        <v>0</v>
      </c>
      <c r="AB170">
        <v>4.6159999999999997</v>
      </c>
      <c r="AC170">
        <v>23</v>
      </c>
      <c r="AD170">
        <v>9.5</v>
      </c>
      <c r="AE170" s="59">
        <v>0.43055555555555558</v>
      </c>
      <c r="AF170" s="59">
        <v>0.47152777777777777</v>
      </c>
      <c r="AG170">
        <v>25</v>
      </c>
    </row>
    <row r="171" spans="1:33" x14ac:dyDescent="0.25">
      <c r="B171" t="s">
        <v>307</v>
      </c>
      <c r="C171" t="s">
        <v>308</v>
      </c>
      <c r="D171" t="s">
        <v>309</v>
      </c>
      <c r="E171" t="s">
        <v>134</v>
      </c>
      <c r="H171" t="s">
        <v>171</v>
      </c>
      <c r="I171" t="s">
        <v>169</v>
      </c>
      <c r="J171" t="s">
        <v>258</v>
      </c>
      <c r="K171" t="s">
        <v>318</v>
      </c>
      <c r="L171" t="s">
        <v>319</v>
      </c>
      <c r="N171" t="s">
        <v>320</v>
      </c>
      <c r="O171" t="s">
        <v>134</v>
      </c>
      <c r="Q171" t="s">
        <v>178</v>
      </c>
      <c r="R171" t="s">
        <v>172</v>
      </c>
      <c r="S171" t="s">
        <v>128</v>
      </c>
      <c r="T171" t="s">
        <v>181</v>
      </c>
      <c r="U171" t="s">
        <v>129</v>
      </c>
      <c r="V171" t="s">
        <v>75</v>
      </c>
      <c r="W171" s="58">
        <v>43335</v>
      </c>
      <c r="X171" s="59">
        <v>0.67708333333333337</v>
      </c>
      <c r="Y171" s="59">
        <v>0.70833333333333337</v>
      </c>
      <c r="Z171" s="59">
        <v>3.125E-2</v>
      </c>
      <c r="AA171">
        <v>0</v>
      </c>
      <c r="AC171">
        <v>17.25</v>
      </c>
      <c r="AD171">
        <v>7.125</v>
      </c>
      <c r="AE171" s="59">
        <v>0.67708333333333337</v>
      </c>
      <c r="AF171" s="59">
        <v>0.70763888888888893</v>
      </c>
      <c r="AG171">
        <v>25</v>
      </c>
    </row>
    <row r="172" spans="1:33" x14ac:dyDescent="0.25">
      <c r="A172" t="s">
        <v>258</v>
      </c>
      <c r="B172" t="s">
        <v>262</v>
      </c>
      <c r="C172" t="s">
        <v>263</v>
      </c>
      <c r="D172" t="s">
        <v>264</v>
      </c>
      <c r="E172" t="s">
        <v>265</v>
      </c>
      <c r="F172" t="s">
        <v>134</v>
      </c>
      <c r="H172" t="s">
        <v>132</v>
      </c>
      <c r="I172" t="s">
        <v>133</v>
      </c>
      <c r="J172" t="s">
        <v>258</v>
      </c>
      <c r="K172" t="s">
        <v>318</v>
      </c>
      <c r="L172" t="s">
        <v>319</v>
      </c>
      <c r="N172" t="s">
        <v>320</v>
      </c>
      <c r="O172" t="s">
        <v>134</v>
      </c>
      <c r="Q172" t="s">
        <v>178</v>
      </c>
      <c r="R172" t="s">
        <v>136</v>
      </c>
      <c r="S172" t="s">
        <v>128</v>
      </c>
      <c r="T172" t="s">
        <v>181</v>
      </c>
      <c r="U172" t="s">
        <v>129</v>
      </c>
      <c r="V172" t="s">
        <v>75</v>
      </c>
      <c r="W172" s="58">
        <v>43335</v>
      </c>
      <c r="X172" s="59">
        <v>0.72916666666666663</v>
      </c>
      <c r="Y172" s="59">
        <v>0.77083333333333337</v>
      </c>
      <c r="Z172" s="59">
        <v>4.1666666666666664E-2</v>
      </c>
      <c r="AA172">
        <v>0</v>
      </c>
      <c r="AB172">
        <v>8.5579999999999998</v>
      </c>
      <c r="AC172">
        <v>23</v>
      </c>
      <c r="AD172">
        <v>9.5</v>
      </c>
      <c r="AE172" s="59">
        <v>0.72916666666666663</v>
      </c>
      <c r="AF172" s="59">
        <v>0.77013888888888893</v>
      </c>
      <c r="AG172">
        <v>25</v>
      </c>
    </row>
    <row r="173" spans="1:33" x14ac:dyDescent="0.25">
      <c r="A173" t="s">
        <v>274</v>
      </c>
      <c r="B173" t="s">
        <v>321</v>
      </c>
      <c r="C173" t="s">
        <v>322</v>
      </c>
      <c r="D173" t="s">
        <v>323</v>
      </c>
      <c r="E173" t="s">
        <v>324</v>
      </c>
      <c r="F173" t="s">
        <v>134</v>
      </c>
      <c r="H173" t="s">
        <v>184</v>
      </c>
      <c r="I173" t="s">
        <v>147</v>
      </c>
      <c r="J173" t="s">
        <v>258</v>
      </c>
      <c r="K173" t="s">
        <v>318</v>
      </c>
      <c r="L173" t="s">
        <v>319</v>
      </c>
      <c r="N173" t="s">
        <v>320</v>
      </c>
      <c r="O173" t="s">
        <v>134</v>
      </c>
      <c r="Q173" t="s">
        <v>178</v>
      </c>
      <c r="R173" t="s">
        <v>185</v>
      </c>
      <c r="S173" t="s">
        <v>128</v>
      </c>
      <c r="T173" t="s">
        <v>181</v>
      </c>
      <c r="U173" t="s">
        <v>151</v>
      </c>
      <c r="V173" t="s">
        <v>75</v>
      </c>
      <c r="W173" s="58">
        <v>43335</v>
      </c>
      <c r="X173" s="59">
        <v>0.82291666666666663</v>
      </c>
      <c r="Y173" s="59">
        <v>0.85416666666666663</v>
      </c>
      <c r="Z173" s="59">
        <v>3.125E-2</v>
      </c>
      <c r="AA173">
        <v>0</v>
      </c>
      <c r="AB173">
        <v>13.225</v>
      </c>
      <c r="AC173">
        <v>15</v>
      </c>
      <c r="AD173">
        <v>7.125</v>
      </c>
      <c r="AE173" s="59">
        <v>0.82291666666666663</v>
      </c>
      <c r="AF173" s="59">
        <v>0.8534722222222223</v>
      </c>
      <c r="AG173">
        <v>25</v>
      </c>
    </row>
    <row r="174" spans="1:33" x14ac:dyDescent="0.25">
      <c r="B174" t="s">
        <v>331</v>
      </c>
      <c r="C174" t="s">
        <v>332</v>
      </c>
      <c r="E174" t="s">
        <v>333</v>
      </c>
      <c r="F174" t="s">
        <v>134</v>
      </c>
      <c r="G174" t="s">
        <v>218</v>
      </c>
      <c r="H174" t="s">
        <v>177</v>
      </c>
      <c r="I174" t="s">
        <v>158</v>
      </c>
      <c r="J174" t="s">
        <v>258</v>
      </c>
      <c r="K174" t="s">
        <v>318</v>
      </c>
      <c r="L174" t="s">
        <v>319</v>
      </c>
      <c r="N174" t="s">
        <v>320</v>
      </c>
      <c r="O174" t="s">
        <v>134</v>
      </c>
      <c r="Q174" t="s">
        <v>178</v>
      </c>
      <c r="R174" t="s">
        <v>179</v>
      </c>
      <c r="S174" t="s">
        <v>128</v>
      </c>
      <c r="T174" t="s">
        <v>181</v>
      </c>
      <c r="U174" t="s">
        <v>191</v>
      </c>
      <c r="V174" t="s">
        <v>76</v>
      </c>
      <c r="W174" s="58">
        <v>43336</v>
      </c>
      <c r="X174" s="59">
        <v>0.28125</v>
      </c>
      <c r="Y174" s="59">
        <v>0.33333333333333331</v>
      </c>
      <c r="Z174" s="59">
        <v>5.2083333333333336E-2</v>
      </c>
      <c r="AA174">
        <v>0</v>
      </c>
      <c r="AD174">
        <v>11.875</v>
      </c>
      <c r="AE174" s="59">
        <v>0.28125</v>
      </c>
      <c r="AF174" s="59">
        <v>0.33263888888888887</v>
      </c>
      <c r="AG174">
        <v>25</v>
      </c>
    </row>
    <row r="175" spans="1:33" x14ac:dyDescent="0.25">
      <c r="A175" t="s">
        <v>258</v>
      </c>
      <c r="B175" t="s">
        <v>284</v>
      </c>
      <c r="C175" t="s">
        <v>285</v>
      </c>
      <c r="E175" t="s">
        <v>286</v>
      </c>
      <c r="F175" t="s">
        <v>134</v>
      </c>
      <c r="H175" t="s">
        <v>149</v>
      </c>
      <c r="I175" t="s">
        <v>127</v>
      </c>
      <c r="J175" t="s">
        <v>258</v>
      </c>
      <c r="K175" t="s">
        <v>318</v>
      </c>
      <c r="L175" t="s">
        <v>319</v>
      </c>
      <c r="N175" t="s">
        <v>320</v>
      </c>
      <c r="O175" t="s">
        <v>134</v>
      </c>
      <c r="Q175" t="s">
        <v>178</v>
      </c>
      <c r="R175" t="s">
        <v>150</v>
      </c>
      <c r="S175" t="s">
        <v>128</v>
      </c>
      <c r="T175" t="s">
        <v>181</v>
      </c>
      <c r="U175" t="s">
        <v>151</v>
      </c>
      <c r="V175" t="s">
        <v>76</v>
      </c>
      <c r="W175" s="58">
        <v>43336</v>
      </c>
      <c r="X175" s="59">
        <v>0.33333333333333331</v>
      </c>
      <c r="Y175" s="59">
        <v>0.39583333333333331</v>
      </c>
      <c r="Z175" s="59">
        <v>6.25E-2</v>
      </c>
      <c r="AA175">
        <v>0</v>
      </c>
      <c r="AB175">
        <v>9.4466000000000001</v>
      </c>
      <c r="AC175">
        <v>30</v>
      </c>
      <c r="AD175">
        <v>14.25</v>
      </c>
      <c r="AE175" s="59">
        <v>0.33333333333333331</v>
      </c>
      <c r="AF175" s="59">
        <v>0.39513888888888887</v>
      </c>
      <c r="AG175">
        <v>25</v>
      </c>
    </row>
    <row r="176" spans="1:33" x14ac:dyDescent="0.25">
      <c r="A176" t="s">
        <v>258</v>
      </c>
      <c r="B176" t="s">
        <v>287</v>
      </c>
      <c r="C176" t="s">
        <v>288</v>
      </c>
      <c r="E176" t="s">
        <v>289</v>
      </c>
      <c r="F176" t="s">
        <v>134</v>
      </c>
      <c r="H176" t="s">
        <v>152</v>
      </c>
      <c r="I176" t="s">
        <v>127</v>
      </c>
      <c r="J176" t="s">
        <v>258</v>
      </c>
      <c r="K176" t="s">
        <v>318</v>
      </c>
      <c r="L176" t="s">
        <v>319</v>
      </c>
      <c r="N176" t="s">
        <v>320</v>
      </c>
      <c r="O176" t="s">
        <v>134</v>
      </c>
      <c r="Q176" t="s">
        <v>178</v>
      </c>
      <c r="R176" t="s">
        <v>153</v>
      </c>
      <c r="S176" t="s">
        <v>128</v>
      </c>
      <c r="T176" t="s">
        <v>181</v>
      </c>
      <c r="U176" t="s">
        <v>151</v>
      </c>
      <c r="V176" t="s">
        <v>76</v>
      </c>
      <c r="W176" s="58">
        <v>43336</v>
      </c>
      <c r="X176" s="59">
        <v>0.39583333333333331</v>
      </c>
      <c r="Y176" s="59">
        <v>0.45833333333333331</v>
      </c>
      <c r="Z176" s="59">
        <v>6.25E-2</v>
      </c>
      <c r="AA176">
        <v>0</v>
      </c>
      <c r="AB176">
        <v>0.27279999999999999</v>
      </c>
      <c r="AC176">
        <v>30</v>
      </c>
      <c r="AD176">
        <v>14.25</v>
      </c>
      <c r="AE176" s="59">
        <v>0.39583333333333331</v>
      </c>
      <c r="AF176" s="59">
        <v>0.45763888888888887</v>
      </c>
      <c r="AG176">
        <v>25</v>
      </c>
    </row>
    <row r="177" spans="1:33" x14ac:dyDescent="0.25">
      <c r="B177" t="s">
        <v>331</v>
      </c>
      <c r="C177" t="s">
        <v>332</v>
      </c>
      <c r="E177" t="s">
        <v>333</v>
      </c>
      <c r="F177" t="s">
        <v>134</v>
      </c>
      <c r="G177" t="s">
        <v>218</v>
      </c>
      <c r="H177" t="s">
        <v>177</v>
      </c>
      <c r="I177" t="s">
        <v>158</v>
      </c>
      <c r="J177" t="s">
        <v>258</v>
      </c>
      <c r="K177" t="s">
        <v>318</v>
      </c>
      <c r="L177" t="s">
        <v>319</v>
      </c>
      <c r="N177" t="s">
        <v>320</v>
      </c>
      <c r="O177" t="s">
        <v>134</v>
      </c>
      <c r="Q177" t="s">
        <v>178</v>
      </c>
      <c r="R177" t="s">
        <v>179</v>
      </c>
      <c r="S177" t="s">
        <v>128</v>
      </c>
      <c r="T177" t="s">
        <v>181</v>
      </c>
      <c r="U177" t="s">
        <v>191</v>
      </c>
      <c r="V177" t="s">
        <v>76</v>
      </c>
      <c r="W177" s="58">
        <v>43336</v>
      </c>
      <c r="X177" s="59">
        <v>0.45833333333333331</v>
      </c>
      <c r="Y177" s="59">
        <v>0.54166666666666663</v>
      </c>
      <c r="Z177" s="59">
        <v>8.3333333333333329E-2</v>
      </c>
      <c r="AA177">
        <v>0</v>
      </c>
      <c r="AB177">
        <v>9.9545999999999992</v>
      </c>
      <c r="AD177">
        <v>19</v>
      </c>
      <c r="AE177" s="59">
        <v>0.45833333333333331</v>
      </c>
      <c r="AF177" s="59">
        <v>0.54097222222222219</v>
      </c>
      <c r="AG177">
        <v>25</v>
      </c>
    </row>
    <row r="178" spans="1:33" x14ac:dyDescent="0.25">
      <c r="A178" t="s">
        <v>258</v>
      </c>
      <c r="B178" t="s">
        <v>278</v>
      </c>
      <c r="C178" t="s">
        <v>279</v>
      </c>
      <c r="E178" t="s">
        <v>280</v>
      </c>
      <c r="F178" t="s">
        <v>134</v>
      </c>
      <c r="H178" t="s">
        <v>144</v>
      </c>
      <c r="I178" t="s">
        <v>133</v>
      </c>
      <c r="J178" t="s">
        <v>258</v>
      </c>
      <c r="K178" t="s">
        <v>318</v>
      </c>
      <c r="L178" t="s">
        <v>319</v>
      </c>
      <c r="N178" t="s">
        <v>320</v>
      </c>
      <c r="O178" t="s">
        <v>134</v>
      </c>
      <c r="Q178" t="s">
        <v>178</v>
      </c>
      <c r="R178" t="s">
        <v>145</v>
      </c>
      <c r="S178" t="s">
        <v>128</v>
      </c>
      <c r="T178" t="s">
        <v>181</v>
      </c>
      <c r="U178" t="s">
        <v>129</v>
      </c>
      <c r="V178" t="s">
        <v>76</v>
      </c>
      <c r="W178" s="58">
        <v>43336</v>
      </c>
      <c r="X178" s="59">
        <v>0.55208333333333337</v>
      </c>
      <c r="Y178" s="59">
        <v>0.59375</v>
      </c>
      <c r="Z178" s="59">
        <v>4.1666666666666664E-2</v>
      </c>
      <c r="AA178">
        <v>0</v>
      </c>
      <c r="AB178">
        <v>4.7397999999999998</v>
      </c>
      <c r="AC178">
        <v>23</v>
      </c>
      <c r="AD178">
        <v>9.5</v>
      </c>
      <c r="AE178" s="59">
        <v>0.55208333333333337</v>
      </c>
      <c r="AF178" s="59">
        <v>0.59305555555555556</v>
      </c>
      <c r="AG178">
        <v>25</v>
      </c>
    </row>
    <row r="179" spans="1:33" x14ac:dyDescent="0.25">
      <c r="B179" t="s">
        <v>307</v>
      </c>
      <c r="C179" t="s">
        <v>308</v>
      </c>
      <c r="D179" t="s">
        <v>309</v>
      </c>
      <c r="E179" t="s">
        <v>134</v>
      </c>
      <c r="H179" t="s">
        <v>171</v>
      </c>
      <c r="I179" t="s">
        <v>169</v>
      </c>
      <c r="J179" t="s">
        <v>258</v>
      </c>
      <c r="K179" t="s">
        <v>318</v>
      </c>
      <c r="L179" t="s">
        <v>319</v>
      </c>
      <c r="N179" t="s">
        <v>320</v>
      </c>
      <c r="O179" t="s">
        <v>134</v>
      </c>
      <c r="Q179" t="s">
        <v>178</v>
      </c>
      <c r="R179" t="s">
        <v>172</v>
      </c>
      <c r="S179" t="s">
        <v>128</v>
      </c>
      <c r="T179" t="s">
        <v>181</v>
      </c>
      <c r="U179" t="s">
        <v>129</v>
      </c>
      <c r="V179" t="s">
        <v>76</v>
      </c>
      <c r="W179" s="58">
        <v>43336</v>
      </c>
      <c r="X179" s="59">
        <v>0.66666666666666663</v>
      </c>
      <c r="Y179" s="59">
        <v>0.69791666666666663</v>
      </c>
      <c r="Z179" s="59">
        <v>3.125E-2</v>
      </c>
      <c r="AA179">
        <v>0</v>
      </c>
      <c r="AB179">
        <v>6.3272000000000004</v>
      </c>
      <c r="AC179">
        <v>17.25</v>
      </c>
      <c r="AD179">
        <v>7.125</v>
      </c>
      <c r="AE179" s="59">
        <v>0.66666666666666663</v>
      </c>
      <c r="AF179" s="59">
        <v>0.6972222222222223</v>
      </c>
      <c r="AG179">
        <v>25</v>
      </c>
    </row>
    <row r="180" spans="1:33" x14ac:dyDescent="0.25">
      <c r="A180" t="s">
        <v>258</v>
      </c>
      <c r="B180" t="s">
        <v>278</v>
      </c>
      <c r="C180" t="s">
        <v>279</v>
      </c>
      <c r="E180" t="s">
        <v>280</v>
      </c>
      <c r="F180" t="s">
        <v>134</v>
      </c>
      <c r="H180" t="s">
        <v>144</v>
      </c>
      <c r="I180" t="s">
        <v>133</v>
      </c>
      <c r="J180" t="s">
        <v>258</v>
      </c>
      <c r="K180" t="s">
        <v>318</v>
      </c>
      <c r="L180" t="s">
        <v>319</v>
      </c>
      <c r="N180" t="s">
        <v>320</v>
      </c>
      <c r="O180" t="s">
        <v>134</v>
      </c>
      <c r="Q180" t="s">
        <v>178</v>
      </c>
      <c r="R180" t="s">
        <v>145</v>
      </c>
      <c r="S180" t="s">
        <v>128</v>
      </c>
      <c r="T180" t="s">
        <v>181</v>
      </c>
      <c r="U180" t="s">
        <v>129</v>
      </c>
      <c r="V180" t="s">
        <v>76</v>
      </c>
      <c r="W180" s="58">
        <v>43336</v>
      </c>
      <c r="X180" s="59">
        <v>0.70833333333333337</v>
      </c>
      <c r="Y180" s="59">
        <v>0.75</v>
      </c>
      <c r="Z180" s="59">
        <v>4.1666666666666664E-2</v>
      </c>
      <c r="AA180">
        <v>0</v>
      </c>
      <c r="AB180">
        <v>6.3113999999999999</v>
      </c>
      <c r="AC180">
        <v>23</v>
      </c>
      <c r="AD180">
        <v>9.5</v>
      </c>
      <c r="AE180" s="59">
        <v>0.70833333333333337</v>
      </c>
      <c r="AF180" s="59">
        <v>0.74930555555555556</v>
      </c>
      <c r="AG180">
        <v>25</v>
      </c>
    </row>
    <row r="181" spans="1:33" x14ac:dyDescent="0.25">
      <c r="A181" t="s">
        <v>258</v>
      </c>
      <c r="B181" t="s">
        <v>270</v>
      </c>
      <c r="C181" t="s">
        <v>271</v>
      </c>
      <c r="D181" t="s">
        <v>272</v>
      </c>
      <c r="E181" t="s">
        <v>273</v>
      </c>
      <c r="F181" t="s">
        <v>134</v>
      </c>
      <c r="H181" t="s">
        <v>138</v>
      </c>
      <c r="I181" t="s">
        <v>139</v>
      </c>
      <c r="J181" t="s">
        <v>258</v>
      </c>
      <c r="K181" t="s">
        <v>318</v>
      </c>
      <c r="L181" t="s">
        <v>319</v>
      </c>
      <c r="N181" t="s">
        <v>320</v>
      </c>
      <c r="O181" t="s">
        <v>134</v>
      </c>
      <c r="Q181" t="s">
        <v>178</v>
      </c>
      <c r="R181" t="s">
        <v>140</v>
      </c>
      <c r="S181" t="s">
        <v>128</v>
      </c>
      <c r="T181" t="s">
        <v>181</v>
      </c>
      <c r="U181" t="s">
        <v>129</v>
      </c>
      <c r="V181" t="s">
        <v>76</v>
      </c>
      <c r="W181" s="58">
        <v>43336</v>
      </c>
      <c r="X181" s="59">
        <v>0.76041666666666663</v>
      </c>
      <c r="Y181" s="59">
        <v>0.80208333333333337</v>
      </c>
      <c r="Z181" s="59">
        <v>4.1666666666666664E-2</v>
      </c>
      <c r="AA181">
        <v>0</v>
      </c>
      <c r="AB181">
        <v>2.2465999999999999</v>
      </c>
      <c r="AC181">
        <v>23</v>
      </c>
      <c r="AD181">
        <v>9.5</v>
      </c>
      <c r="AE181" s="59">
        <v>0.76041666666666663</v>
      </c>
      <c r="AF181" s="59">
        <v>0.80138888888888893</v>
      </c>
      <c r="AG181">
        <v>25</v>
      </c>
    </row>
    <row r="182" spans="1:33" x14ac:dyDescent="0.25">
      <c r="A182" t="s">
        <v>274</v>
      </c>
      <c r="B182" t="s">
        <v>275</v>
      </c>
      <c r="C182" t="s">
        <v>276</v>
      </c>
      <c r="E182" t="s">
        <v>277</v>
      </c>
      <c r="F182" t="s">
        <v>134</v>
      </c>
      <c r="H182" t="s">
        <v>141</v>
      </c>
      <c r="I182" t="s">
        <v>142</v>
      </c>
      <c r="J182" t="s">
        <v>258</v>
      </c>
      <c r="K182" t="s">
        <v>318</v>
      </c>
      <c r="L182" t="s">
        <v>319</v>
      </c>
      <c r="N182" t="s">
        <v>320</v>
      </c>
      <c r="O182" t="s">
        <v>134</v>
      </c>
      <c r="Q182" t="s">
        <v>178</v>
      </c>
      <c r="R182" t="s">
        <v>143</v>
      </c>
      <c r="S182" t="s">
        <v>128</v>
      </c>
      <c r="T182" t="s">
        <v>181</v>
      </c>
      <c r="U182" t="s">
        <v>129</v>
      </c>
      <c r="V182" t="s">
        <v>76</v>
      </c>
      <c r="W182" s="58">
        <v>43336</v>
      </c>
      <c r="X182" s="59">
        <v>0.8125</v>
      </c>
      <c r="Y182" s="59">
        <v>0.83333333333333337</v>
      </c>
      <c r="Z182" s="59">
        <v>2.0833333333333332E-2</v>
      </c>
      <c r="AA182">
        <v>0</v>
      </c>
      <c r="AB182">
        <v>0.9</v>
      </c>
      <c r="AC182">
        <v>11.5</v>
      </c>
      <c r="AD182">
        <v>4.75</v>
      </c>
      <c r="AE182" s="59">
        <v>0.8125</v>
      </c>
      <c r="AF182" s="59">
        <v>0.83263888888888893</v>
      </c>
      <c r="AG182">
        <v>25</v>
      </c>
    </row>
    <row r="183" spans="1:33" x14ac:dyDescent="0.25">
      <c r="A183" t="s">
        <v>258</v>
      </c>
      <c r="B183" t="s">
        <v>262</v>
      </c>
      <c r="C183" t="s">
        <v>263</v>
      </c>
      <c r="D183" t="s">
        <v>264</v>
      </c>
      <c r="E183" t="s">
        <v>265</v>
      </c>
      <c r="F183" t="s">
        <v>134</v>
      </c>
      <c r="H183" t="s">
        <v>132</v>
      </c>
      <c r="I183" t="s">
        <v>133</v>
      </c>
      <c r="J183" t="s">
        <v>258</v>
      </c>
      <c r="K183" t="s">
        <v>318</v>
      </c>
      <c r="L183" t="s">
        <v>319</v>
      </c>
      <c r="N183" t="s">
        <v>320</v>
      </c>
      <c r="O183" t="s">
        <v>134</v>
      </c>
      <c r="Q183" t="s">
        <v>178</v>
      </c>
      <c r="R183" t="s">
        <v>136</v>
      </c>
      <c r="S183" t="s">
        <v>128</v>
      </c>
      <c r="T183" t="s">
        <v>181</v>
      </c>
      <c r="U183" t="s">
        <v>129</v>
      </c>
      <c r="V183" t="s">
        <v>71</v>
      </c>
      <c r="W183" s="58">
        <v>43338</v>
      </c>
      <c r="X183" s="59">
        <v>0.32291666666666669</v>
      </c>
      <c r="Y183" s="59">
        <v>0.36458333333333331</v>
      </c>
      <c r="Z183" s="59">
        <v>4.1666666666666664E-2</v>
      </c>
      <c r="AA183">
        <v>3</v>
      </c>
      <c r="AC183">
        <v>23</v>
      </c>
      <c r="AD183">
        <v>10.5</v>
      </c>
      <c r="AE183" s="59">
        <v>0.32291666666666669</v>
      </c>
      <c r="AF183" s="59">
        <v>0.36388888888888887</v>
      </c>
      <c r="AG183">
        <v>25</v>
      </c>
    </row>
    <row r="184" spans="1:33" x14ac:dyDescent="0.25">
      <c r="A184" t="s">
        <v>274</v>
      </c>
      <c r="B184" t="s">
        <v>328</v>
      </c>
      <c r="C184" t="s">
        <v>329</v>
      </c>
      <c r="D184">
        <v>5</v>
      </c>
      <c r="E184" t="s">
        <v>330</v>
      </c>
      <c r="F184" t="s">
        <v>134</v>
      </c>
      <c r="G184" t="s">
        <v>218</v>
      </c>
      <c r="H184" t="s">
        <v>188</v>
      </c>
      <c r="I184" t="s">
        <v>189</v>
      </c>
      <c r="J184" t="s">
        <v>258</v>
      </c>
      <c r="K184" t="s">
        <v>318</v>
      </c>
      <c r="L184" t="s">
        <v>319</v>
      </c>
      <c r="N184" t="s">
        <v>320</v>
      </c>
      <c r="O184" t="s">
        <v>134</v>
      </c>
      <c r="Q184" t="s">
        <v>178</v>
      </c>
      <c r="R184" t="s">
        <v>190</v>
      </c>
      <c r="S184" t="s">
        <v>128</v>
      </c>
      <c r="T184" t="s">
        <v>181</v>
      </c>
      <c r="U184" t="s">
        <v>151</v>
      </c>
      <c r="V184" t="s">
        <v>71</v>
      </c>
      <c r="W184" s="58">
        <v>43338</v>
      </c>
      <c r="X184" s="59">
        <v>0.375</v>
      </c>
      <c r="Y184" s="59">
        <v>0.45833333333333331</v>
      </c>
      <c r="Z184" s="59">
        <v>8.3333333333333329E-2</v>
      </c>
      <c r="AA184">
        <v>0</v>
      </c>
      <c r="AB184">
        <v>10.639799999999999</v>
      </c>
      <c r="AC184">
        <v>40</v>
      </c>
      <c r="AD184">
        <v>21</v>
      </c>
      <c r="AE184" s="59">
        <v>0.375</v>
      </c>
      <c r="AF184" s="59">
        <v>0.45763888888888887</v>
      </c>
      <c r="AG184">
        <v>25</v>
      </c>
    </row>
    <row r="185" spans="1:33" x14ac:dyDescent="0.25">
      <c r="A185" t="s">
        <v>258</v>
      </c>
      <c r="B185" t="s">
        <v>262</v>
      </c>
      <c r="C185" t="s">
        <v>263</v>
      </c>
      <c r="D185" t="s">
        <v>264</v>
      </c>
      <c r="E185" t="s">
        <v>265</v>
      </c>
      <c r="F185" t="s">
        <v>134</v>
      </c>
      <c r="H185" t="s">
        <v>132</v>
      </c>
      <c r="I185" t="s">
        <v>133</v>
      </c>
      <c r="J185" t="s">
        <v>258</v>
      </c>
      <c r="K185" t="s">
        <v>318</v>
      </c>
      <c r="L185" t="s">
        <v>319</v>
      </c>
      <c r="N185" t="s">
        <v>320</v>
      </c>
      <c r="O185" t="s">
        <v>134</v>
      </c>
      <c r="Q185" t="s">
        <v>178</v>
      </c>
      <c r="R185" t="s">
        <v>136</v>
      </c>
      <c r="S185" t="s">
        <v>128</v>
      </c>
      <c r="T185" t="s">
        <v>181</v>
      </c>
      <c r="U185" t="s">
        <v>129</v>
      </c>
      <c r="V185" t="s">
        <v>71</v>
      </c>
      <c r="W185" s="58">
        <v>43338</v>
      </c>
      <c r="X185" s="59">
        <v>0.72916666666666663</v>
      </c>
      <c r="Y185" s="59">
        <v>0.77083333333333337</v>
      </c>
      <c r="Z185" s="59">
        <v>4.1666666666666664E-2</v>
      </c>
      <c r="AA185">
        <v>0</v>
      </c>
      <c r="AC185">
        <v>23</v>
      </c>
      <c r="AD185">
        <v>10.5</v>
      </c>
      <c r="AE185" s="59">
        <v>0.72916666666666663</v>
      </c>
      <c r="AF185" s="59">
        <v>0.77013888888888893</v>
      </c>
      <c r="AG185">
        <v>25</v>
      </c>
    </row>
    <row r="186" spans="1:33" x14ac:dyDescent="0.25">
      <c r="A186" t="s">
        <v>258</v>
      </c>
      <c r="B186" t="s">
        <v>325</v>
      </c>
      <c r="C186" t="s">
        <v>326</v>
      </c>
      <c r="E186" t="s">
        <v>327</v>
      </c>
      <c r="F186" t="s">
        <v>134</v>
      </c>
      <c r="H186" t="s">
        <v>182</v>
      </c>
      <c r="I186" t="s">
        <v>147</v>
      </c>
      <c r="J186" t="s">
        <v>258</v>
      </c>
      <c r="K186" t="s">
        <v>318</v>
      </c>
      <c r="L186" t="s">
        <v>319</v>
      </c>
      <c r="N186" t="s">
        <v>320</v>
      </c>
      <c r="O186" t="s">
        <v>134</v>
      </c>
      <c r="Q186" t="s">
        <v>178</v>
      </c>
      <c r="R186" t="s">
        <v>183</v>
      </c>
      <c r="S186" t="s">
        <v>128</v>
      </c>
      <c r="T186" t="s">
        <v>181</v>
      </c>
      <c r="U186" t="s">
        <v>129</v>
      </c>
      <c r="V186" t="s">
        <v>72</v>
      </c>
      <c r="W186" s="58">
        <v>43339</v>
      </c>
      <c r="X186" s="59">
        <v>0.36458333333333331</v>
      </c>
      <c r="Y186" s="59">
        <v>0.40625</v>
      </c>
      <c r="Z186" s="59">
        <v>4.1666666666666664E-2</v>
      </c>
      <c r="AA186">
        <v>0</v>
      </c>
      <c r="AC186">
        <v>23</v>
      </c>
      <c r="AD186">
        <v>9.5</v>
      </c>
      <c r="AE186" s="59">
        <v>0.36458333333333331</v>
      </c>
      <c r="AF186" s="59">
        <v>0.4055555555555555</v>
      </c>
      <c r="AG186">
        <v>25</v>
      </c>
    </row>
    <row r="187" spans="1:33" x14ac:dyDescent="0.25">
      <c r="A187" t="s">
        <v>274</v>
      </c>
      <c r="B187" t="s">
        <v>321</v>
      </c>
      <c r="C187" t="s">
        <v>322</v>
      </c>
      <c r="D187" t="s">
        <v>323</v>
      </c>
      <c r="E187" t="s">
        <v>324</v>
      </c>
      <c r="F187" t="s">
        <v>134</v>
      </c>
      <c r="H187" t="s">
        <v>184</v>
      </c>
      <c r="I187" t="s">
        <v>147</v>
      </c>
      <c r="J187" t="s">
        <v>258</v>
      </c>
      <c r="K187" t="s">
        <v>318</v>
      </c>
      <c r="L187" t="s">
        <v>319</v>
      </c>
      <c r="N187" t="s">
        <v>320</v>
      </c>
      <c r="O187" t="s">
        <v>134</v>
      </c>
      <c r="Q187" t="s">
        <v>178</v>
      </c>
      <c r="R187" t="s">
        <v>185</v>
      </c>
      <c r="S187" t="s">
        <v>128</v>
      </c>
      <c r="T187" t="s">
        <v>181</v>
      </c>
      <c r="U187" t="s">
        <v>151</v>
      </c>
      <c r="V187" t="s">
        <v>72</v>
      </c>
      <c r="W187" s="58">
        <v>43339</v>
      </c>
      <c r="X187" s="59">
        <v>0.41666666666666669</v>
      </c>
      <c r="Y187" s="59">
        <v>0.45833333333333331</v>
      </c>
      <c r="Z187" s="59">
        <v>4.1666666666666664E-2</v>
      </c>
      <c r="AA187">
        <v>0</v>
      </c>
      <c r="AB187">
        <v>2.2181999999999999</v>
      </c>
      <c r="AC187">
        <v>20</v>
      </c>
      <c r="AD187">
        <v>9.5</v>
      </c>
      <c r="AE187" s="59">
        <v>0.41666666666666669</v>
      </c>
      <c r="AF187" s="59">
        <v>0.45763888888888887</v>
      </c>
      <c r="AG187">
        <v>25</v>
      </c>
    </row>
    <row r="188" spans="1:33" x14ac:dyDescent="0.25">
      <c r="A188" t="s">
        <v>258</v>
      </c>
      <c r="B188" t="s">
        <v>278</v>
      </c>
      <c r="C188" t="s">
        <v>279</v>
      </c>
      <c r="E188" t="s">
        <v>280</v>
      </c>
      <c r="F188" t="s">
        <v>134</v>
      </c>
      <c r="H188" t="s">
        <v>144</v>
      </c>
      <c r="I188" t="s">
        <v>133</v>
      </c>
      <c r="J188" t="s">
        <v>258</v>
      </c>
      <c r="K188" t="s">
        <v>318</v>
      </c>
      <c r="L188" t="s">
        <v>319</v>
      </c>
      <c r="N188" t="s">
        <v>320</v>
      </c>
      <c r="O188" t="s">
        <v>134</v>
      </c>
      <c r="Q188" t="s">
        <v>178</v>
      </c>
      <c r="R188" t="s">
        <v>145</v>
      </c>
      <c r="S188" t="s">
        <v>128</v>
      </c>
      <c r="T188" t="s">
        <v>181</v>
      </c>
      <c r="U188" t="s">
        <v>129</v>
      </c>
      <c r="V188" t="s">
        <v>72</v>
      </c>
      <c r="W188" s="58">
        <v>43339</v>
      </c>
      <c r="X188" s="59">
        <v>0.70833333333333337</v>
      </c>
      <c r="Y188" s="59">
        <v>0.75</v>
      </c>
      <c r="Z188" s="59">
        <v>4.1666666666666664E-2</v>
      </c>
      <c r="AA188">
        <v>0</v>
      </c>
      <c r="AC188">
        <v>23</v>
      </c>
      <c r="AD188">
        <v>9.5</v>
      </c>
      <c r="AE188" s="59">
        <v>0.70833333333333337</v>
      </c>
      <c r="AF188" s="59">
        <v>0.7597222222222223</v>
      </c>
      <c r="AG188">
        <v>25</v>
      </c>
    </row>
    <row r="189" spans="1:33" x14ac:dyDescent="0.25">
      <c r="A189" t="s">
        <v>258</v>
      </c>
      <c r="B189" t="s">
        <v>270</v>
      </c>
      <c r="C189" t="s">
        <v>271</v>
      </c>
      <c r="D189" t="s">
        <v>272</v>
      </c>
      <c r="E189" t="s">
        <v>273</v>
      </c>
      <c r="F189" t="s">
        <v>134</v>
      </c>
      <c r="H189" t="s">
        <v>138</v>
      </c>
      <c r="I189" t="s">
        <v>139</v>
      </c>
      <c r="J189" t="s">
        <v>258</v>
      </c>
      <c r="K189" t="s">
        <v>318</v>
      </c>
      <c r="L189" t="s">
        <v>319</v>
      </c>
      <c r="N189" t="s">
        <v>320</v>
      </c>
      <c r="O189" t="s">
        <v>134</v>
      </c>
      <c r="Q189" t="s">
        <v>178</v>
      </c>
      <c r="R189" t="s">
        <v>140</v>
      </c>
      <c r="S189" t="s">
        <v>128</v>
      </c>
      <c r="T189" t="s">
        <v>181</v>
      </c>
      <c r="U189" t="s">
        <v>129</v>
      </c>
      <c r="V189" t="s">
        <v>72</v>
      </c>
      <c r="W189" s="58">
        <v>43339</v>
      </c>
      <c r="X189" s="59">
        <v>0.76041666666666663</v>
      </c>
      <c r="Y189" s="59">
        <v>0.80208333333333337</v>
      </c>
      <c r="Z189" s="59">
        <v>4.1666666666666664E-2</v>
      </c>
      <c r="AA189">
        <v>0</v>
      </c>
      <c r="AB189">
        <v>2.2465999999999999</v>
      </c>
      <c r="AC189">
        <v>23</v>
      </c>
      <c r="AD189">
        <v>9.5</v>
      </c>
      <c r="AE189" s="59">
        <v>0.76041666666666663</v>
      </c>
      <c r="AF189" s="59">
        <v>0.80138888888888893</v>
      </c>
      <c r="AG189">
        <v>25</v>
      </c>
    </row>
    <row r="190" spans="1:33" x14ac:dyDescent="0.25">
      <c r="A190" t="s">
        <v>274</v>
      </c>
      <c r="B190" t="s">
        <v>321</v>
      </c>
      <c r="C190" t="s">
        <v>322</v>
      </c>
      <c r="D190" t="s">
        <v>323</v>
      </c>
      <c r="E190" t="s">
        <v>324</v>
      </c>
      <c r="F190" t="s">
        <v>134</v>
      </c>
      <c r="H190" t="s">
        <v>184</v>
      </c>
      <c r="I190" t="s">
        <v>147</v>
      </c>
      <c r="J190" t="s">
        <v>258</v>
      </c>
      <c r="K190" t="s">
        <v>318</v>
      </c>
      <c r="L190" t="s">
        <v>319</v>
      </c>
      <c r="N190" t="s">
        <v>320</v>
      </c>
      <c r="O190" t="s">
        <v>134</v>
      </c>
      <c r="Q190" t="s">
        <v>178</v>
      </c>
      <c r="R190" t="s">
        <v>185</v>
      </c>
      <c r="S190" t="s">
        <v>128</v>
      </c>
      <c r="T190" t="s">
        <v>181</v>
      </c>
      <c r="U190" t="s">
        <v>151</v>
      </c>
      <c r="V190" t="s">
        <v>72</v>
      </c>
      <c r="W190" s="58">
        <v>43339</v>
      </c>
      <c r="X190" s="59">
        <v>0.83333333333333337</v>
      </c>
      <c r="Y190" s="59">
        <v>0.86458333333333337</v>
      </c>
      <c r="Z190" s="59">
        <v>3.125E-2</v>
      </c>
      <c r="AA190">
        <v>0</v>
      </c>
      <c r="AB190">
        <v>10.6806</v>
      </c>
      <c r="AC190">
        <v>15</v>
      </c>
      <c r="AD190">
        <v>7.125</v>
      </c>
      <c r="AE190" s="59">
        <v>0.83333333333333337</v>
      </c>
      <c r="AF190" s="59">
        <v>0.86388888888888893</v>
      </c>
      <c r="AG190">
        <v>25</v>
      </c>
    </row>
    <row r="191" spans="1:33" x14ac:dyDescent="0.25">
      <c r="B191" t="s">
        <v>331</v>
      </c>
      <c r="C191" t="s">
        <v>332</v>
      </c>
      <c r="E191" t="s">
        <v>333</v>
      </c>
      <c r="F191" t="s">
        <v>134</v>
      </c>
      <c r="G191" t="s">
        <v>218</v>
      </c>
      <c r="H191" t="s">
        <v>177</v>
      </c>
      <c r="I191" t="s">
        <v>158</v>
      </c>
      <c r="J191" t="s">
        <v>258</v>
      </c>
      <c r="K191" t="s">
        <v>318</v>
      </c>
      <c r="L191" t="s">
        <v>319</v>
      </c>
      <c r="N191" t="s">
        <v>320</v>
      </c>
      <c r="O191" t="s">
        <v>134</v>
      </c>
      <c r="Q191" t="s">
        <v>178</v>
      </c>
      <c r="R191" t="s">
        <v>179</v>
      </c>
      <c r="S191" t="s">
        <v>128</v>
      </c>
      <c r="T191" t="s">
        <v>181</v>
      </c>
      <c r="U191" t="s">
        <v>191</v>
      </c>
      <c r="V191" t="s">
        <v>73</v>
      </c>
      <c r="W191" s="58">
        <v>43340</v>
      </c>
      <c r="X191" s="59">
        <v>0.29166666666666669</v>
      </c>
      <c r="Y191" s="59">
        <v>0.33333333333333331</v>
      </c>
      <c r="Z191" s="59">
        <v>4.1666666666666664E-2</v>
      </c>
      <c r="AA191">
        <v>0</v>
      </c>
      <c r="AC191">
        <v>0</v>
      </c>
      <c r="AD191">
        <v>9.5</v>
      </c>
      <c r="AE191" s="59">
        <v>0.29166666666666669</v>
      </c>
      <c r="AF191" s="59">
        <v>0.33263888888888887</v>
      </c>
      <c r="AG191">
        <v>25</v>
      </c>
    </row>
    <row r="192" spans="1:33" x14ac:dyDescent="0.25">
      <c r="A192" t="s">
        <v>258</v>
      </c>
      <c r="B192" t="s">
        <v>270</v>
      </c>
      <c r="C192" t="s">
        <v>271</v>
      </c>
      <c r="D192" t="s">
        <v>272</v>
      </c>
      <c r="E192" t="s">
        <v>273</v>
      </c>
      <c r="F192" t="s">
        <v>134</v>
      </c>
      <c r="H192" t="s">
        <v>138</v>
      </c>
      <c r="I192" t="s">
        <v>139</v>
      </c>
      <c r="J192" t="s">
        <v>258</v>
      </c>
      <c r="K192" t="s">
        <v>318</v>
      </c>
      <c r="L192" t="s">
        <v>319</v>
      </c>
      <c r="N192" t="s">
        <v>320</v>
      </c>
      <c r="O192" t="s">
        <v>134</v>
      </c>
      <c r="Q192" t="s">
        <v>178</v>
      </c>
      <c r="R192" t="s">
        <v>140</v>
      </c>
      <c r="S192" t="s">
        <v>128</v>
      </c>
      <c r="T192" t="s">
        <v>181</v>
      </c>
      <c r="U192" t="s">
        <v>129</v>
      </c>
      <c r="V192" t="s">
        <v>73</v>
      </c>
      <c r="W192" s="58">
        <v>43340</v>
      </c>
      <c r="X192" s="59">
        <v>0.33333333333333331</v>
      </c>
      <c r="Y192" s="59">
        <v>0.375</v>
      </c>
      <c r="Z192" s="59">
        <v>4.1666666666666664E-2</v>
      </c>
      <c r="AA192">
        <v>0</v>
      </c>
      <c r="AB192">
        <v>3.891</v>
      </c>
      <c r="AC192">
        <v>23</v>
      </c>
      <c r="AD192">
        <v>9.5</v>
      </c>
      <c r="AE192" s="59">
        <v>0.33333333333333331</v>
      </c>
      <c r="AF192" s="59">
        <v>0.3743055555555555</v>
      </c>
      <c r="AG192">
        <v>25</v>
      </c>
    </row>
    <row r="193" spans="1:33" x14ac:dyDescent="0.25">
      <c r="A193" t="s">
        <v>258</v>
      </c>
      <c r="B193" t="s">
        <v>278</v>
      </c>
      <c r="C193" t="s">
        <v>279</v>
      </c>
      <c r="E193" t="s">
        <v>280</v>
      </c>
      <c r="F193" t="s">
        <v>134</v>
      </c>
      <c r="H193" t="s">
        <v>144</v>
      </c>
      <c r="I193" t="s">
        <v>133</v>
      </c>
      <c r="J193" t="s">
        <v>258</v>
      </c>
      <c r="K193" t="s">
        <v>318</v>
      </c>
      <c r="L193" t="s">
        <v>319</v>
      </c>
      <c r="N193" t="s">
        <v>320</v>
      </c>
      <c r="O193" t="s">
        <v>134</v>
      </c>
      <c r="Q193" t="s">
        <v>178</v>
      </c>
      <c r="R193" t="s">
        <v>145</v>
      </c>
      <c r="S193" t="s">
        <v>128</v>
      </c>
      <c r="T193" t="s">
        <v>181</v>
      </c>
      <c r="U193" t="s">
        <v>129</v>
      </c>
      <c r="V193" t="s">
        <v>73</v>
      </c>
      <c r="W193" s="58">
        <v>43340</v>
      </c>
      <c r="X193" s="59">
        <v>0.41666666666666669</v>
      </c>
      <c r="Y193" s="59">
        <v>0.45833333333333331</v>
      </c>
      <c r="Z193" s="59">
        <v>4.1666666666666664E-2</v>
      </c>
      <c r="AA193">
        <v>0</v>
      </c>
      <c r="AB193">
        <v>2.2488000000000001</v>
      </c>
      <c r="AC193">
        <v>23</v>
      </c>
      <c r="AD193">
        <v>9.5</v>
      </c>
      <c r="AE193" s="59">
        <v>0.41666666666666669</v>
      </c>
      <c r="AF193" s="59">
        <v>0.45763888888888887</v>
      </c>
      <c r="AG193">
        <v>25</v>
      </c>
    </row>
    <row r="194" spans="1:33" x14ac:dyDescent="0.25">
      <c r="B194" t="s">
        <v>331</v>
      </c>
      <c r="C194" t="s">
        <v>332</v>
      </c>
      <c r="E194" t="s">
        <v>333</v>
      </c>
      <c r="F194" t="s">
        <v>134</v>
      </c>
      <c r="G194" t="s">
        <v>218</v>
      </c>
      <c r="H194" t="s">
        <v>177</v>
      </c>
      <c r="I194" t="s">
        <v>158</v>
      </c>
      <c r="J194" t="s">
        <v>258</v>
      </c>
      <c r="K194" t="s">
        <v>318</v>
      </c>
      <c r="L194" t="s">
        <v>319</v>
      </c>
      <c r="N194" t="s">
        <v>320</v>
      </c>
      <c r="O194" t="s">
        <v>134</v>
      </c>
      <c r="Q194" t="s">
        <v>178</v>
      </c>
      <c r="R194" t="s">
        <v>179</v>
      </c>
      <c r="S194" t="s">
        <v>128</v>
      </c>
      <c r="T194" t="s">
        <v>181</v>
      </c>
      <c r="U194" t="s">
        <v>191</v>
      </c>
      <c r="V194" t="s">
        <v>73</v>
      </c>
      <c r="W194" s="58">
        <v>43340</v>
      </c>
      <c r="X194" s="59">
        <v>0.70833333333333337</v>
      </c>
      <c r="Y194" s="59">
        <v>0.83333333333333337</v>
      </c>
      <c r="Z194" s="59">
        <v>0.125</v>
      </c>
      <c r="AA194">
        <v>0</v>
      </c>
      <c r="AC194">
        <v>0</v>
      </c>
      <c r="AD194">
        <v>28.5</v>
      </c>
      <c r="AE194" s="59">
        <v>0.70833333333333337</v>
      </c>
      <c r="AF194" s="59">
        <v>0.83263888888888893</v>
      </c>
      <c r="AG194">
        <v>25</v>
      </c>
    </row>
    <row r="195" spans="1:33" x14ac:dyDescent="0.25">
      <c r="A195" t="s">
        <v>274</v>
      </c>
      <c r="B195" t="s">
        <v>321</v>
      </c>
      <c r="C195" t="s">
        <v>322</v>
      </c>
      <c r="D195" t="s">
        <v>323</v>
      </c>
      <c r="E195" t="s">
        <v>324</v>
      </c>
      <c r="F195" t="s">
        <v>134</v>
      </c>
      <c r="H195" t="s">
        <v>184</v>
      </c>
      <c r="I195" t="s">
        <v>147</v>
      </c>
      <c r="J195" t="s">
        <v>258</v>
      </c>
      <c r="K195" t="s">
        <v>318</v>
      </c>
      <c r="L195" t="s">
        <v>319</v>
      </c>
      <c r="N195" t="s">
        <v>320</v>
      </c>
      <c r="O195" t="s">
        <v>134</v>
      </c>
      <c r="Q195" t="s">
        <v>178</v>
      </c>
      <c r="R195" t="s">
        <v>185</v>
      </c>
      <c r="S195" t="s">
        <v>128</v>
      </c>
      <c r="T195" t="s">
        <v>181</v>
      </c>
      <c r="U195" t="s">
        <v>151</v>
      </c>
      <c r="V195" t="s">
        <v>73</v>
      </c>
      <c r="W195" s="58">
        <v>43340</v>
      </c>
      <c r="X195" s="59">
        <v>0.875</v>
      </c>
      <c r="Y195" s="59">
        <v>0.90625</v>
      </c>
      <c r="Z195" s="59">
        <v>3.125E-2</v>
      </c>
      <c r="AA195">
        <v>0</v>
      </c>
      <c r="AB195">
        <v>13.348800000000001</v>
      </c>
      <c r="AC195">
        <v>15</v>
      </c>
      <c r="AD195">
        <v>7.125</v>
      </c>
      <c r="AE195" s="59">
        <v>0.875</v>
      </c>
      <c r="AF195" s="59">
        <v>0.90555555555555556</v>
      </c>
      <c r="AG195">
        <v>25</v>
      </c>
    </row>
    <row r="196" spans="1:33" x14ac:dyDescent="0.25">
      <c r="A196" t="s">
        <v>258</v>
      </c>
      <c r="B196" t="s">
        <v>325</v>
      </c>
      <c r="C196" t="s">
        <v>326</v>
      </c>
      <c r="E196" t="s">
        <v>327</v>
      </c>
      <c r="F196" t="s">
        <v>134</v>
      </c>
      <c r="H196" t="s">
        <v>182</v>
      </c>
      <c r="I196" t="s">
        <v>147</v>
      </c>
      <c r="J196" t="s">
        <v>258</v>
      </c>
      <c r="K196" t="s">
        <v>318</v>
      </c>
      <c r="L196" t="s">
        <v>319</v>
      </c>
      <c r="N196" t="s">
        <v>320</v>
      </c>
      <c r="O196" t="s">
        <v>134</v>
      </c>
      <c r="Q196" t="s">
        <v>178</v>
      </c>
      <c r="R196" t="s">
        <v>183</v>
      </c>
      <c r="S196" t="s">
        <v>128</v>
      </c>
      <c r="T196" t="s">
        <v>181</v>
      </c>
      <c r="U196" t="s">
        <v>129</v>
      </c>
      <c r="V196" t="s">
        <v>74</v>
      </c>
      <c r="W196" s="58">
        <v>43341</v>
      </c>
      <c r="X196" s="59">
        <v>0.36458333333333331</v>
      </c>
      <c r="Y196" s="59">
        <v>0.40625</v>
      </c>
      <c r="Z196" s="59">
        <v>4.1666666666666664E-2</v>
      </c>
      <c r="AA196">
        <v>0</v>
      </c>
      <c r="AC196">
        <v>23</v>
      </c>
      <c r="AD196">
        <v>9.5</v>
      </c>
      <c r="AE196" s="59">
        <v>0.36458333333333331</v>
      </c>
      <c r="AF196" s="59">
        <v>0.4055555555555555</v>
      </c>
      <c r="AG196">
        <v>25</v>
      </c>
    </row>
    <row r="197" spans="1:33" x14ac:dyDescent="0.25">
      <c r="A197" t="s">
        <v>274</v>
      </c>
      <c r="B197" t="s">
        <v>321</v>
      </c>
      <c r="C197" t="s">
        <v>322</v>
      </c>
      <c r="D197" t="s">
        <v>323</v>
      </c>
      <c r="E197" t="s">
        <v>324</v>
      </c>
      <c r="F197" t="s">
        <v>134</v>
      </c>
      <c r="H197" t="s">
        <v>184</v>
      </c>
      <c r="I197" t="s">
        <v>147</v>
      </c>
      <c r="J197" t="s">
        <v>258</v>
      </c>
      <c r="K197" t="s">
        <v>318</v>
      </c>
      <c r="L197" t="s">
        <v>319</v>
      </c>
      <c r="N197" t="s">
        <v>320</v>
      </c>
      <c r="O197" t="s">
        <v>134</v>
      </c>
      <c r="Q197" t="s">
        <v>178</v>
      </c>
      <c r="R197" t="s">
        <v>185</v>
      </c>
      <c r="S197" t="s">
        <v>128</v>
      </c>
      <c r="T197" t="s">
        <v>181</v>
      </c>
      <c r="U197" t="s">
        <v>151</v>
      </c>
      <c r="V197" t="s">
        <v>74</v>
      </c>
      <c r="W197" s="58">
        <v>43341</v>
      </c>
      <c r="X197" s="59">
        <v>0.41666666666666669</v>
      </c>
      <c r="Y197" s="59">
        <v>0.45833333333333331</v>
      </c>
      <c r="Z197" s="59">
        <v>4.1666666666666664E-2</v>
      </c>
      <c r="AA197">
        <v>0</v>
      </c>
      <c r="AB197">
        <v>2.2181999999999999</v>
      </c>
      <c r="AC197">
        <v>20</v>
      </c>
      <c r="AD197">
        <v>9.5</v>
      </c>
      <c r="AE197" s="59">
        <v>0.41666666666666669</v>
      </c>
      <c r="AF197" s="59">
        <v>0.45763888888888887</v>
      </c>
      <c r="AG197">
        <v>25</v>
      </c>
    </row>
    <row r="198" spans="1:33" x14ac:dyDescent="0.25">
      <c r="B198" t="s">
        <v>307</v>
      </c>
      <c r="C198" t="s">
        <v>308</v>
      </c>
      <c r="D198" t="s">
        <v>309</v>
      </c>
      <c r="E198" t="s">
        <v>134</v>
      </c>
      <c r="H198" t="s">
        <v>171</v>
      </c>
      <c r="I198" t="s">
        <v>169</v>
      </c>
      <c r="J198" t="s">
        <v>258</v>
      </c>
      <c r="K198" t="s">
        <v>318</v>
      </c>
      <c r="L198" t="s">
        <v>319</v>
      </c>
      <c r="N198" t="s">
        <v>320</v>
      </c>
      <c r="O198" t="s">
        <v>134</v>
      </c>
      <c r="Q198" t="s">
        <v>178</v>
      </c>
      <c r="R198" t="s">
        <v>172</v>
      </c>
      <c r="S198" t="s">
        <v>128</v>
      </c>
      <c r="T198" t="s">
        <v>181</v>
      </c>
      <c r="U198" t="s">
        <v>129</v>
      </c>
      <c r="V198" t="s">
        <v>74</v>
      </c>
      <c r="W198" s="58">
        <v>43341</v>
      </c>
      <c r="X198" s="59">
        <v>0.5</v>
      </c>
      <c r="Y198" s="59">
        <v>0.52083333333333337</v>
      </c>
      <c r="Z198" s="59">
        <v>2.0833333333333332E-2</v>
      </c>
      <c r="AA198">
        <v>0</v>
      </c>
      <c r="AB198">
        <v>3.8203999999999998</v>
      </c>
      <c r="AC198">
        <v>11.5</v>
      </c>
      <c r="AD198">
        <v>4.75</v>
      </c>
      <c r="AE198" s="59">
        <v>0.5</v>
      </c>
      <c r="AF198" s="59">
        <v>0.52013888888888882</v>
      </c>
      <c r="AG198">
        <v>25</v>
      </c>
    </row>
    <row r="199" spans="1:33" x14ac:dyDescent="0.25">
      <c r="B199" t="s">
        <v>307</v>
      </c>
      <c r="C199" t="s">
        <v>308</v>
      </c>
      <c r="D199" t="s">
        <v>309</v>
      </c>
      <c r="E199" t="s">
        <v>134</v>
      </c>
      <c r="H199" t="s">
        <v>171</v>
      </c>
      <c r="I199" t="s">
        <v>169</v>
      </c>
      <c r="J199" t="s">
        <v>258</v>
      </c>
      <c r="K199" t="s">
        <v>318</v>
      </c>
      <c r="L199" t="s">
        <v>319</v>
      </c>
      <c r="N199" t="s">
        <v>320</v>
      </c>
      <c r="O199" t="s">
        <v>134</v>
      </c>
      <c r="Q199" t="s">
        <v>178</v>
      </c>
      <c r="R199" t="s">
        <v>172</v>
      </c>
      <c r="S199" t="s">
        <v>128</v>
      </c>
      <c r="T199" t="s">
        <v>181</v>
      </c>
      <c r="U199" t="s">
        <v>129</v>
      </c>
      <c r="V199" t="s">
        <v>74</v>
      </c>
      <c r="W199" s="58">
        <v>43341</v>
      </c>
      <c r="X199" s="59">
        <v>0.66666666666666663</v>
      </c>
      <c r="Y199" s="59">
        <v>0.70833333333333337</v>
      </c>
      <c r="Z199" s="59">
        <v>4.1666666666666664E-2</v>
      </c>
      <c r="AA199">
        <v>0</v>
      </c>
      <c r="AC199">
        <v>23</v>
      </c>
      <c r="AD199">
        <v>9.5</v>
      </c>
      <c r="AE199" s="59">
        <v>0.66666666666666663</v>
      </c>
      <c r="AF199" s="59">
        <v>0.70763888888888893</v>
      </c>
      <c r="AG199">
        <v>25</v>
      </c>
    </row>
    <row r="200" spans="1:33" x14ac:dyDescent="0.25">
      <c r="A200" t="s">
        <v>258</v>
      </c>
      <c r="B200" t="s">
        <v>262</v>
      </c>
      <c r="C200" t="s">
        <v>263</v>
      </c>
      <c r="D200" t="s">
        <v>264</v>
      </c>
      <c r="E200" t="s">
        <v>265</v>
      </c>
      <c r="F200" t="s">
        <v>134</v>
      </c>
      <c r="H200" t="s">
        <v>132</v>
      </c>
      <c r="I200" t="s">
        <v>133</v>
      </c>
      <c r="J200" t="s">
        <v>258</v>
      </c>
      <c r="K200" t="s">
        <v>318</v>
      </c>
      <c r="L200" t="s">
        <v>319</v>
      </c>
      <c r="N200" t="s">
        <v>320</v>
      </c>
      <c r="O200" t="s">
        <v>134</v>
      </c>
      <c r="Q200" t="s">
        <v>178</v>
      </c>
      <c r="R200" t="s">
        <v>136</v>
      </c>
      <c r="S200" t="s">
        <v>128</v>
      </c>
      <c r="T200" t="s">
        <v>181</v>
      </c>
      <c r="U200" t="s">
        <v>129</v>
      </c>
      <c r="V200" t="s">
        <v>74</v>
      </c>
      <c r="W200" s="58">
        <v>43341</v>
      </c>
      <c r="X200" s="59">
        <v>0.72916666666666663</v>
      </c>
      <c r="Y200" s="59">
        <v>0.77083333333333337</v>
      </c>
      <c r="Z200" s="59">
        <v>4.1666666666666664E-2</v>
      </c>
      <c r="AA200">
        <v>0</v>
      </c>
      <c r="AB200">
        <v>8.5579999999999998</v>
      </c>
      <c r="AC200">
        <v>23</v>
      </c>
      <c r="AD200">
        <v>9.5</v>
      </c>
      <c r="AE200" s="59">
        <v>0.72916666666666663</v>
      </c>
      <c r="AF200" s="59">
        <v>0.77013888888888893</v>
      </c>
      <c r="AG200">
        <v>25</v>
      </c>
    </row>
    <row r="201" spans="1:33" x14ac:dyDescent="0.25">
      <c r="A201" t="s">
        <v>274</v>
      </c>
      <c r="B201" t="s">
        <v>321</v>
      </c>
      <c r="C201" t="s">
        <v>322</v>
      </c>
      <c r="D201" t="s">
        <v>323</v>
      </c>
      <c r="E201" t="s">
        <v>324</v>
      </c>
      <c r="F201" t="s">
        <v>134</v>
      </c>
      <c r="H201" t="s">
        <v>184</v>
      </c>
      <c r="I201" t="s">
        <v>147</v>
      </c>
      <c r="J201" t="s">
        <v>258</v>
      </c>
      <c r="K201" t="s">
        <v>318</v>
      </c>
      <c r="L201" t="s">
        <v>319</v>
      </c>
      <c r="N201" t="s">
        <v>320</v>
      </c>
      <c r="O201" t="s">
        <v>134</v>
      </c>
      <c r="Q201" t="s">
        <v>178</v>
      </c>
      <c r="R201" t="s">
        <v>185</v>
      </c>
      <c r="S201" t="s">
        <v>128</v>
      </c>
      <c r="T201" t="s">
        <v>181</v>
      </c>
      <c r="U201" t="s">
        <v>151</v>
      </c>
      <c r="V201" t="s">
        <v>74</v>
      </c>
      <c r="W201" s="58">
        <v>43341</v>
      </c>
      <c r="X201" s="59">
        <v>0.8125</v>
      </c>
      <c r="Y201" s="59">
        <v>0.84375</v>
      </c>
      <c r="Z201" s="59">
        <v>3.125E-2</v>
      </c>
      <c r="AA201">
        <v>0</v>
      </c>
      <c r="AB201">
        <v>13.225</v>
      </c>
      <c r="AC201">
        <v>15</v>
      </c>
      <c r="AD201">
        <v>7.125</v>
      </c>
      <c r="AE201" s="59">
        <v>0.8125</v>
      </c>
      <c r="AF201" s="59">
        <v>0.84305555555555556</v>
      </c>
      <c r="AG201">
        <v>25</v>
      </c>
    </row>
    <row r="202" spans="1:33" x14ac:dyDescent="0.25">
      <c r="B202" t="s">
        <v>307</v>
      </c>
      <c r="C202" t="s">
        <v>308</v>
      </c>
      <c r="D202" t="s">
        <v>309</v>
      </c>
      <c r="E202" t="s">
        <v>134</v>
      </c>
      <c r="H202" t="s">
        <v>171</v>
      </c>
      <c r="I202" t="s">
        <v>169</v>
      </c>
      <c r="J202" t="s">
        <v>258</v>
      </c>
      <c r="K202" t="s">
        <v>318</v>
      </c>
      <c r="L202" t="s">
        <v>319</v>
      </c>
      <c r="N202" t="s">
        <v>320</v>
      </c>
      <c r="O202" t="s">
        <v>134</v>
      </c>
      <c r="Q202" t="s">
        <v>178</v>
      </c>
      <c r="R202" t="s">
        <v>172</v>
      </c>
      <c r="S202" t="s">
        <v>128</v>
      </c>
      <c r="T202" t="s">
        <v>181</v>
      </c>
      <c r="U202" t="s">
        <v>129</v>
      </c>
      <c r="V202" t="s">
        <v>74</v>
      </c>
      <c r="W202" s="58">
        <v>43341</v>
      </c>
      <c r="X202" s="59">
        <v>0.85416666666666663</v>
      </c>
      <c r="Y202" s="59">
        <v>0.875</v>
      </c>
      <c r="Z202" s="59">
        <v>2.0833333333333332E-2</v>
      </c>
      <c r="AA202">
        <v>0</v>
      </c>
      <c r="AB202">
        <v>3.8203999999999998</v>
      </c>
      <c r="AC202">
        <v>11.5</v>
      </c>
      <c r="AD202">
        <v>4.75</v>
      </c>
      <c r="AE202" s="59">
        <v>0.85416666666666663</v>
      </c>
      <c r="AF202" s="59">
        <v>0.87430555555555556</v>
      </c>
      <c r="AG202">
        <v>25</v>
      </c>
    </row>
    <row r="203" spans="1:33" x14ac:dyDescent="0.25">
      <c r="A203" t="s">
        <v>274</v>
      </c>
      <c r="B203" t="s">
        <v>328</v>
      </c>
      <c r="C203" t="s">
        <v>329</v>
      </c>
      <c r="D203">
        <v>5</v>
      </c>
      <c r="E203" t="s">
        <v>330</v>
      </c>
      <c r="F203" t="s">
        <v>134</v>
      </c>
      <c r="G203" t="s">
        <v>218</v>
      </c>
      <c r="H203" t="s">
        <v>188</v>
      </c>
      <c r="I203" t="s">
        <v>189</v>
      </c>
      <c r="J203" t="s">
        <v>258</v>
      </c>
      <c r="K203" t="s">
        <v>318</v>
      </c>
      <c r="L203" t="s">
        <v>319</v>
      </c>
      <c r="N203" t="s">
        <v>320</v>
      </c>
      <c r="O203" t="s">
        <v>134</v>
      </c>
      <c r="Q203" t="s">
        <v>178</v>
      </c>
      <c r="R203" t="s">
        <v>190</v>
      </c>
      <c r="S203" t="s">
        <v>128</v>
      </c>
      <c r="T203" t="s">
        <v>181</v>
      </c>
      <c r="U203" t="s">
        <v>151</v>
      </c>
      <c r="V203" t="s">
        <v>75</v>
      </c>
      <c r="W203" s="58">
        <v>43342</v>
      </c>
      <c r="X203" s="59">
        <v>0.33333333333333331</v>
      </c>
      <c r="Y203" s="59">
        <v>0.5</v>
      </c>
      <c r="Z203" s="59">
        <v>0.16666666666666666</v>
      </c>
      <c r="AA203">
        <v>0</v>
      </c>
      <c r="AC203">
        <v>80</v>
      </c>
      <c r="AD203">
        <v>38</v>
      </c>
      <c r="AE203" s="59">
        <v>0.33333333333333331</v>
      </c>
      <c r="AF203" s="59">
        <v>0.4993055555555555</v>
      </c>
      <c r="AG203">
        <v>25</v>
      </c>
    </row>
    <row r="204" spans="1:33" x14ac:dyDescent="0.25">
      <c r="A204" t="s">
        <v>258</v>
      </c>
      <c r="B204" t="s">
        <v>278</v>
      </c>
      <c r="C204" t="s">
        <v>279</v>
      </c>
      <c r="E204" t="s">
        <v>280</v>
      </c>
      <c r="F204" t="s">
        <v>134</v>
      </c>
      <c r="H204" t="s">
        <v>144</v>
      </c>
      <c r="I204" t="s">
        <v>133</v>
      </c>
      <c r="J204" t="s">
        <v>258</v>
      </c>
      <c r="K204" t="s">
        <v>318</v>
      </c>
      <c r="L204" t="s">
        <v>319</v>
      </c>
      <c r="N204" t="s">
        <v>320</v>
      </c>
      <c r="O204" t="s">
        <v>134</v>
      </c>
      <c r="Q204" t="s">
        <v>178</v>
      </c>
      <c r="R204" t="s">
        <v>145</v>
      </c>
      <c r="S204" t="s">
        <v>128</v>
      </c>
      <c r="T204" t="s">
        <v>181</v>
      </c>
      <c r="U204" t="s">
        <v>129</v>
      </c>
      <c r="V204" t="s">
        <v>75</v>
      </c>
      <c r="W204" s="58">
        <v>43342</v>
      </c>
      <c r="X204" s="59">
        <v>0.85416666666666663</v>
      </c>
      <c r="Y204" s="59">
        <v>0.89583333333333337</v>
      </c>
      <c r="Z204" s="59">
        <v>4.1666666666666664E-2</v>
      </c>
      <c r="AA204">
        <v>0</v>
      </c>
      <c r="AC204">
        <v>23</v>
      </c>
      <c r="AD204">
        <v>9.5</v>
      </c>
      <c r="AE204" s="59">
        <v>0.85416666666666663</v>
      </c>
      <c r="AF204" s="59">
        <v>0.89513888888888893</v>
      </c>
      <c r="AG204">
        <v>25</v>
      </c>
    </row>
    <row r="205" spans="1:33" x14ac:dyDescent="0.25">
      <c r="A205" t="s">
        <v>258</v>
      </c>
      <c r="B205" t="s">
        <v>284</v>
      </c>
      <c r="C205" t="s">
        <v>285</v>
      </c>
      <c r="E205" t="s">
        <v>286</v>
      </c>
      <c r="F205" t="s">
        <v>134</v>
      </c>
      <c r="H205" t="s">
        <v>149</v>
      </c>
      <c r="I205" t="s">
        <v>127</v>
      </c>
      <c r="J205" t="s">
        <v>258</v>
      </c>
      <c r="K205" t="s">
        <v>318</v>
      </c>
      <c r="L205" t="s">
        <v>319</v>
      </c>
      <c r="N205" t="s">
        <v>320</v>
      </c>
      <c r="O205" t="s">
        <v>134</v>
      </c>
      <c r="Q205" t="s">
        <v>178</v>
      </c>
      <c r="R205" t="s">
        <v>150</v>
      </c>
      <c r="S205" t="s">
        <v>128</v>
      </c>
      <c r="T205" t="s">
        <v>181</v>
      </c>
      <c r="U205" t="s">
        <v>151</v>
      </c>
      <c r="V205" t="s">
        <v>76</v>
      </c>
      <c r="W205" s="58">
        <v>43343</v>
      </c>
      <c r="X205" s="59">
        <v>0.33333333333333331</v>
      </c>
      <c r="Y205" s="59">
        <v>0.39583333333333331</v>
      </c>
      <c r="Z205" s="59">
        <v>6.25E-2</v>
      </c>
      <c r="AA205">
        <v>0</v>
      </c>
      <c r="AC205">
        <v>30</v>
      </c>
      <c r="AD205">
        <v>14.25</v>
      </c>
      <c r="AE205" s="59">
        <v>0.33333333333333331</v>
      </c>
      <c r="AF205" s="59">
        <v>0.39513888888888887</v>
      </c>
      <c r="AG205">
        <v>25</v>
      </c>
    </row>
    <row r="206" spans="1:33" x14ac:dyDescent="0.25">
      <c r="A206" t="s">
        <v>258</v>
      </c>
      <c r="B206" t="s">
        <v>287</v>
      </c>
      <c r="C206" t="s">
        <v>288</v>
      </c>
      <c r="E206" t="s">
        <v>289</v>
      </c>
      <c r="F206" t="s">
        <v>134</v>
      </c>
      <c r="H206" t="s">
        <v>152</v>
      </c>
      <c r="I206" t="s">
        <v>127</v>
      </c>
      <c r="J206" t="s">
        <v>258</v>
      </c>
      <c r="K206" t="s">
        <v>318</v>
      </c>
      <c r="L206" t="s">
        <v>319</v>
      </c>
      <c r="N206" t="s">
        <v>320</v>
      </c>
      <c r="O206" t="s">
        <v>134</v>
      </c>
      <c r="Q206" t="s">
        <v>178</v>
      </c>
      <c r="R206" t="s">
        <v>153</v>
      </c>
      <c r="S206" t="s">
        <v>128</v>
      </c>
      <c r="T206" t="s">
        <v>181</v>
      </c>
      <c r="U206" t="s">
        <v>151</v>
      </c>
      <c r="V206" t="s">
        <v>76</v>
      </c>
      <c r="W206" s="58">
        <v>43343</v>
      </c>
      <c r="X206" s="59">
        <v>0.39583333333333331</v>
      </c>
      <c r="Y206" s="59">
        <v>0.45833333333333331</v>
      </c>
      <c r="Z206" s="59">
        <v>6.25E-2</v>
      </c>
      <c r="AA206">
        <v>0</v>
      </c>
      <c r="AB206">
        <v>0.27279999999999999</v>
      </c>
      <c r="AC206">
        <v>30</v>
      </c>
      <c r="AD206">
        <v>14.25</v>
      </c>
      <c r="AE206" s="59">
        <v>0.39583333333333331</v>
      </c>
      <c r="AF206" s="59">
        <v>0.45763888888888887</v>
      </c>
      <c r="AG206">
        <v>25</v>
      </c>
    </row>
    <row r="207" spans="1:33" x14ac:dyDescent="0.25">
      <c r="A207" t="s">
        <v>274</v>
      </c>
      <c r="B207" t="s">
        <v>336</v>
      </c>
      <c r="C207" t="s">
        <v>337</v>
      </c>
      <c r="E207" t="s">
        <v>338</v>
      </c>
      <c r="F207" t="s">
        <v>134</v>
      </c>
      <c r="H207" t="s">
        <v>186</v>
      </c>
      <c r="I207" t="s">
        <v>147</v>
      </c>
      <c r="J207" t="s">
        <v>258</v>
      </c>
      <c r="K207" t="s">
        <v>318</v>
      </c>
      <c r="L207" t="s">
        <v>319</v>
      </c>
      <c r="N207" t="s">
        <v>320</v>
      </c>
      <c r="O207" t="s">
        <v>134</v>
      </c>
      <c r="Q207" t="s">
        <v>178</v>
      </c>
      <c r="R207" t="s">
        <v>187</v>
      </c>
      <c r="S207" t="s">
        <v>128</v>
      </c>
      <c r="T207" t="s">
        <v>181</v>
      </c>
      <c r="U207" t="s">
        <v>151</v>
      </c>
      <c r="V207" t="s">
        <v>76</v>
      </c>
      <c r="W207" s="58">
        <v>43343</v>
      </c>
      <c r="X207" s="59">
        <v>0.47916666666666669</v>
      </c>
      <c r="Y207" s="59">
        <v>0.5625</v>
      </c>
      <c r="Z207" s="59">
        <v>8.3333333333333329E-2</v>
      </c>
      <c r="AA207">
        <v>0</v>
      </c>
      <c r="AB207">
        <v>3.9954000000000001</v>
      </c>
      <c r="AC207">
        <v>40</v>
      </c>
      <c r="AD207">
        <v>19</v>
      </c>
      <c r="AE207" s="59">
        <v>0.47916666666666669</v>
      </c>
      <c r="AF207" s="59">
        <v>0.56180555555555556</v>
      </c>
      <c r="AG207">
        <v>25</v>
      </c>
    </row>
    <row r="208" spans="1:33" x14ac:dyDescent="0.25">
      <c r="A208" t="s">
        <v>258</v>
      </c>
      <c r="B208" t="s">
        <v>284</v>
      </c>
      <c r="C208" t="s">
        <v>285</v>
      </c>
      <c r="E208" t="s">
        <v>286</v>
      </c>
      <c r="F208" t="s">
        <v>134</v>
      </c>
      <c r="H208" t="s">
        <v>149</v>
      </c>
      <c r="I208" t="s">
        <v>127</v>
      </c>
      <c r="J208" t="s">
        <v>258</v>
      </c>
      <c r="K208" t="s">
        <v>318</v>
      </c>
      <c r="L208" t="s">
        <v>319</v>
      </c>
      <c r="N208" t="s">
        <v>320</v>
      </c>
      <c r="O208" t="s">
        <v>134</v>
      </c>
      <c r="Q208" t="s">
        <v>178</v>
      </c>
      <c r="R208" t="s">
        <v>150</v>
      </c>
      <c r="S208" t="s">
        <v>128</v>
      </c>
      <c r="T208" t="s">
        <v>181</v>
      </c>
      <c r="U208" t="s">
        <v>151</v>
      </c>
      <c r="V208" t="s">
        <v>72</v>
      </c>
      <c r="W208" s="58">
        <v>43346</v>
      </c>
      <c r="X208" s="59">
        <v>0.3611111111111111</v>
      </c>
      <c r="Y208" s="59">
        <v>0.40277777777777773</v>
      </c>
      <c r="Z208" s="59">
        <v>4.1666666666666664E-2</v>
      </c>
      <c r="AA208">
        <v>0</v>
      </c>
      <c r="AC208">
        <v>20</v>
      </c>
      <c r="AD208">
        <v>9.5</v>
      </c>
      <c r="AE208" s="59">
        <v>0.3611111111111111</v>
      </c>
      <c r="AF208" s="59">
        <v>0.40208333333333335</v>
      </c>
      <c r="AG208">
        <v>25</v>
      </c>
    </row>
    <row r="209" spans="1:33" x14ac:dyDescent="0.25">
      <c r="A209" t="s">
        <v>258</v>
      </c>
      <c r="B209" t="s">
        <v>287</v>
      </c>
      <c r="C209" t="s">
        <v>288</v>
      </c>
      <c r="E209" t="s">
        <v>289</v>
      </c>
      <c r="F209" t="s">
        <v>134</v>
      </c>
      <c r="H209" t="s">
        <v>152</v>
      </c>
      <c r="I209" t="s">
        <v>127</v>
      </c>
      <c r="J209" t="s">
        <v>258</v>
      </c>
      <c r="K209" t="s">
        <v>318</v>
      </c>
      <c r="L209" t="s">
        <v>319</v>
      </c>
      <c r="N209" t="s">
        <v>320</v>
      </c>
      <c r="O209" t="s">
        <v>134</v>
      </c>
      <c r="Q209" t="s">
        <v>178</v>
      </c>
      <c r="R209" t="s">
        <v>153</v>
      </c>
      <c r="S209" t="s">
        <v>128</v>
      </c>
      <c r="T209" t="s">
        <v>181</v>
      </c>
      <c r="U209" t="s">
        <v>151</v>
      </c>
      <c r="V209" t="s">
        <v>72</v>
      </c>
      <c r="W209" s="58">
        <v>43346</v>
      </c>
      <c r="X209" s="59">
        <v>0.40277777777777773</v>
      </c>
      <c r="Y209" s="59">
        <v>0.44444444444444442</v>
      </c>
      <c r="Z209" s="59">
        <v>4.1666666666666664E-2</v>
      </c>
      <c r="AA209">
        <v>0</v>
      </c>
      <c r="AB209">
        <v>0.27279999999999999</v>
      </c>
      <c r="AC209">
        <v>20</v>
      </c>
      <c r="AD209">
        <v>9.5</v>
      </c>
      <c r="AE209" s="59">
        <v>0.40277777777777773</v>
      </c>
      <c r="AF209" s="59">
        <v>0.44375000000000003</v>
      </c>
      <c r="AG209">
        <v>25</v>
      </c>
    </row>
    <row r="210" spans="1:33" x14ac:dyDescent="0.25">
      <c r="A210" t="s">
        <v>258</v>
      </c>
      <c r="B210" t="s">
        <v>278</v>
      </c>
      <c r="C210" t="s">
        <v>279</v>
      </c>
      <c r="E210" t="s">
        <v>280</v>
      </c>
      <c r="F210" t="s">
        <v>134</v>
      </c>
      <c r="H210" t="s">
        <v>144</v>
      </c>
      <c r="I210" t="s">
        <v>133</v>
      </c>
      <c r="J210" t="s">
        <v>258</v>
      </c>
      <c r="K210" t="s">
        <v>318</v>
      </c>
      <c r="L210" t="s">
        <v>319</v>
      </c>
      <c r="N210" t="s">
        <v>320</v>
      </c>
      <c r="O210" t="s">
        <v>134</v>
      </c>
      <c r="Q210" t="s">
        <v>178</v>
      </c>
      <c r="R210" t="s">
        <v>145</v>
      </c>
      <c r="S210" t="s">
        <v>128</v>
      </c>
      <c r="T210" t="s">
        <v>181</v>
      </c>
      <c r="U210" t="s">
        <v>129</v>
      </c>
      <c r="V210" t="s">
        <v>72</v>
      </c>
      <c r="W210" s="58">
        <v>43346</v>
      </c>
      <c r="X210" s="59">
        <v>0.70833333333333337</v>
      </c>
      <c r="Y210" s="59">
        <v>0.75</v>
      </c>
      <c r="Z210" s="59">
        <v>4.1666666666666664E-2</v>
      </c>
      <c r="AA210">
        <v>0</v>
      </c>
      <c r="AC210">
        <v>23</v>
      </c>
      <c r="AD210">
        <v>9.5</v>
      </c>
      <c r="AE210" s="59">
        <v>0.70833333333333337</v>
      </c>
      <c r="AF210" s="59">
        <v>0.74930555555555556</v>
      </c>
      <c r="AG210">
        <v>25</v>
      </c>
    </row>
    <row r="211" spans="1:33" x14ac:dyDescent="0.25">
      <c r="A211" t="s">
        <v>258</v>
      </c>
      <c r="B211" t="s">
        <v>278</v>
      </c>
      <c r="C211" t="s">
        <v>279</v>
      </c>
      <c r="E211" t="s">
        <v>280</v>
      </c>
      <c r="F211" t="s">
        <v>134</v>
      </c>
      <c r="H211" t="s">
        <v>144</v>
      </c>
      <c r="I211" t="s">
        <v>133</v>
      </c>
      <c r="J211" t="s">
        <v>258</v>
      </c>
      <c r="K211" t="s">
        <v>318</v>
      </c>
      <c r="L211" t="s">
        <v>319</v>
      </c>
      <c r="N211" t="s">
        <v>320</v>
      </c>
      <c r="O211" t="s">
        <v>134</v>
      </c>
      <c r="Q211" t="s">
        <v>178</v>
      </c>
      <c r="R211" t="s">
        <v>145</v>
      </c>
      <c r="S211" t="s">
        <v>128</v>
      </c>
      <c r="T211" t="s">
        <v>181</v>
      </c>
      <c r="U211" t="s">
        <v>129</v>
      </c>
      <c r="V211" t="s">
        <v>72</v>
      </c>
      <c r="W211" s="58">
        <v>43346</v>
      </c>
      <c r="X211" s="59">
        <v>0.84375</v>
      </c>
      <c r="Y211" s="59">
        <v>0.88541666666666663</v>
      </c>
      <c r="Z211" s="59">
        <v>4.1666666666666664E-2</v>
      </c>
      <c r="AA211">
        <v>0</v>
      </c>
      <c r="AB211">
        <v>0</v>
      </c>
      <c r="AC211">
        <v>23</v>
      </c>
      <c r="AD211">
        <v>9.5</v>
      </c>
      <c r="AE211" s="59">
        <v>0.84375</v>
      </c>
      <c r="AF211" s="59">
        <v>0.8847222222222223</v>
      </c>
      <c r="AG211">
        <v>25</v>
      </c>
    </row>
    <row r="212" spans="1:33" x14ac:dyDescent="0.25">
      <c r="A212" t="s">
        <v>274</v>
      </c>
      <c r="B212" t="s">
        <v>328</v>
      </c>
      <c r="C212" t="s">
        <v>329</v>
      </c>
      <c r="D212">
        <v>5</v>
      </c>
      <c r="E212" t="s">
        <v>330</v>
      </c>
      <c r="F212" t="s">
        <v>134</v>
      </c>
      <c r="G212" t="s">
        <v>218</v>
      </c>
      <c r="H212" t="s">
        <v>188</v>
      </c>
      <c r="I212" t="s">
        <v>189</v>
      </c>
      <c r="J212" t="s">
        <v>258</v>
      </c>
      <c r="K212" t="s">
        <v>318</v>
      </c>
      <c r="L212" t="s">
        <v>319</v>
      </c>
      <c r="N212" t="s">
        <v>320</v>
      </c>
      <c r="O212" t="s">
        <v>134</v>
      </c>
      <c r="Q212" t="s">
        <v>178</v>
      </c>
      <c r="R212" t="s">
        <v>190</v>
      </c>
      <c r="S212" t="s">
        <v>128</v>
      </c>
      <c r="T212" t="s">
        <v>181</v>
      </c>
      <c r="U212" t="s">
        <v>151</v>
      </c>
      <c r="V212" t="s">
        <v>73</v>
      </c>
      <c r="W212" s="58">
        <v>43347</v>
      </c>
      <c r="X212" s="59">
        <v>0.33333333333333331</v>
      </c>
      <c r="Y212" s="59">
        <v>0.5</v>
      </c>
      <c r="Z212" s="59">
        <v>0.16666666666666666</v>
      </c>
      <c r="AA212">
        <v>0</v>
      </c>
      <c r="AC212">
        <v>80</v>
      </c>
      <c r="AD212">
        <v>38</v>
      </c>
      <c r="AE212" s="59">
        <v>0.33333333333333331</v>
      </c>
      <c r="AF212" s="59">
        <v>0.4993055555555555</v>
      </c>
      <c r="AG212">
        <v>25</v>
      </c>
    </row>
    <row r="213" spans="1:33" x14ac:dyDescent="0.25">
      <c r="A213" t="s">
        <v>274</v>
      </c>
      <c r="B213" t="s">
        <v>334</v>
      </c>
      <c r="C213" t="s">
        <v>285</v>
      </c>
      <c r="E213" t="s">
        <v>335</v>
      </c>
      <c r="F213" t="s">
        <v>134</v>
      </c>
      <c r="H213" t="s">
        <v>192</v>
      </c>
      <c r="I213" t="s">
        <v>155</v>
      </c>
      <c r="J213" t="s">
        <v>258</v>
      </c>
      <c r="K213" t="s">
        <v>318</v>
      </c>
      <c r="L213" t="s">
        <v>319</v>
      </c>
      <c r="N213" t="s">
        <v>320</v>
      </c>
      <c r="O213" t="s">
        <v>134</v>
      </c>
      <c r="Q213" t="s">
        <v>178</v>
      </c>
      <c r="R213" t="s">
        <v>193</v>
      </c>
      <c r="S213" t="s">
        <v>128</v>
      </c>
      <c r="T213" t="s">
        <v>181</v>
      </c>
      <c r="U213" t="s">
        <v>129</v>
      </c>
      <c r="V213" t="s">
        <v>73</v>
      </c>
      <c r="W213" s="58">
        <v>43347</v>
      </c>
      <c r="X213" s="59">
        <v>0.70138888888888884</v>
      </c>
      <c r="Y213" s="59">
        <v>0.74305555555555547</v>
      </c>
      <c r="Z213" s="59">
        <v>4.1666666666666664E-2</v>
      </c>
      <c r="AA213">
        <v>0</v>
      </c>
      <c r="AC213">
        <v>23</v>
      </c>
      <c r="AD213">
        <v>9.5</v>
      </c>
      <c r="AE213" s="59">
        <v>0.70138888888888884</v>
      </c>
      <c r="AF213" s="59">
        <v>0.74236111111111114</v>
      </c>
      <c r="AG213">
        <v>25</v>
      </c>
    </row>
    <row r="214" spans="1:33" x14ac:dyDescent="0.25">
      <c r="A214" t="s">
        <v>258</v>
      </c>
      <c r="B214" t="s">
        <v>270</v>
      </c>
      <c r="C214" t="s">
        <v>271</v>
      </c>
      <c r="D214" t="s">
        <v>272</v>
      </c>
      <c r="E214" t="s">
        <v>273</v>
      </c>
      <c r="F214" t="s">
        <v>134</v>
      </c>
      <c r="H214" t="s">
        <v>138</v>
      </c>
      <c r="I214" t="s">
        <v>139</v>
      </c>
      <c r="J214" t="s">
        <v>258</v>
      </c>
      <c r="K214" t="s">
        <v>318</v>
      </c>
      <c r="L214" t="s">
        <v>319</v>
      </c>
      <c r="N214" t="s">
        <v>320</v>
      </c>
      <c r="O214" t="s">
        <v>134</v>
      </c>
      <c r="Q214" t="s">
        <v>178</v>
      </c>
      <c r="R214" t="s">
        <v>140</v>
      </c>
      <c r="S214" t="s">
        <v>128</v>
      </c>
      <c r="T214" t="s">
        <v>181</v>
      </c>
      <c r="U214" t="s">
        <v>129</v>
      </c>
      <c r="V214" t="s">
        <v>73</v>
      </c>
      <c r="W214" s="58">
        <v>43347</v>
      </c>
      <c r="X214" s="59">
        <v>0.76041666666666663</v>
      </c>
      <c r="Y214" s="59">
        <v>0.80208333333333337</v>
      </c>
      <c r="Z214" s="59">
        <v>4.1666666666666664E-2</v>
      </c>
      <c r="AA214">
        <v>20</v>
      </c>
      <c r="AB214">
        <v>10.1136</v>
      </c>
      <c r="AC214">
        <v>23</v>
      </c>
      <c r="AD214">
        <v>9.5</v>
      </c>
      <c r="AE214" s="59">
        <v>0.76041666666666663</v>
      </c>
      <c r="AF214" s="59">
        <v>0.80138888888888893</v>
      </c>
      <c r="AG214">
        <v>25</v>
      </c>
    </row>
    <row r="215" spans="1:33" x14ac:dyDescent="0.25">
      <c r="A215" t="s">
        <v>258</v>
      </c>
      <c r="B215" t="s">
        <v>325</v>
      </c>
      <c r="C215" t="s">
        <v>326</v>
      </c>
      <c r="E215" t="s">
        <v>327</v>
      </c>
      <c r="F215" t="s">
        <v>134</v>
      </c>
      <c r="H215" t="s">
        <v>182</v>
      </c>
      <c r="I215" t="s">
        <v>147</v>
      </c>
      <c r="J215" t="s">
        <v>258</v>
      </c>
      <c r="K215" t="s">
        <v>318</v>
      </c>
      <c r="L215" t="s">
        <v>319</v>
      </c>
      <c r="N215" t="s">
        <v>320</v>
      </c>
      <c r="O215" t="s">
        <v>134</v>
      </c>
      <c r="Q215" t="s">
        <v>178</v>
      </c>
      <c r="R215" t="s">
        <v>183</v>
      </c>
      <c r="S215" t="s">
        <v>128</v>
      </c>
      <c r="T215" t="s">
        <v>181</v>
      </c>
      <c r="U215" t="s">
        <v>129</v>
      </c>
      <c r="V215" t="s">
        <v>74</v>
      </c>
      <c r="W215" s="58">
        <v>43348</v>
      </c>
      <c r="X215" s="59">
        <v>0.36458333333333331</v>
      </c>
      <c r="Y215" s="59">
        <v>0.40625</v>
      </c>
      <c r="Z215" s="59">
        <v>4.1666666666666664E-2</v>
      </c>
      <c r="AA215">
        <v>0</v>
      </c>
      <c r="AC215">
        <v>23</v>
      </c>
      <c r="AD215">
        <v>9.5</v>
      </c>
      <c r="AE215" s="59">
        <v>0.36458333333333331</v>
      </c>
      <c r="AF215" s="59">
        <v>0.4055555555555555</v>
      </c>
      <c r="AG215">
        <v>25</v>
      </c>
    </row>
    <row r="216" spans="1:33" x14ac:dyDescent="0.25">
      <c r="A216" t="s">
        <v>274</v>
      </c>
      <c r="B216" t="s">
        <v>321</v>
      </c>
      <c r="C216" t="s">
        <v>322</v>
      </c>
      <c r="D216" t="s">
        <v>323</v>
      </c>
      <c r="E216" t="s">
        <v>324</v>
      </c>
      <c r="F216" t="s">
        <v>134</v>
      </c>
      <c r="H216" t="s">
        <v>184</v>
      </c>
      <c r="I216" t="s">
        <v>147</v>
      </c>
      <c r="J216" t="s">
        <v>258</v>
      </c>
      <c r="K216" t="s">
        <v>318</v>
      </c>
      <c r="L216" t="s">
        <v>319</v>
      </c>
      <c r="N216" t="s">
        <v>320</v>
      </c>
      <c r="O216" t="s">
        <v>134</v>
      </c>
      <c r="Q216" t="s">
        <v>178</v>
      </c>
      <c r="R216" t="s">
        <v>185</v>
      </c>
      <c r="S216" t="s">
        <v>128</v>
      </c>
      <c r="T216" t="s">
        <v>181</v>
      </c>
      <c r="U216" t="s">
        <v>151</v>
      </c>
      <c r="V216" t="s">
        <v>74</v>
      </c>
      <c r="W216" s="58">
        <v>43348</v>
      </c>
      <c r="X216" s="59">
        <v>0.41666666666666669</v>
      </c>
      <c r="Y216" s="59">
        <v>0.45833333333333331</v>
      </c>
      <c r="Z216" s="59">
        <v>4.1666666666666664E-2</v>
      </c>
      <c r="AA216">
        <v>4</v>
      </c>
      <c r="AB216">
        <v>2.2181999999999999</v>
      </c>
      <c r="AC216">
        <v>20</v>
      </c>
      <c r="AD216">
        <v>9.5</v>
      </c>
      <c r="AE216" s="59">
        <v>0.41666666666666669</v>
      </c>
      <c r="AF216" s="59">
        <v>0.45763888888888887</v>
      </c>
      <c r="AG216">
        <v>25</v>
      </c>
    </row>
    <row r="217" spans="1:33" x14ac:dyDescent="0.25">
      <c r="A217" t="s">
        <v>274</v>
      </c>
      <c r="B217" t="s">
        <v>336</v>
      </c>
      <c r="C217" t="s">
        <v>337</v>
      </c>
      <c r="E217" t="s">
        <v>338</v>
      </c>
      <c r="F217" t="s">
        <v>134</v>
      </c>
      <c r="H217" t="s">
        <v>186</v>
      </c>
      <c r="I217" t="s">
        <v>147</v>
      </c>
      <c r="J217" t="s">
        <v>258</v>
      </c>
      <c r="K217" t="s">
        <v>318</v>
      </c>
      <c r="L217" t="s">
        <v>319</v>
      </c>
      <c r="N217" t="s">
        <v>320</v>
      </c>
      <c r="O217" t="s">
        <v>134</v>
      </c>
      <c r="Q217" t="s">
        <v>178</v>
      </c>
      <c r="R217" t="s">
        <v>187</v>
      </c>
      <c r="S217" t="s">
        <v>128</v>
      </c>
      <c r="T217" t="s">
        <v>181</v>
      </c>
      <c r="U217" t="s">
        <v>151</v>
      </c>
      <c r="V217" t="s">
        <v>74</v>
      </c>
      <c r="W217" s="58">
        <v>43348</v>
      </c>
      <c r="X217" s="59">
        <v>0.46875</v>
      </c>
      <c r="Y217" s="59">
        <v>0.55208333333333337</v>
      </c>
      <c r="Z217" s="59">
        <v>8.3333333333333329E-2</v>
      </c>
      <c r="AA217">
        <v>2</v>
      </c>
      <c r="AB217">
        <v>0.79659999999999997</v>
      </c>
      <c r="AC217">
        <v>40</v>
      </c>
      <c r="AD217">
        <v>19</v>
      </c>
      <c r="AE217" s="59">
        <v>0.46875</v>
      </c>
      <c r="AF217" s="59">
        <v>0.55138888888888882</v>
      </c>
      <c r="AG217">
        <v>25</v>
      </c>
    </row>
    <row r="218" spans="1:33" x14ac:dyDescent="0.25">
      <c r="A218" t="s">
        <v>258</v>
      </c>
      <c r="B218" t="s">
        <v>284</v>
      </c>
      <c r="C218" t="s">
        <v>285</v>
      </c>
      <c r="E218" t="s">
        <v>286</v>
      </c>
      <c r="F218" t="s">
        <v>134</v>
      </c>
      <c r="H218" t="s">
        <v>149</v>
      </c>
      <c r="I218" t="s">
        <v>127</v>
      </c>
      <c r="J218" t="s">
        <v>258</v>
      </c>
      <c r="K218" t="s">
        <v>318</v>
      </c>
      <c r="L218" t="s">
        <v>319</v>
      </c>
      <c r="N218" t="s">
        <v>320</v>
      </c>
      <c r="O218" t="s">
        <v>134</v>
      </c>
      <c r="Q218" t="s">
        <v>178</v>
      </c>
      <c r="R218" t="s">
        <v>150</v>
      </c>
      <c r="S218" t="s">
        <v>128</v>
      </c>
      <c r="T218" t="s">
        <v>181</v>
      </c>
      <c r="U218" t="s">
        <v>151</v>
      </c>
      <c r="V218" t="s">
        <v>74</v>
      </c>
      <c r="W218" s="58">
        <v>43348</v>
      </c>
      <c r="X218" s="59">
        <v>0.5625</v>
      </c>
      <c r="Y218" s="59">
        <v>0.64583333333333337</v>
      </c>
      <c r="Z218" s="59">
        <v>8.3333333333333329E-2</v>
      </c>
      <c r="AA218">
        <v>4</v>
      </c>
      <c r="AB218">
        <v>3.7080000000000002</v>
      </c>
      <c r="AC218">
        <v>40</v>
      </c>
      <c r="AD218">
        <v>19</v>
      </c>
      <c r="AE218" s="59">
        <v>0.5625</v>
      </c>
      <c r="AF218" s="59">
        <v>0.66597222222222219</v>
      </c>
      <c r="AG218">
        <v>25</v>
      </c>
    </row>
    <row r="219" spans="1:33" x14ac:dyDescent="0.25">
      <c r="A219" t="s">
        <v>274</v>
      </c>
      <c r="B219" t="s">
        <v>321</v>
      </c>
      <c r="C219" t="s">
        <v>322</v>
      </c>
      <c r="D219" t="s">
        <v>323</v>
      </c>
      <c r="E219" t="s">
        <v>324</v>
      </c>
      <c r="F219" t="s">
        <v>134</v>
      </c>
      <c r="H219" t="s">
        <v>184</v>
      </c>
      <c r="I219" t="s">
        <v>147</v>
      </c>
      <c r="J219" t="s">
        <v>258</v>
      </c>
      <c r="K219" t="s">
        <v>318</v>
      </c>
      <c r="L219" t="s">
        <v>319</v>
      </c>
      <c r="N219" t="s">
        <v>320</v>
      </c>
      <c r="O219" t="s">
        <v>134</v>
      </c>
      <c r="Q219" t="s">
        <v>178</v>
      </c>
      <c r="R219" t="s">
        <v>185</v>
      </c>
      <c r="S219" t="s">
        <v>128</v>
      </c>
      <c r="T219" t="s">
        <v>181</v>
      </c>
      <c r="U219" t="s">
        <v>151</v>
      </c>
      <c r="V219" t="s">
        <v>74</v>
      </c>
      <c r="W219" s="58">
        <v>43348</v>
      </c>
      <c r="X219" s="59">
        <v>0.8125</v>
      </c>
      <c r="Y219" s="59">
        <v>0.84375</v>
      </c>
      <c r="Z219" s="59">
        <v>3.125E-2</v>
      </c>
      <c r="AA219">
        <v>0</v>
      </c>
      <c r="AC219">
        <v>15</v>
      </c>
      <c r="AD219">
        <v>7.125</v>
      </c>
      <c r="AE219" s="59">
        <v>0.8125</v>
      </c>
      <c r="AF219" s="59">
        <v>0.84305555555555556</v>
      </c>
      <c r="AG219">
        <v>25</v>
      </c>
    </row>
    <row r="220" spans="1:33" x14ac:dyDescent="0.25">
      <c r="A220" t="s">
        <v>258</v>
      </c>
      <c r="B220" t="s">
        <v>278</v>
      </c>
      <c r="C220" t="s">
        <v>279</v>
      </c>
      <c r="E220" t="s">
        <v>280</v>
      </c>
      <c r="F220" t="s">
        <v>134</v>
      </c>
      <c r="H220" t="s">
        <v>144</v>
      </c>
      <c r="I220" t="s">
        <v>133</v>
      </c>
      <c r="J220" t="s">
        <v>258</v>
      </c>
      <c r="K220" t="s">
        <v>318</v>
      </c>
      <c r="L220" t="s">
        <v>319</v>
      </c>
      <c r="N220" t="s">
        <v>320</v>
      </c>
      <c r="O220" t="s">
        <v>134</v>
      </c>
      <c r="Q220" t="s">
        <v>178</v>
      </c>
      <c r="R220" t="s">
        <v>145</v>
      </c>
      <c r="S220" t="s">
        <v>128</v>
      </c>
      <c r="T220" t="s">
        <v>181</v>
      </c>
      <c r="U220" t="s">
        <v>129</v>
      </c>
      <c r="V220" t="s">
        <v>74</v>
      </c>
      <c r="W220" s="58">
        <v>43348</v>
      </c>
      <c r="X220" s="59">
        <v>0.84375</v>
      </c>
      <c r="Y220" s="59">
        <v>0.88541666666666663</v>
      </c>
      <c r="Z220" s="59">
        <v>4.1666666666666664E-2</v>
      </c>
      <c r="AA220">
        <v>14</v>
      </c>
      <c r="AB220">
        <v>11.010199999999999</v>
      </c>
      <c r="AC220">
        <v>23</v>
      </c>
      <c r="AD220">
        <v>9.5</v>
      </c>
      <c r="AE220" s="59">
        <v>0.86458333333333337</v>
      </c>
      <c r="AF220" s="59">
        <v>0.90555555555555556</v>
      </c>
      <c r="AG220">
        <v>25</v>
      </c>
    </row>
    <row r="221" spans="1:33" x14ac:dyDescent="0.25">
      <c r="A221" t="s">
        <v>274</v>
      </c>
      <c r="B221" t="s">
        <v>328</v>
      </c>
      <c r="C221" t="s">
        <v>329</v>
      </c>
      <c r="D221">
        <v>5</v>
      </c>
      <c r="E221" t="s">
        <v>330</v>
      </c>
      <c r="F221" t="s">
        <v>134</v>
      </c>
      <c r="G221" t="s">
        <v>218</v>
      </c>
      <c r="H221" t="s">
        <v>188</v>
      </c>
      <c r="I221" t="s">
        <v>189</v>
      </c>
      <c r="J221" t="s">
        <v>258</v>
      </c>
      <c r="K221" t="s">
        <v>318</v>
      </c>
      <c r="L221" t="s">
        <v>319</v>
      </c>
      <c r="N221" t="s">
        <v>320</v>
      </c>
      <c r="O221" t="s">
        <v>134</v>
      </c>
      <c r="Q221" t="s">
        <v>178</v>
      </c>
      <c r="R221" t="s">
        <v>190</v>
      </c>
      <c r="S221" t="s">
        <v>128</v>
      </c>
      <c r="T221" t="s">
        <v>181</v>
      </c>
      <c r="U221" t="s">
        <v>151</v>
      </c>
      <c r="V221" t="s">
        <v>75</v>
      </c>
      <c r="W221" s="58">
        <v>43349</v>
      </c>
      <c r="X221" s="59">
        <v>0.33333333333333331</v>
      </c>
      <c r="Y221" s="59">
        <v>0.5</v>
      </c>
      <c r="Z221" s="59">
        <v>0.16666666666666666</v>
      </c>
      <c r="AA221">
        <v>0</v>
      </c>
      <c r="AC221">
        <v>80</v>
      </c>
      <c r="AD221">
        <v>38</v>
      </c>
      <c r="AE221" s="59">
        <v>0.33333333333333331</v>
      </c>
      <c r="AF221" s="59">
        <v>0.4993055555555555</v>
      </c>
      <c r="AG221">
        <v>25</v>
      </c>
    </row>
    <row r="222" spans="1:33" x14ac:dyDescent="0.25">
      <c r="A222" t="s">
        <v>258</v>
      </c>
      <c r="B222" t="s">
        <v>284</v>
      </c>
      <c r="C222" t="s">
        <v>285</v>
      </c>
      <c r="E222" t="s">
        <v>286</v>
      </c>
      <c r="F222" t="s">
        <v>134</v>
      </c>
      <c r="H222" t="s">
        <v>149</v>
      </c>
      <c r="I222" t="s">
        <v>127</v>
      </c>
      <c r="J222" t="s">
        <v>258</v>
      </c>
      <c r="K222" t="s">
        <v>318</v>
      </c>
      <c r="L222" t="s">
        <v>319</v>
      </c>
      <c r="N222" t="s">
        <v>320</v>
      </c>
      <c r="O222" t="s">
        <v>134</v>
      </c>
      <c r="Q222" t="s">
        <v>178</v>
      </c>
      <c r="R222" t="s">
        <v>150</v>
      </c>
      <c r="S222" t="s">
        <v>128</v>
      </c>
      <c r="T222" t="s">
        <v>181</v>
      </c>
      <c r="U222" t="s">
        <v>151</v>
      </c>
      <c r="V222" t="s">
        <v>76</v>
      </c>
      <c r="W222" s="58">
        <v>43350</v>
      </c>
      <c r="X222" s="59">
        <v>0.33333333333333331</v>
      </c>
      <c r="Y222" s="59">
        <v>0.39583333333333331</v>
      </c>
      <c r="Z222" s="59">
        <v>6.25E-2</v>
      </c>
      <c r="AA222">
        <v>0</v>
      </c>
      <c r="AC222">
        <v>30</v>
      </c>
      <c r="AD222">
        <v>14.25</v>
      </c>
      <c r="AE222" s="59">
        <v>0.33333333333333331</v>
      </c>
      <c r="AF222" s="59">
        <v>0.39513888888888887</v>
      </c>
      <c r="AG222">
        <v>25</v>
      </c>
    </row>
    <row r="223" spans="1:33" x14ac:dyDescent="0.25">
      <c r="A223" t="s">
        <v>258</v>
      </c>
      <c r="B223" t="s">
        <v>287</v>
      </c>
      <c r="C223" t="s">
        <v>288</v>
      </c>
      <c r="E223" t="s">
        <v>289</v>
      </c>
      <c r="F223" t="s">
        <v>134</v>
      </c>
      <c r="H223" t="s">
        <v>152</v>
      </c>
      <c r="I223" t="s">
        <v>127</v>
      </c>
      <c r="J223" t="s">
        <v>258</v>
      </c>
      <c r="K223" t="s">
        <v>318</v>
      </c>
      <c r="L223" t="s">
        <v>319</v>
      </c>
      <c r="N223" t="s">
        <v>320</v>
      </c>
      <c r="O223" t="s">
        <v>134</v>
      </c>
      <c r="Q223" t="s">
        <v>178</v>
      </c>
      <c r="R223" t="s">
        <v>153</v>
      </c>
      <c r="S223" t="s">
        <v>128</v>
      </c>
      <c r="T223" t="s">
        <v>181</v>
      </c>
      <c r="U223" t="s">
        <v>151</v>
      </c>
      <c r="V223" t="s">
        <v>76</v>
      </c>
      <c r="W223" s="58">
        <v>43350</v>
      </c>
      <c r="X223" s="59">
        <v>0.39583333333333331</v>
      </c>
      <c r="Y223" s="59">
        <v>0.45833333333333331</v>
      </c>
      <c r="Z223" s="59">
        <v>6.25E-2</v>
      </c>
      <c r="AA223">
        <v>0</v>
      </c>
      <c r="AB223">
        <v>0.27279999999999999</v>
      </c>
      <c r="AC223">
        <v>30</v>
      </c>
      <c r="AD223">
        <v>14.25</v>
      </c>
      <c r="AE223" s="59">
        <v>0.39583333333333331</v>
      </c>
      <c r="AF223" s="59">
        <v>0.45763888888888887</v>
      </c>
      <c r="AG223">
        <v>25</v>
      </c>
    </row>
    <row r="224" spans="1:33" x14ac:dyDescent="0.25">
      <c r="A224" t="s">
        <v>274</v>
      </c>
      <c r="B224" t="s">
        <v>328</v>
      </c>
      <c r="C224" t="s">
        <v>329</v>
      </c>
      <c r="D224">
        <v>5</v>
      </c>
      <c r="E224" t="s">
        <v>330</v>
      </c>
      <c r="F224" t="s">
        <v>134</v>
      </c>
      <c r="G224" t="s">
        <v>218</v>
      </c>
      <c r="H224" t="s">
        <v>188</v>
      </c>
      <c r="I224" t="s">
        <v>189</v>
      </c>
      <c r="J224" t="s">
        <v>258</v>
      </c>
      <c r="K224" t="s">
        <v>318</v>
      </c>
      <c r="L224" t="s">
        <v>319</v>
      </c>
      <c r="N224" t="s">
        <v>320</v>
      </c>
      <c r="O224" t="s">
        <v>134</v>
      </c>
      <c r="Q224" t="s">
        <v>178</v>
      </c>
      <c r="R224" t="s">
        <v>190</v>
      </c>
      <c r="S224" t="s">
        <v>128</v>
      </c>
      <c r="T224" t="s">
        <v>181</v>
      </c>
      <c r="U224" t="s">
        <v>151</v>
      </c>
      <c r="V224" t="s">
        <v>76</v>
      </c>
      <c r="W224" s="58">
        <v>43350</v>
      </c>
      <c r="X224" s="59">
        <v>0.5</v>
      </c>
      <c r="Y224" s="59">
        <v>0.75</v>
      </c>
      <c r="Z224" s="59">
        <v>0.25</v>
      </c>
      <c r="AA224">
        <v>7</v>
      </c>
      <c r="AB224">
        <v>3.5261999999999998</v>
      </c>
      <c r="AC224">
        <v>120</v>
      </c>
      <c r="AD224">
        <v>57</v>
      </c>
      <c r="AE224" s="59">
        <v>0.5</v>
      </c>
      <c r="AF224" s="59">
        <v>0.74930555555555556</v>
      </c>
      <c r="AG224">
        <v>25</v>
      </c>
    </row>
    <row r="225" spans="1:33" x14ac:dyDescent="0.25">
      <c r="B225" t="s">
        <v>331</v>
      </c>
      <c r="C225" t="s">
        <v>332</v>
      </c>
      <c r="E225" t="s">
        <v>333</v>
      </c>
      <c r="F225" t="s">
        <v>134</v>
      </c>
      <c r="G225" t="s">
        <v>218</v>
      </c>
      <c r="H225" t="s">
        <v>177</v>
      </c>
      <c r="I225" t="s">
        <v>158</v>
      </c>
      <c r="J225" t="s">
        <v>258</v>
      </c>
      <c r="K225" t="s">
        <v>318</v>
      </c>
      <c r="L225" t="s">
        <v>319</v>
      </c>
      <c r="N225" t="s">
        <v>320</v>
      </c>
      <c r="O225" t="s">
        <v>134</v>
      </c>
      <c r="Q225" t="s">
        <v>178</v>
      </c>
      <c r="R225" t="s">
        <v>179</v>
      </c>
      <c r="S225" t="s">
        <v>128</v>
      </c>
      <c r="T225" t="s">
        <v>181</v>
      </c>
      <c r="U225" t="s">
        <v>191</v>
      </c>
      <c r="V225" t="s">
        <v>76</v>
      </c>
      <c r="W225" s="58">
        <v>43350</v>
      </c>
      <c r="X225" s="59">
        <v>0.75</v>
      </c>
      <c r="Y225" s="59">
        <v>0.875</v>
      </c>
      <c r="Z225" s="59">
        <v>0.125</v>
      </c>
      <c r="AA225">
        <v>17</v>
      </c>
      <c r="AB225">
        <v>11.574999999999999</v>
      </c>
      <c r="AC225">
        <v>0</v>
      </c>
      <c r="AD225">
        <v>28.5</v>
      </c>
      <c r="AE225" s="59">
        <v>0.75</v>
      </c>
      <c r="AF225" s="59">
        <v>0.87430555555555556</v>
      </c>
      <c r="AG225">
        <v>25</v>
      </c>
    </row>
    <row r="226" spans="1:33" x14ac:dyDescent="0.25">
      <c r="A226" t="s">
        <v>258</v>
      </c>
      <c r="B226" t="s">
        <v>270</v>
      </c>
      <c r="C226" t="s">
        <v>271</v>
      </c>
      <c r="D226" t="s">
        <v>272</v>
      </c>
      <c r="E226" t="s">
        <v>273</v>
      </c>
      <c r="F226" t="s">
        <v>134</v>
      </c>
      <c r="H226" t="s">
        <v>138</v>
      </c>
      <c r="I226" t="s">
        <v>139</v>
      </c>
      <c r="J226" t="s">
        <v>258</v>
      </c>
      <c r="K226" t="s">
        <v>318</v>
      </c>
      <c r="L226" t="s">
        <v>319</v>
      </c>
      <c r="N226" t="s">
        <v>320</v>
      </c>
      <c r="O226" t="s">
        <v>134</v>
      </c>
      <c r="Q226" t="s">
        <v>178</v>
      </c>
      <c r="R226" t="s">
        <v>140</v>
      </c>
      <c r="S226" t="s">
        <v>128</v>
      </c>
      <c r="T226" t="s">
        <v>181</v>
      </c>
      <c r="U226" t="s">
        <v>129</v>
      </c>
      <c r="V226" t="s">
        <v>77</v>
      </c>
      <c r="W226" s="58">
        <v>43351</v>
      </c>
      <c r="X226" s="59">
        <v>0.32708333333333334</v>
      </c>
      <c r="Y226" s="59">
        <v>0.36874999999999997</v>
      </c>
      <c r="Z226" s="59">
        <v>4.1666666666666664E-2</v>
      </c>
      <c r="AA226">
        <v>0</v>
      </c>
      <c r="AC226">
        <v>23</v>
      </c>
      <c r="AD226">
        <v>10.5</v>
      </c>
      <c r="AE226" s="59">
        <v>0.32708333333333334</v>
      </c>
      <c r="AF226" s="59">
        <v>0.36805555555555558</v>
      </c>
      <c r="AG226">
        <v>25</v>
      </c>
    </row>
    <row r="227" spans="1:33" x14ac:dyDescent="0.25">
      <c r="A227" t="s">
        <v>274</v>
      </c>
      <c r="B227" t="s">
        <v>336</v>
      </c>
      <c r="C227" t="s">
        <v>337</v>
      </c>
      <c r="E227" t="s">
        <v>338</v>
      </c>
      <c r="F227" t="s">
        <v>134</v>
      </c>
      <c r="H227" t="s">
        <v>186</v>
      </c>
      <c r="I227" t="s">
        <v>147</v>
      </c>
      <c r="J227" t="s">
        <v>258</v>
      </c>
      <c r="K227" t="s">
        <v>318</v>
      </c>
      <c r="L227" t="s">
        <v>319</v>
      </c>
      <c r="N227" t="s">
        <v>320</v>
      </c>
      <c r="O227" t="s">
        <v>134</v>
      </c>
      <c r="Q227" t="s">
        <v>178</v>
      </c>
      <c r="R227" t="s">
        <v>187</v>
      </c>
      <c r="S227" t="s">
        <v>128</v>
      </c>
      <c r="T227" t="s">
        <v>181</v>
      </c>
      <c r="U227" t="s">
        <v>151</v>
      </c>
      <c r="V227" t="s">
        <v>77</v>
      </c>
      <c r="W227" s="58">
        <v>43351</v>
      </c>
      <c r="X227" s="59">
        <v>0.38194444444444442</v>
      </c>
      <c r="Y227" s="59">
        <v>0.4236111111111111</v>
      </c>
      <c r="Z227" s="59">
        <v>4.1666666666666664E-2</v>
      </c>
      <c r="AA227">
        <v>12</v>
      </c>
      <c r="AB227">
        <v>10.041</v>
      </c>
      <c r="AC227">
        <v>20</v>
      </c>
      <c r="AD227">
        <v>10.5</v>
      </c>
      <c r="AE227" s="59">
        <v>0.38194444444444442</v>
      </c>
      <c r="AF227" s="59">
        <v>0.42291666666666666</v>
      </c>
      <c r="AG227">
        <v>25</v>
      </c>
    </row>
    <row r="228" spans="1:33" x14ac:dyDescent="0.25">
      <c r="B228" t="s">
        <v>331</v>
      </c>
      <c r="C228" t="s">
        <v>332</v>
      </c>
      <c r="E228" t="s">
        <v>333</v>
      </c>
      <c r="F228" t="s">
        <v>134</v>
      </c>
      <c r="G228" t="s">
        <v>218</v>
      </c>
      <c r="H228" t="s">
        <v>177</v>
      </c>
      <c r="I228" t="s">
        <v>158</v>
      </c>
      <c r="J228" t="s">
        <v>258</v>
      </c>
      <c r="K228" t="s">
        <v>318</v>
      </c>
      <c r="L228" t="s">
        <v>319</v>
      </c>
      <c r="N228" t="s">
        <v>320</v>
      </c>
      <c r="O228" t="s">
        <v>134</v>
      </c>
      <c r="Q228" t="s">
        <v>178</v>
      </c>
      <c r="R228" t="s">
        <v>179</v>
      </c>
      <c r="S228" t="s">
        <v>128</v>
      </c>
      <c r="T228" t="s">
        <v>181</v>
      </c>
      <c r="U228" t="s">
        <v>194</v>
      </c>
      <c r="V228" t="s">
        <v>77</v>
      </c>
      <c r="W228" s="58">
        <v>43351</v>
      </c>
      <c r="X228" s="59">
        <v>0.45833333333333331</v>
      </c>
      <c r="Y228" s="59">
        <v>0.70833333333333337</v>
      </c>
      <c r="Z228" s="59">
        <v>0.25</v>
      </c>
      <c r="AA228">
        <v>16</v>
      </c>
      <c r="AB228">
        <v>12.929600000000001</v>
      </c>
      <c r="AC228">
        <v>150</v>
      </c>
      <c r="AD228">
        <v>63</v>
      </c>
      <c r="AE228" s="59">
        <v>0.45833333333333331</v>
      </c>
      <c r="AF228" s="59">
        <v>0.70763888888888893</v>
      </c>
      <c r="AG228">
        <v>25</v>
      </c>
    </row>
    <row r="229" spans="1:33" x14ac:dyDescent="0.25">
      <c r="A229" t="s">
        <v>258</v>
      </c>
      <c r="B229" t="s">
        <v>278</v>
      </c>
      <c r="C229" t="s">
        <v>279</v>
      </c>
      <c r="E229" t="s">
        <v>280</v>
      </c>
      <c r="F229" t="s">
        <v>134</v>
      </c>
      <c r="H229" t="s">
        <v>144</v>
      </c>
      <c r="I229" t="s">
        <v>133</v>
      </c>
      <c r="J229" t="s">
        <v>258</v>
      </c>
      <c r="K229" t="s">
        <v>318</v>
      </c>
      <c r="L229" t="s">
        <v>319</v>
      </c>
      <c r="N229" t="s">
        <v>320</v>
      </c>
      <c r="O229" t="s">
        <v>134</v>
      </c>
      <c r="Q229" t="s">
        <v>178</v>
      </c>
      <c r="R229" t="s">
        <v>145</v>
      </c>
      <c r="S229" t="s">
        <v>128</v>
      </c>
      <c r="T229" t="s">
        <v>181</v>
      </c>
      <c r="U229" t="s">
        <v>129</v>
      </c>
      <c r="V229" t="s">
        <v>77</v>
      </c>
      <c r="W229" s="58">
        <v>43351</v>
      </c>
      <c r="X229" s="59">
        <v>0.72916666666666663</v>
      </c>
      <c r="Y229" s="59">
        <v>0.77083333333333337</v>
      </c>
      <c r="Z229" s="59">
        <v>4.1666666666666664E-2</v>
      </c>
      <c r="AA229">
        <v>9</v>
      </c>
      <c r="AB229">
        <v>4.7397999999999998</v>
      </c>
      <c r="AC229">
        <v>23</v>
      </c>
      <c r="AD229">
        <v>10.5</v>
      </c>
      <c r="AE229" s="59">
        <v>0.72916666666666663</v>
      </c>
      <c r="AF229" s="59">
        <v>0.77013888888888893</v>
      </c>
      <c r="AG229">
        <v>25</v>
      </c>
    </row>
    <row r="230" spans="1:33" x14ac:dyDescent="0.25">
      <c r="A230" t="s">
        <v>258</v>
      </c>
      <c r="B230" t="s">
        <v>342</v>
      </c>
      <c r="C230" t="s">
        <v>343</v>
      </c>
      <c r="E230" t="s">
        <v>344</v>
      </c>
      <c r="F230" t="s">
        <v>134</v>
      </c>
      <c r="H230" t="s">
        <v>197</v>
      </c>
      <c r="I230" t="s">
        <v>198</v>
      </c>
      <c r="J230" t="s">
        <v>258</v>
      </c>
      <c r="K230" t="s">
        <v>318</v>
      </c>
      <c r="L230" t="s">
        <v>319</v>
      </c>
      <c r="N230" t="s">
        <v>320</v>
      </c>
      <c r="O230" t="s">
        <v>134</v>
      </c>
      <c r="Q230" t="s">
        <v>178</v>
      </c>
      <c r="R230" t="s">
        <v>199</v>
      </c>
      <c r="S230" t="s">
        <v>128</v>
      </c>
      <c r="T230" t="s">
        <v>181</v>
      </c>
      <c r="U230" t="s">
        <v>151</v>
      </c>
      <c r="V230" t="s">
        <v>77</v>
      </c>
      <c r="W230" s="58">
        <v>43351</v>
      </c>
      <c r="X230" s="59">
        <v>0.80208333333333337</v>
      </c>
      <c r="Y230" s="59">
        <v>0.84375</v>
      </c>
      <c r="Z230" s="59">
        <v>4.1666666666666664E-2</v>
      </c>
      <c r="AA230">
        <v>16</v>
      </c>
      <c r="AB230">
        <v>8.8135999999999992</v>
      </c>
      <c r="AC230">
        <v>20</v>
      </c>
      <c r="AD230">
        <v>10.5</v>
      </c>
      <c r="AE230" s="59">
        <v>0.80208333333333337</v>
      </c>
      <c r="AF230" s="59">
        <v>0.84305555555555556</v>
      </c>
      <c r="AG230">
        <v>25</v>
      </c>
    </row>
    <row r="231" spans="1:33" x14ac:dyDescent="0.25">
      <c r="A231" t="s">
        <v>274</v>
      </c>
      <c r="B231" t="s">
        <v>328</v>
      </c>
      <c r="C231" t="s">
        <v>329</v>
      </c>
      <c r="D231">
        <v>5</v>
      </c>
      <c r="E231" t="s">
        <v>330</v>
      </c>
      <c r="F231" t="s">
        <v>134</v>
      </c>
      <c r="G231" t="s">
        <v>218</v>
      </c>
      <c r="H231" t="s">
        <v>188</v>
      </c>
      <c r="I231" t="s">
        <v>189</v>
      </c>
      <c r="J231" t="s">
        <v>258</v>
      </c>
      <c r="K231" t="s">
        <v>318</v>
      </c>
      <c r="L231" t="s">
        <v>319</v>
      </c>
      <c r="N231" t="s">
        <v>320</v>
      </c>
      <c r="O231" t="s">
        <v>134</v>
      </c>
      <c r="Q231" t="s">
        <v>178</v>
      </c>
      <c r="R231" t="s">
        <v>190</v>
      </c>
      <c r="S231" t="s">
        <v>128</v>
      </c>
      <c r="T231" t="s">
        <v>181</v>
      </c>
      <c r="U231" t="s">
        <v>151</v>
      </c>
      <c r="V231" t="s">
        <v>71</v>
      </c>
      <c r="W231" s="58">
        <v>43352</v>
      </c>
      <c r="X231" s="59">
        <v>0.375</v>
      </c>
      <c r="Y231" s="59">
        <v>0.45833333333333331</v>
      </c>
      <c r="Z231" s="59">
        <v>8.3333333333333329E-2</v>
      </c>
      <c r="AA231">
        <v>0</v>
      </c>
      <c r="AC231">
        <v>40</v>
      </c>
      <c r="AD231">
        <v>21</v>
      </c>
      <c r="AE231" s="59">
        <v>0.375</v>
      </c>
      <c r="AF231" s="59">
        <v>0.45763888888888887</v>
      </c>
      <c r="AG231">
        <v>25</v>
      </c>
    </row>
    <row r="232" spans="1:33" x14ac:dyDescent="0.25">
      <c r="B232" t="s">
        <v>331</v>
      </c>
      <c r="C232" t="s">
        <v>332</v>
      </c>
      <c r="E232" t="s">
        <v>333</v>
      </c>
      <c r="F232" t="s">
        <v>134</v>
      </c>
      <c r="G232" t="s">
        <v>218</v>
      </c>
      <c r="H232" t="s">
        <v>177</v>
      </c>
      <c r="I232" t="s">
        <v>158</v>
      </c>
      <c r="J232" t="s">
        <v>258</v>
      </c>
      <c r="K232" t="s">
        <v>318</v>
      </c>
      <c r="L232" t="s">
        <v>319</v>
      </c>
      <c r="N232" t="s">
        <v>320</v>
      </c>
      <c r="O232" t="s">
        <v>134</v>
      </c>
      <c r="Q232" t="s">
        <v>178</v>
      </c>
      <c r="R232" t="s">
        <v>179</v>
      </c>
      <c r="S232" t="s">
        <v>128</v>
      </c>
      <c r="T232" t="s">
        <v>181</v>
      </c>
      <c r="U232" t="s">
        <v>191</v>
      </c>
      <c r="V232" t="s">
        <v>71</v>
      </c>
      <c r="W232" s="58">
        <v>43352</v>
      </c>
      <c r="X232" s="59">
        <v>0.45833333333333331</v>
      </c>
      <c r="Y232" s="59">
        <v>0.70833333333333337</v>
      </c>
      <c r="Z232" s="59">
        <v>0.25</v>
      </c>
      <c r="AA232">
        <v>17</v>
      </c>
      <c r="AB232">
        <v>11.574999999999999</v>
      </c>
      <c r="AC232">
        <v>0</v>
      </c>
      <c r="AD232">
        <v>63</v>
      </c>
      <c r="AE232" s="59">
        <v>0.45833333333333331</v>
      </c>
      <c r="AF232" s="59">
        <v>0.70763888888888893</v>
      </c>
      <c r="AG232">
        <v>25</v>
      </c>
    </row>
    <row r="233" spans="1:33" x14ac:dyDescent="0.25">
      <c r="A233" t="s">
        <v>258</v>
      </c>
      <c r="B233" t="s">
        <v>278</v>
      </c>
      <c r="C233" t="s">
        <v>279</v>
      </c>
      <c r="E233" t="s">
        <v>280</v>
      </c>
      <c r="F233" t="s">
        <v>134</v>
      </c>
      <c r="H233" t="s">
        <v>144</v>
      </c>
      <c r="I233" t="s">
        <v>133</v>
      </c>
      <c r="J233" t="s">
        <v>258</v>
      </c>
      <c r="K233" t="s">
        <v>318</v>
      </c>
      <c r="L233" t="s">
        <v>319</v>
      </c>
      <c r="N233" t="s">
        <v>320</v>
      </c>
      <c r="O233" t="s">
        <v>134</v>
      </c>
      <c r="Q233" t="s">
        <v>178</v>
      </c>
      <c r="R233" t="s">
        <v>145</v>
      </c>
      <c r="S233" t="s">
        <v>128</v>
      </c>
      <c r="T233" t="s">
        <v>181</v>
      </c>
      <c r="U233" t="s">
        <v>129</v>
      </c>
      <c r="V233" t="s">
        <v>71</v>
      </c>
      <c r="W233" s="58">
        <v>43352</v>
      </c>
      <c r="X233" s="59">
        <v>0.70833333333333337</v>
      </c>
      <c r="Y233" s="59">
        <v>0.75</v>
      </c>
      <c r="Z233" s="59">
        <v>4.1666666666666664E-2</v>
      </c>
      <c r="AA233">
        <v>9</v>
      </c>
      <c r="AB233">
        <v>4.7397999999999998</v>
      </c>
      <c r="AC233">
        <v>23</v>
      </c>
      <c r="AD233">
        <v>10.5</v>
      </c>
      <c r="AE233" s="59">
        <v>0.70833333333333337</v>
      </c>
      <c r="AF233" s="59">
        <v>0.74930555555555556</v>
      </c>
      <c r="AG233">
        <v>25</v>
      </c>
    </row>
    <row r="234" spans="1:33" x14ac:dyDescent="0.25">
      <c r="A234" t="s">
        <v>258</v>
      </c>
      <c r="B234" t="s">
        <v>270</v>
      </c>
      <c r="C234" t="s">
        <v>271</v>
      </c>
      <c r="D234" t="s">
        <v>272</v>
      </c>
      <c r="E234" t="s">
        <v>273</v>
      </c>
      <c r="F234" t="s">
        <v>134</v>
      </c>
      <c r="H234" t="s">
        <v>138</v>
      </c>
      <c r="I234" t="s">
        <v>139</v>
      </c>
      <c r="J234" t="s">
        <v>258</v>
      </c>
      <c r="K234" t="s">
        <v>318</v>
      </c>
      <c r="L234" t="s">
        <v>319</v>
      </c>
      <c r="N234" t="s">
        <v>320</v>
      </c>
      <c r="O234" t="s">
        <v>134</v>
      </c>
      <c r="Q234" t="s">
        <v>178</v>
      </c>
      <c r="R234" t="s">
        <v>140</v>
      </c>
      <c r="S234" t="s">
        <v>128</v>
      </c>
      <c r="T234" t="s">
        <v>181</v>
      </c>
      <c r="U234" t="s">
        <v>129</v>
      </c>
      <c r="V234" t="s">
        <v>71</v>
      </c>
      <c r="W234" s="58">
        <v>43352</v>
      </c>
      <c r="X234" s="59">
        <v>0.76041666666666663</v>
      </c>
      <c r="Y234" s="59">
        <v>0.80208333333333337</v>
      </c>
      <c r="Z234" s="59">
        <v>4.1666666666666664E-2</v>
      </c>
      <c r="AA234">
        <v>5</v>
      </c>
      <c r="AB234">
        <v>2.2465999999999999</v>
      </c>
      <c r="AC234">
        <v>23</v>
      </c>
      <c r="AD234">
        <v>10.5</v>
      </c>
      <c r="AE234" s="59">
        <v>0.76041666666666663</v>
      </c>
      <c r="AF234" s="59">
        <v>0.80138888888888893</v>
      </c>
      <c r="AG234">
        <v>25</v>
      </c>
    </row>
    <row r="235" spans="1:33" x14ac:dyDescent="0.25">
      <c r="A235" t="s">
        <v>274</v>
      </c>
      <c r="B235" t="s">
        <v>275</v>
      </c>
      <c r="C235" t="s">
        <v>276</v>
      </c>
      <c r="E235" t="s">
        <v>277</v>
      </c>
      <c r="F235" t="s">
        <v>134</v>
      </c>
      <c r="H235" t="s">
        <v>141</v>
      </c>
      <c r="I235" t="s">
        <v>142</v>
      </c>
      <c r="J235" t="s">
        <v>258</v>
      </c>
      <c r="K235" t="s">
        <v>318</v>
      </c>
      <c r="L235" t="s">
        <v>319</v>
      </c>
      <c r="N235" t="s">
        <v>320</v>
      </c>
      <c r="O235" t="s">
        <v>134</v>
      </c>
      <c r="Q235" t="s">
        <v>178</v>
      </c>
      <c r="R235" t="s">
        <v>143</v>
      </c>
      <c r="S235" t="s">
        <v>128</v>
      </c>
      <c r="T235" t="s">
        <v>181</v>
      </c>
      <c r="U235" t="s">
        <v>129</v>
      </c>
      <c r="V235" t="s">
        <v>71</v>
      </c>
      <c r="W235" s="58">
        <v>43352</v>
      </c>
      <c r="X235" s="59">
        <v>0.8125</v>
      </c>
      <c r="Y235" s="59">
        <v>0.83333333333333337</v>
      </c>
      <c r="Z235" s="59">
        <v>2.0833333333333332E-2</v>
      </c>
      <c r="AA235">
        <v>2</v>
      </c>
      <c r="AB235">
        <v>0.9</v>
      </c>
      <c r="AC235">
        <v>11.5</v>
      </c>
      <c r="AD235">
        <v>5.25</v>
      </c>
      <c r="AE235" s="59">
        <v>0.8125</v>
      </c>
      <c r="AF235" s="59">
        <v>0.83263888888888893</v>
      </c>
      <c r="AG235">
        <v>25</v>
      </c>
    </row>
    <row r="236" spans="1:33" x14ac:dyDescent="0.25">
      <c r="A236" t="s">
        <v>258</v>
      </c>
      <c r="B236" t="s">
        <v>278</v>
      </c>
      <c r="C236" t="s">
        <v>279</v>
      </c>
      <c r="E236" t="s">
        <v>280</v>
      </c>
      <c r="F236" t="s">
        <v>134</v>
      </c>
      <c r="H236" t="s">
        <v>144</v>
      </c>
      <c r="I236" t="s">
        <v>133</v>
      </c>
      <c r="J236" t="s">
        <v>258</v>
      </c>
      <c r="K236" t="s">
        <v>318</v>
      </c>
      <c r="L236" t="s">
        <v>319</v>
      </c>
      <c r="N236" t="s">
        <v>320</v>
      </c>
      <c r="O236" t="s">
        <v>134</v>
      </c>
      <c r="Q236" t="s">
        <v>178</v>
      </c>
      <c r="R236" t="s">
        <v>145</v>
      </c>
      <c r="S236" t="s">
        <v>128</v>
      </c>
      <c r="T236" t="s">
        <v>181</v>
      </c>
      <c r="U236" t="s">
        <v>129</v>
      </c>
      <c r="V236" t="s">
        <v>71</v>
      </c>
      <c r="W236" s="58">
        <v>43352</v>
      </c>
      <c r="X236" s="59">
        <v>0.85416666666666663</v>
      </c>
      <c r="Y236" s="59">
        <v>0.89583333333333337</v>
      </c>
      <c r="Z236" s="59">
        <v>4.1666666666666664E-2</v>
      </c>
      <c r="AA236">
        <v>4</v>
      </c>
      <c r="AB236">
        <v>2.0796000000000001</v>
      </c>
      <c r="AC236">
        <v>23</v>
      </c>
      <c r="AD236">
        <v>10.5</v>
      </c>
      <c r="AE236" s="59">
        <v>0.85416666666666663</v>
      </c>
      <c r="AF236" s="59">
        <v>0.89513888888888893</v>
      </c>
      <c r="AG236">
        <v>25</v>
      </c>
    </row>
    <row r="237" spans="1:33" x14ac:dyDescent="0.25">
      <c r="A237" t="s">
        <v>258</v>
      </c>
      <c r="B237" t="s">
        <v>270</v>
      </c>
      <c r="C237" t="s">
        <v>271</v>
      </c>
      <c r="D237" t="s">
        <v>272</v>
      </c>
      <c r="E237" t="s">
        <v>273</v>
      </c>
      <c r="F237" t="s">
        <v>134</v>
      </c>
      <c r="H237" t="s">
        <v>138</v>
      </c>
      <c r="I237" t="s">
        <v>139</v>
      </c>
      <c r="J237" t="s">
        <v>258</v>
      </c>
      <c r="K237" t="s">
        <v>318</v>
      </c>
      <c r="L237" t="s">
        <v>319</v>
      </c>
      <c r="N237" t="s">
        <v>320</v>
      </c>
      <c r="O237" t="s">
        <v>134</v>
      </c>
      <c r="Q237" t="s">
        <v>178</v>
      </c>
      <c r="R237" t="s">
        <v>140</v>
      </c>
      <c r="S237" t="s">
        <v>128</v>
      </c>
      <c r="T237" t="s">
        <v>181</v>
      </c>
      <c r="U237" t="s">
        <v>129</v>
      </c>
      <c r="V237" t="s">
        <v>73</v>
      </c>
      <c r="W237" s="58">
        <v>43354</v>
      </c>
      <c r="X237" s="59">
        <v>0.33333333333333331</v>
      </c>
      <c r="Y237" s="59">
        <v>0.375</v>
      </c>
      <c r="Z237" s="59">
        <v>4.1666666666666664E-2</v>
      </c>
      <c r="AA237">
        <v>0</v>
      </c>
      <c r="AC237">
        <v>23</v>
      </c>
      <c r="AD237">
        <v>9.5</v>
      </c>
      <c r="AE237" s="59">
        <v>0.33333333333333331</v>
      </c>
      <c r="AF237" s="59">
        <v>0.3743055555555555</v>
      </c>
      <c r="AG237">
        <v>25</v>
      </c>
    </row>
    <row r="238" spans="1:33" x14ac:dyDescent="0.25">
      <c r="A238" t="s">
        <v>258</v>
      </c>
      <c r="B238" t="s">
        <v>278</v>
      </c>
      <c r="C238" t="s">
        <v>279</v>
      </c>
      <c r="E238" t="s">
        <v>280</v>
      </c>
      <c r="F238" t="s">
        <v>134</v>
      </c>
      <c r="H238" t="s">
        <v>144</v>
      </c>
      <c r="I238" t="s">
        <v>133</v>
      </c>
      <c r="J238" t="s">
        <v>258</v>
      </c>
      <c r="K238" t="s">
        <v>318</v>
      </c>
      <c r="L238" t="s">
        <v>319</v>
      </c>
      <c r="N238" t="s">
        <v>320</v>
      </c>
      <c r="O238" t="s">
        <v>134</v>
      </c>
      <c r="Q238" t="s">
        <v>178</v>
      </c>
      <c r="R238" t="s">
        <v>145</v>
      </c>
      <c r="S238" t="s">
        <v>128</v>
      </c>
      <c r="T238" t="s">
        <v>181</v>
      </c>
      <c r="U238" t="s">
        <v>129</v>
      </c>
      <c r="V238" t="s">
        <v>73</v>
      </c>
      <c r="W238" s="58">
        <v>43354</v>
      </c>
      <c r="X238" s="59">
        <v>0.3888888888888889</v>
      </c>
      <c r="Y238" s="59">
        <v>0.43055555555555558</v>
      </c>
      <c r="Z238" s="59">
        <v>4.1666666666666664E-2</v>
      </c>
      <c r="AA238">
        <v>5</v>
      </c>
      <c r="AB238">
        <v>2.2488000000000001</v>
      </c>
      <c r="AC238">
        <v>23</v>
      </c>
      <c r="AD238">
        <v>9.5</v>
      </c>
      <c r="AE238" s="59">
        <v>0.3888888888888889</v>
      </c>
      <c r="AF238" s="59">
        <v>0.42986111111111108</v>
      </c>
      <c r="AG238">
        <v>25</v>
      </c>
    </row>
    <row r="239" spans="1:33" x14ac:dyDescent="0.25">
      <c r="A239" t="s">
        <v>258</v>
      </c>
      <c r="B239" t="s">
        <v>278</v>
      </c>
      <c r="C239" t="s">
        <v>279</v>
      </c>
      <c r="E239" t="s">
        <v>280</v>
      </c>
      <c r="F239" t="s">
        <v>134</v>
      </c>
      <c r="H239" t="s">
        <v>144</v>
      </c>
      <c r="I239" t="s">
        <v>133</v>
      </c>
      <c r="J239" t="s">
        <v>258</v>
      </c>
      <c r="K239" t="s">
        <v>318</v>
      </c>
      <c r="L239" t="s">
        <v>319</v>
      </c>
      <c r="N239" t="s">
        <v>320</v>
      </c>
      <c r="O239" t="s">
        <v>134</v>
      </c>
      <c r="Q239" t="s">
        <v>178</v>
      </c>
      <c r="R239" t="s">
        <v>145</v>
      </c>
      <c r="S239" t="s">
        <v>128</v>
      </c>
      <c r="T239" t="s">
        <v>181</v>
      </c>
      <c r="U239" t="s">
        <v>129</v>
      </c>
      <c r="V239" t="s">
        <v>73</v>
      </c>
      <c r="W239" s="58">
        <v>43354</v>
      </c>
      <c r="X239" s="59">
        <v>0.70833333333333337</v>
      </c>
      <c r="Y239" s="59">
        <v>0.75</v>
      </c>
      <c r="Z239" s="59">
        <v>4.1666666666666664E-2</v>
      </c>
      <c r="AA239">
        <v>0</v>
      </c>
      <c r="AC239">
        <v>23</v>
      </c>
      <c r="AD239">
        <v>9.5</v>
      </c>
      <c r="AE239" s="59">
        <v>0.70833333333333337</v>
      </c>
      <c r="AF239" s="59">
        <v>0.74930555555555556</v>
      </c>
      <c r="AG239">
        <v>25</v>
      </c>
    </row>
    <row r="240" spans="1:33" x14ac:dyDescent="0.25">
      <c r="A240" t="s">
        <v>258</v>
      </c>
      <c r="B240" t="s">
        <v>270</v>
      </c>
      <c r="C240" t="s">
        <v>271</v>
      </c>
      <c r="D240" t="s">
        <v>272</v>
      </c>
      <c r="E240" t="s">
        <v>273</v>
      </c>
      <c r="F240" t="s">
        <v>134</v>
      </c>
      <c r="H240" t="s">
        <v>138</v>
      </c>
      <c r="I240" t="s">
        <v>139</v>
      </c>
      <c r="J240" t="s">
        <v>258</v>
      </c>
      <c r="K240" t="s">
        <v>318</v>
      </c>
      <c r="L240" t="s">
        <v>319</v>
      </c>
      <c r="N240" t="s">
        <v>320</v>
      </c>
      <c r="O240" t="s">
        <v>134</v>
      </c>
      <c r="Q240" t="s">
        <v>178</v>
      </c>
      <c r="R240" t="s">
        <v>140</v>
      </c>
      <c r="S240" t="s">
        <v>128</v>
      </c>
      <c r="T240" t="s">
        <v>181</v>
      </c>
      <c r="U240" t="s">
        <v>129</v>
      </c>
      <c r="V240" t="s">
        <v>73</v>
      </c>
      <c r="W240" s="58">
        <v>43354</v>
      </c>
      <c r="X240" s="59">
        <v>0.76041666666666663</v>
      </c>
      <c r="Y240" s="59">
        <v>0.80208333333333337</v>
      </c>
      <c r="Z240" s="59">
        <v>4.1666666666666664E-2</v>
      </c>
      <c r="AA240">
        <v>5</v>
      </c>
      <c r="AB240">
        <v>2.2465999999999999</v>
      </c>
      <c r="AC240">
        <v>23</v>
      </c>
      <c r="AD240">
        <v>9.5</v>
      </c>
      <c r="AE240" s="59">
        <v>0.76041666666666663</v>
      </c>
      <c r="AF240" s="59">
        <v>0.80138888888888893</v>
      </c>
      <c r="AG240">
        <v>25</v>
      </c>
    </row>
    <row r="241" spans="1:33" x14ac:dyDescent="0.25">
      <c r="A241" t="s">
        <v>274</v>
      </c>
      <c r="B241" t="s">
        <v>321</v>
      </c>
      <c r="C241" t="s">
        <v>322</v>
      </c>
      <c r="D241" t="s">
        <v>323</v>
      </c>
      <c r="E241" t="s">
        <v>324</v>
      </c>
      <c r="F241" t="s">
        <v>134</v>
      </c>
      <c r="H241" t="s">
        <v>184</v>
      </c>
      <c r="I241" t="s">
        <v>147</v>
      </c>
      <c r="J241" t="s">
        <v>258</v>
      </c>
      <c r="K241" t="s">
        <v>318</v>
      </c>
      <c r="L241" t="s">
        <v>319</v>
      </c>
      <c r="N241" t="s">
        <v>320</v>
      </c>
      <c r="O241" t="s">
        <v>134</v>
      </c>
      <c r="Q241" t="s">
        <v>178</v>
      </c>
      <c r="R241" t="s">
        <v>185</v>
      </c>
      <c r="S241" t="s">
        <v>128</v>
      </c>
      <c r="T241" t="s">
        <v>181</v>
      </c>
      <c r="U241" t="s">
        <v>151</v>
      </c>
      <c r="V241" t="s">
        <v>73</v>
      </c>
      <c r="W241" s="58">
        <v>43354</v>
      </c>
      <c r="X241" s="59">
        <v>0.8125</v>
      </c>
      <c r="Y241" s="59">
        <v>0.84375</v>
      </c>
      <c r="Z241" s="59">
        <v>3.125E-2</v>
      </c>
      <c r="AA241">
        <v>13</v>
      </c>
      <c r="AB241">
        <v>10.6806</v>
      </c>
      <c r="AC241">
        <v>15</v>
      </c>
      <c r="AD241">
        <v>7.125</v>
      </c>
      <c r="AE241" s="59">
        <v>0.8125</v>
      </c>
      <c r="AF241" s="59">
        <v>0.84305555555555556</v>
      </c>
      <c r="AG241">
        <v>25</v>
      </c>
    </row>
    <row r="242" spans="1:33" x14ac:dyDescent="0.25">
      <c r="A242" t="s">
        <v>258</v>
      </c>
      <c r="B242" t="s">
        <v>278</v>
      </c>
      <c r="C242" t="s">
        <v>279</v>
      </c>
      <c r="E242" t="s">
        <v>280</v>
      </c>
      <c r="F242" t="s">
        <v>134</v>
      </c>
      <c r="H242" t="s">
        <v>144</v>
      </c>
      <c r="I242" t="s">
        <v>133</v>
      </c>
      <c r="J242" t="s">
        <v>258</v>
      </c>
      <c r="K242" t="s">
        <v>318</v>
      </c>
      <c r="L242" t="s">
        <v>319</v>
      </c>
      <c r="N242" t="s">
        <v>320</v>
      </c>
      <c r="O242" t="s">
        <v>134</v>
      </c>
      <c r="Q242" t="s">
        <v>178</v>
      </c>
      <c r="R242" t="s">
        <v>145</v>
      </c>
      <c r="S242" t="s">
        <v>128</v>
      </c>
      <c r="T242" t="s">
        <v>181</v>
      </c>
      <c r="U242" t="s">
        <v>129</v>
      </c>
      <c r="V242" t="s">
        <v>73</v>
      </c>
      <c r="W242" s="58">
        <v>43354</v>
      </c>
      <c r="X242" s="59">
        <v>0.86458333333333337</v>
      </c>
      <c r="Y242" s="59">
        <v>0.90625</v>
      </c>
      <c r="Z242" s="59">
        <v>4.1666666666666664E-2</v>
      </c>
      <c r="AA242">
        <v>14</v>
      </c>
      <c r="AB242">
        <v>11.010199999999999</v>
      </c>
      <c r="AC242">
        <v>23</v>
      </c>
      <c r="AD242">
        <v>9.5</v>
      </c>
      <c r="AE242" s="59">
        <v>0.86458333333333337</v>
      </c>
      <c r="AF242" s="59">
        <v>0.90555555555555556</v>
      </c>
      <c r="AG242">
        <v>25</v>
      </c>
    </row>
    <row r="243" spans="1:33" x14ac:dyDescent="0.25">
      <c r="A243" t="s">
        <v>274</v>
      </c>
      <c r="B243" t="s">
        <v>275</v>
      </c>
      <c r="C243" t="s">
        <v>276</v>
      </c>
      <c r="E243" t="s">
        <v>277</v>
      </c>
      <c r="F243" t="s">
        <v>134</v>
      </c>
      <c r="H243" t="s">
        <v>141</v>
      </c>
      <c r="I243" t="s">
        <v>142</v>
      </c>
      <c r="J243" t="s">
        <v>258</v>
      </c>
      <c r="K243" t="s">
        <v>318</v>
      </c>
      <c r="L243" t="s">
        <v>319</v>
      </c>
      <c r="N243" t="s">
        <v>320</v>
      </c>
      <c r="O243" t="s">
        <v>134</v>
      </c>
      <c r="Q243" t="s">
        <v>178</v>
      </c>
      <c r="R243" t="s">
        <v>143</v>
      </c>
      <c r="S243" t="s">
        <v>128</v>
      </c>
      <c r="T243" t="s">
        <v>181</v>
      </c>
      <c r="U243" t="s">
        <v>129</v>
      </c>
      <c r="V243" t="s">
        <v>74</v>
      </c>
      <c r="W243" s="58">
        <v>43355</v>
      </c>
      <c r="X243" s="59">
        <v>0.35416666666666669</v>
      </c>
      <c r="Y243" s="59">
        <v>0.39583333333333331</v>
      </c>
      <c r="Z243" s="59">
        <v>4.1666666666666664E-2</v>
      </c>
      <c r="AA243">
        <v>0</v>
      </c>
      <c r="AC243">
        <v>23</v>
      </c>
      <c r="AD243">
        <v>9.5</v>
      </c>
      <c r="AE243" s="59">
        <v>0.35416666666666669</v>
      </c>
      <c r="AF243" s="59">
        <v>0.39513888888888887</v>
      </c>
      <c r="AG243">
        <v>25</v>
      </c>
    </row>
    <row r="244" spans="1:33" x14ac:dyDescent="0.25">
      <c r="A244" t="s">
        <v>258</v>
      </c>
      <c r="B244" t="s">
        <v>284</v>
      </c>
      <c r="C244" t="s">
        <v>285</v>
      </c>
      <c r="E244" t="s">
        <v>286</v>
      </c>
      <c r="F244" t="s">
        <v>134</v>
      </c>
      <c r="H244" t="s">
        <v>149</v>
      </c>
      <c r="I244" t="s">
        <v>127</v>
      </c>
      <c r="J244" t="s">
        <v>258</v>
      </c>
      <c r="K244" t="s">
        <v>318</v>
      </c>
      <c r="L244" t="s">
        <v>319</v>
      </c>
      <c r="N244" t="s">
        <v>320</v>
      </c>
      <c r="O244" t="s">
        <v>134</v>
      </c>
      <c r="Q244" t="s">
        <v>178</v>
      </c>
      <c r="R244" t="s">
        <v>150</v>
      </c>
      <c r="S244" t="s">
        <v>128</v>
      </c>
      <c r="T244" t="s">
        <v>181</v>
      </c>
      <c r="U244" t="s">
        <v>151</v>
      </c>
      <c r="V244" t="s">
        <v>76</v>
      </c>
      <c r="W244" s="58">
        <v>43357</v>
      </c>
      <c r="X244" s="59">
        <v>0.33333333333333331</v>
      </c>
      <c r="Y244" s="59">
        <v>0.39583333333333331</v>
      </c>
      <c r="Z244" s="59">
        <v>6.25E-2</v>
      </c>
      <c r="AA244">
        <v>0</v>
      </c>
      <c r="AC244">
        <v>30</v>
      </c>
      <c r="AD244">
        <v>14.25</v>
      </c>
      <c r="AE244" s="59">
        <v>0.33333333333333331</v>
      </c>
      <c r="AF244" s="59">
        <v>0.39513888888888887</v>
      </c>
      <c r="AG244">
        <v>25</v>
      </c>
    </row>
    <row r="245" spans="1:33" x14ac:dyDescent="0.25">
      <c r="A245" t="s">
        <v>258</v>
      </c>
      <c r="B245" t="s">
        <v>287</v>
      </c>
      <c r="C245" t="s">
        <v>288</v>
      </c>
      <c r="E245" t="s">
        <v>289</v>
      </c>
      <c r="F245" t="s">
        <v>134</v>
      </c>
      <c r="H245" t="s">
        <v>152</v>
      </c>
      <c r="I245" t="s">
        <v>127</v>
      </c>
      <c r="J245" t="s">
        <v>258</v>
      </c>
      <c r="K245" t="s">
        <v>318</v>
      </c>
      <c r="L245" t="s">
        <v>319</v>
      </c>
      <c r="N245" t="s">
        <v>320</v>
      </c>
      <c r="O245" t="s">
        <v>134</v>
      </c>
      <c r="Q245" t="s">
        <v>178</v>
      </c>
      <c r="R245" t="s">
        <v>153</v>
      </c>
      <c r="S245" t="s">
        <v>128</v>
      </c>
      <c r="T245" t="s">
        <v>181</v>
      </c>
      <c r="U245" t="s">
        <v>151</v>
      </c>
      <c r="V245" t="s">
        <v>76</v>
      </c>
      <c r="W245" s="58">
        <v>43357</v>
      </c>
      <c r="X245" s="59">
        <v>0.39583333333333331</v>
      </c>
      <c r="Y245" s="59">
        <v>0.45833333333333331</v>
      </c>
      <c r="Z245" s="59">
        <v>6.25E-2</v>
      </c>
      <c r="AA245">
        <v>0</v>
      </c>
      <c r="AB245">
        <v>0.27279999999999999</v>
      </c>
      <c r="AC245">
        <v>30</v>
      </c>
      <c r="AD245">
        <v>14.25</v>
      </c>
      <c r="AE245" s="59">
        <v>0.39583333333333331</v>
      </c>
      <c r="AF245" s="59">
        <v>0.45763888888888887</v>
      </c>
      <c r="AG245">
        <v>25</v>
      </c>
    </row>
    <row r="246" spans="1:33" x14ac:dyDescent="0.25">
      <c r="A246" t="s">
        <v>274</v>
      </c>
      <c r="B246" t="s">
        <v>328</v>
      </c>
      <c r="C246" t="s">
        <v>329</v>
      </c>
      <c r="D246">
        <v>5</v>
      </c>
      <c r="E246" t="s">
        <v>330</v>
      </c>
      <c r="F246" t="s">
        <v>134</v>
      </c>
      <c r="G246" t="s">
        <v>218</v>
      </c>
      <c r="H246" t="s">
        <v>188</v>
      </c>
      <c r="I246" t="s">
        <v>189</v>
      </c>
      <c r="J246" t="s">
        <v>258</v>
      </c>
      <c r="K246" t="s">
        <v>318</v>
      </c>
      <c r="L246" t="s">
        <v>319</v>
      </c>
      <c r="N246" t="s">
        <v>320</v>
      </c>
      <c r="O246" t="s">
        <v>134</v>
      </c>
      <c r="Q246" t="s">
        <v>178</v>
      </c>
      <c r="R246" t="s">
        <v>190</v>
      </c>
      <c r="S246" t="s">
        <v>128</v>
      </c>
      <c r="T246" t="s">
        <v>181</v>
      </c>
      <c r="U246" t="s">
        <v>151</v>
      </c>
      <c r="V246" t="s">
        <v>76</v>
      </c>
      <c r="W246" s="58">
        <v>43357</v>
      </c>
      <c r="X246" s="59">
        <v>0.5</v>
      </c>
      <c r="Y246" s="59">
        <v>0.75</v>
      </c>
      <c r="Z246" s="59">
        <v>0.25</v>
      </c>
      <c r="AA246">
        <v>7</v>
      </c>
      <c r="AB246">
        <v>3.5261999999999998</v>
      </c>
      <c r="AC246">
        <v>120</v>
      </c>
      <c r="AD246">
        <v>57</v>
      </c>
      <c r="AE246" s="59">
        <v>0.5</v>
      </c>
      <c r="AF246" s="59">
        <v>0.74930555555555556</v>
      </c>
      <c r="AG246">
        <v>25</v>
      </c>
    </row>
    <row r="247" spans="1:33" x14ac:dyDescent="0.25">
      <c r="B247" t="s">
        <v>331</v>
      </c>
      <c r="C247" t="s">
        <v>332</v>
      </c>
      <c r="E247" t="s">
        <v>333</v>
      </c>
      <c r="F247" t="s">
        <v>134</v>
      </c>
      <c r="G247" t="s">
        <v>218</v>
      </c>
      <c r="H247" t="s">
        <v>177</v>
      </c>
      <c r="I247" t="s">
        <v>158</v>
      </c>
      <c r="J247" t="s">
        <v>258</v>
      </c>
      <c r="K247" t="s">
        <v>318</v>
      </c>
      <c r="L247" t="s">
        <v>319</v>
      </c>
      <c r="N247" t="s">
        <v>320</v>
      </c>
      <c r="O247" t="s">
        <v>134</v>
      </c>
      <c r="Q247" t="s">
        <v>178</v>
      </c>
      <c r="R247" t="s">
        <v>179</v>
      </c>
      <c r="S247" t="s">
        <v>128</v>
      </c>
      <c r="T247" t="s">
        <v>181</v>
      </c>
      <c r="U247" t="s">
        <v>191</v>
      </c>
      <c r="V247" t="s">
        <v>76</v>
      </c>
      <c r="W247" s="58">
        <v>43357</v>
      </c>
      <c r="X247" s="59">
        <v>0.75</v>
      </c>
      <c r="Y247" s="59">
        <v>0.875</v>
      </c>
      <c r="Z247" s="59">
        <v>0.125</v>
      </c>
      <c r="AA247">
        <v>17</v>
      </c>
      <c r="AB247">
        <v>11.574999999999999</v>
      </c>
      <c r="AC247">
        <v>0</v>
      </c>
      <c r="AD247">
        <v>28.5</v>
      </c>
      <c r="AE247" s="59">
        <v>0.75</v>
      </c>
      <c r="AF247" s="59">
        <v>0.87430555555555556</v>
      </c>
      <c r="AG247">
        <v>25</v>
      </c>
    </row>
    <row r="248" spans="1:33" x14ac:dyDescent="0.25">
      <c r="A248" t="s">
        <v>274</v>
      </c>
      <c r="B248" t="s">
        <v>275</v>
      </c>
      <c r="C248" t="s">
        <v>276</v>
      </c>
      <c r="E248" t="s">
        <v>277</v>
      </c>
      <c r="F248" t="s">
        <v>134</v>
      </c>
      <c r="H248" t="s">
        <v>141</v>
      </c>
      <c r="I248" t="s">
        <v>142</v>
      </c>
      <c r="J248" t="s">
        <v>258</v>
      </c>
      <c r="K248" t="s">
        <v>345</v>
      </c>
      <c r="L248" t="s">
        <v>346</v>
      </c>
      <c r="N248" t="s">
        <v>347</v>
      </c>
      <c r="O248" t="s">
        <v>134</v>
      </c>
      <c r="Q248" t="s">
        <v>200</v>
      </c>
      <c r="R248" t="s">
        <v>143</v>
      </c>
      <c r="S248" t="s">
        <v>128</v>
      </c>
      <c r="T248" t="s">
        <v>137</v>
      </c>
      <c r="U248" t="s">
        <v>129</v>
      </c>
      <c r="V248" t="s">
        <v>77</v>
      </c>
      <c r="W248" s="58">
        <v>43309</v>
      </c>
      <c r="X248" s="59">
        <v>0.375</v>
      </c>
      <c r="Y248" s="59">
        <v>0.41666666666666669</v>
      </c>
      <c r="Z248" s="59">
        <v>4.1666666666666664E-2</v>
      </c>
      <c r="AA248">
        <v>0</v>
      </c>
      <c r="AC248">
        <v>23</v>
      </c>
      <c r="AD248">
        <v>9.75</v>
      </c>
      <c r="AE248" s="59">
        <v>0.375</v>
      </c>
      <c r="AF248" s="59">
        <v>0.41597222222222219</v>
      </c>
      <c r="AG248">
        <v>0</v>
      </c>
    </row>
    <row r="249" spans="1:33" x14ac:dyDescent="0.25">
      <c r="A249" t="s">
        <v>258</v>
      </c>
      <c r="B249" t="s">
        <v>310</v>
      </c>
      <c r="C249" t="s">
        <v>311</v>
      </c>
      <c r="D249" t="s">
        <v>312</v>
      </c>
      <c r="E249" t="s">
        <v>313</v>
      </c>
      <c r="F249" t="s">
        <v>134</v>
      </c>
      <c r="H249" t="s">
        <v>175</v>
      </c>
      <c r="I249" t="s">
        <v>127</v>
      </c>
      <c r="J249" t="s">
        <v>258</v>
      </c>
      <c r="K249" t="s">
        <v>345</v>
      </c>
      <c r="L249" t="s">
        <v>346</v>
      </c>
      <c r="N249" t="s">
        <v>347</v>
      </c>
      <c r="O249" t="s">
        <v>134</v>
      </c>
      <c r="Q249" t="s">
        <v>200</v>
      </c>
      <c r="R249" t="s">
        <v>176</v>
      </c>
      <c r="S249" t="s">
        <v>128</v>
      </c>
      <c r="T249" t="s">
        <v>137</v>
      </c>
      <c r="U249" t="s">
        <v>151</v>
      </c>
      <c r="V249" t="s">
        <v>77</v>
      </c>
      <c r="W249" s="58">
        <v>43309</v>
      </c>
      <c r="X249" s="59">
        <v>0.47916666666666669</v>
      </c>
      <c r="Y249" s="59">
        <v>0.60416666666666663</v>
      </c>
      <c r="Z249" s="59">
        <v>0.125</v>
      </c>
      <c r="AA249">
        <v>0</v>
      </c>
      <c r="AB249">
        <v>4.8555999999999999</v>
      </c>
      <c r="AC249">
        <v>60</v>
      </c>
      <c r="AD249">
        <v>29.25</v>
      </c>
      <c r="AE249" s="59">
        <v>0.47916666666666669</v>
      </c>
      <c r="AF249" s="59">
        <v>0.60347222222222219</v>
      </c>
      <c r="AG249">
        <v>0</v>
      </c>
    </row>
    <row r="250" spans="1:33" x14ac:dyDescent="0.25">
      <c r="A250" t="s">
        <v>274</v>
      </c>
      <c r="B250" t="s">
        <v>334</v>
      </c>
      <c r="C250" t="s">
        <v>285</v>
      </c>
      <c r="E250" t="s">
        <v>335</v>
      </c>
      <c r="F250" t="s">
        <v>134</v>
      </c>
      <c r="H250" t="s">
        <v>192</v>
      </c>
      <c r="I250" t="s">
        <v>155</v>
      </c>
      <c r="J250" t="s">
        <v>258</v>
      </c>
      <c r="K250" t="s">
        <v>345</v>
      </c>
      <c r="L250" t="s">
        <v>346</v>
      </c>
      <c r="N250" t="s">
        <v>347</v>
      </c>
      <c r="O250" t="s">
        <v>134</v>
      </c>
      <c r="Q250" t="s">
        <v>200</v>
      </c>
      <c r="R250" t="s">
        <v>193</v>
      </c>
      <c r="S250" t="s">
        <v>128</v>
      </c>
      <c r="T250" t="s">
        <v>137</v>
      </c>
      <c r="U250" t="s">
        <v>129</v>
      </c>
      <c r="V250" t="s">
        <v>77</v>
      </c>
      <c r="W250" s="58">
        <v>43309</v>
      </c>
      <c r="X250" s="59">
        <v>0.75</v>
      </c>
      <c r="Y250" s="59">
        <v>0.79166666666666663</v>
      </c>
      <c r="Z250" s="59">
        <v>4.1666666666666664E-2</v>
      </c>
      <c r="AA250">
        <v>0</v>
      </c>
      <c r="AC250">
        <v>23</v>
      </c>
      <c r="AD250">
        <v>9.75</v>
      </c>
      <c r="AE250" s="59">
        <v>0.75</v>
      </c>
      <c r="AF250" s="59">
        <v>0.7909722222222223</v>
      </c>
      <c r="AG250">
        <v>0</v>
      </c>
    </row>
    <row r="251" spans="1:33" x14ac:dyDescent="0.25">
      <c r="A251" t="s">
        <v>258</v>
      </c>
      <c r="B251" t="s">
        <v>310</v>
      </c>
      <c r="C251" t="s">
        <v>311</v>
      </c>
      <c r="D251" t="s">
        <v>312</v>
      </c>
      <c r="E251" t="s">
        <v>313</v>
      </c>
      <c r="F251" t="s">
        <v>134</v>
      </c>
      <c r="H251" t="s">
        <v>175</v>
      </c>
      <c r="I251" t="s">
        <v>127</v>
      </c>
      <c r="J251" t="s">
        <v>258</v>
      </c>
      <c r="K251" t="s">
        <v>345</v>
      </c>
      <c r="L251" t="s">
        <v>346</v>
      </c>
      <c r="N251" t="s">
        <v>347</v>
      </c>
      <c r="O251" t="s">
        <v>134</v>
      </c>
      <c r="Q251" t="s">
        <v>200</v>
      </c>
      <c r="R251" t="s">
        <v>176</v>
      </c>
      <c r="S251" t="s">
        <v>128</v>
      </c>
      <c r="T251" t="s">
        <v>137</v>
      </c>
      <c r="U251" t="s">
        <v>151</v>
      </c>
      <c r="V251" t="s">
        <v>71</v>
      </c>
      <c r="W251" s="58">
        <v>43310</v>
      </c>
      <c r="X251" s="59">
        <v>0.4375</v>
      </c>
      <c r="Y251" s="59">
        <v>0.47916666666666669</v>
      </c>
      <c r="Z251" s="59">
        <v>4.1666666666666664E-2</v>
      </c>
      <c r="AA251">
        <v>0</v>
      </c>
      <c r="AC251">
        <v>20</v>
      </c>
      <c r="AD251">
        <v>9.75</v>
      </c>
      <c r="AE251" s="59">
        <v>0.4375</v>
      </c>
      <c r="AF251" s="59">
        <v>0.47847222222222219</v>
      </c>
      <c r="AG251">
        <v>0</v>
      </c>
    </row>
    <row r="252" spans="1:33" x14ac:dyDescent="0.25">
      <c r="A252" t="s">
        <v>274</v>
      </c>
      <c r="B252" t="s">
        <v>334</v>
      </c>
      <c r="C252" t="s">
        <v>285</v>
      </c>
      <c r="E252" t="s">
        <v>335</v>
      </c>
      <c r="F252" t="s">
        <v>134</v>
      </c>
      <c r="H252" t="s">
        <v>192</v>
      </c>
      <c r="I252" t="s">
        <v>155</v>
      </c>
      <c r="J252" t="s">
        <v>258</v>
      </c>
      <c r="K252" t="s">
        <v>345</v>
      </c>
      <c r="L252" t="s">
        <v>346</v>
      </c>
      <c r="N252" t="s">
        <v>347</v>
      </c>
      <c r="O252" t="s">
        <v>134</v>
      </c>
      <c r="Q252" t="s">
        <v>200</v>
      </c>
      <c r="R252" t="s">
        <v>193</v>
      </c>
      <c r="S252" t="s">
        <v>128</v>
      </c>
      <c r="T252" t="s">
        <v>137</v>
      </c>
      <c r="U252" t="s">
        <v>129</v>
      </c>
      <c r="V252" t="s">
        <v>71</v>
      </c>
      <c r="W252" s="58">
        <v>43310</v>
      </c>
      <c r="X252" s="59">
        <v>0.75</v>
      </c>
      <c r="Y252" s="59">
        <v>0.79166666666666663</v>
      </c>
      <c r="Z252" s="59">
        <v>4.1666666666666664E-2</v>
      </c>
      <c r="AA252">
        <v>0</v>
      </c>
      <c r="AC252">
        <v>23</v>
      </c>
      <c r="AD252">
        <v>9.75</v>
      </c>
      <c r="AE252" s="59">
        <v>0.75</v>
      </c>
      <c r="AF252" s="59">
        <v>0.7909722222222223</v>
      </c>
      <c r="AG252">
        <v>0</v>
      </c>
    </row>
    <row r="253" spans="1:33" x14ac:dyDescent="0.25">
      <c r="A253" t="s">
        <v>258</v>
      </c>
      <c r="B253" t="s">
        <v>259</v>
      </c>
      <c r="C253" t="s">
        <v>260</v>
      </c>
      <c r="E253" t="s">
        <v>261</v>
      </c>
      <c r="F253" t="s">
        <v>134</v>
      </c>
      <c r="H253" t="s">
        <v>130</v>
      </c>
      <c r="I253" t="s">
        <v>127</v>
      </c>
      <c r="J253" t="s">
        <v>258</v>
      </c>
      <c r="K253" t="s">
        <v>345</v>
      </c>
      <c r="L253" t="s">
        <v>346</v>
      </c>
      <c r="N253" t="s">
        <v>347</v>
      </c>
      <c r="O253" t="s">
        <v>134</v>
      </c>
      <c r="Q253" t="s">
        <v>200</v>
      </c>
      <c r="R253" t="s">
        <v>131</v>
      </c>
      <c r="S253" t="s">
        <v>128</v>
      </c>
      <c r="T253" t="s">
        <v>137</v>
      </c>
      <c r="U253" t="s">
        <v>151</v>
      </c>
      <c r="V253" t="s">
        <v>72</v>
      </c>
      <c r="W253" s="58">
        <v>43311</v>
      </c>
      <c r="X253" s="59">
        <v>0.52083333333333337</v>
      </c>
      <c r="Y253" s="59">
        <v>0.60416666666666663</v>
      </c>
      <c r="Z253" s="59">
        <v>8.3333333333333329E-2</v>
      </c>
      <c r="AA253">
        <v>0</v>
      </c>
      <c r="AC253">
        <v>40</v>
      </c>
      <c r="AD253">
        <v>17.5</v>
      </c>
      <c r="AE253" s="59">
        <v>0.52083333333333337</v>
      </c>
      <c r="AF253" s="59">
        <v>0.60347222222222219</v>
      </c>
      <c r="AG253">
        <v>0</v>
      </c>
    </row>
    <row r="254" spans="1:33" x14ac:dyDescent="0.25">
      <c r="A254" t="s">
        <v>274</v>
      </c>
      <c r="B254" t="s">
        <v>334</v>
      </c>
      <c r="C254" t="s">
        <v>285</v>
      </c>
      <c r="E254" t="s">
        <v>335</v>
      </c>
      <c r="F254" t="s">
        <v>134</v>
      </c>
      <c r="H254" t="s">
        <v>192</v>
      </c>
      <c r="I254" t="s">
        <v>155</v>
      </c>
      <c r="J254" t="s">
        <v>258</v>
      </c>
      <c r="K254" t="s">
        <v>345</v>
      </c>
      <c r="L254" t="s">
        <v>346</v>
      </c>
      <c r="N254" t="s">
        <v>347</v>
      </c>
      <c r="O254" t="s">
        <v>134</v>
      </c>
      <c r="Q254" t="s">
        <v>200</v>
      </c>
      <c r="R254" t="s">
        <v>193</v>
      </c>
      <c r="S254" t="s">
        <v>128</v>
      </c>
      <c r="T254" t="s">
        <v>137</v>
      </c>
      <c r="U254" t="s">
        <v>129</v>
      </c>
      <c r="V254" t="s">
        <v>72</v>
      </c>
      <c r="W254" s="58">
        <v>43311</v>
      </c>
      <c r="X254" s="59">
        <v>0.75</v>
      </c>
      <c r="Y254" s="59">
        <v>0.79166666666666663</v>
      </c>
      <c r="Z254" s="59">
        <v>4.1666666666666664E-2</v>
      </c>
      <c r="AA254">
        <v>0</v>
      </c>
      <c r="AC254">
        <v>23</v>
      </c>
      <c r="AD254">
        <v>8.75</v>
      </c>
      <c r="AE254" s="59">
        <v>0.75</v>
      </c>
      <c r="AF254" s="59">
        <v>0.7909722222222223</v>
      </c>
      <c r="AG254">
        <v>0</v>
      </c>
    </row>
    <row r="255" spans="1:33" x14ac:dyDescent="0.25">
      <c r="B255" t="s">
        <v>307</v>
      </c>
      <c r="C255" t="s">
        <v>308</v>
      </c>
      <c r="D255" t="s">
        <v>309</v>
      </c>
      <c r="E255" t="s">
        <v>134</v>
      </c>
      <c r="H255" t="s">
        <v>171</v>
      </c>
      <c r="I255" t="s">
        <v>169</v>
      </c>
      <c r="J255" t="s">
        <v>258</v>
      </c>
      <c r="K255" t="s">
        <v>345</v>
      </c>
      <c r="L255" t="s">
        <v>346</v>
      </c>
      <c r="N255" t="s">
        <v>347</v>
      </c>
      <c r="O255" t="s">
        <v>134</v>
      </c>
      <c r="Q255" t="s">
        <v>200</v>
      </c>
      <c r="R255" t="s">
        <v>172</v>
      </c>
      <c r="S255" t="s">
        <v>128</v>
      </c>
      <c r="T255" t="s">
        <v>137</v>
      </c>
      <c r="U255" t="s">
        <v>129</v>
      </c>
      <c r="V255" t="s">
        <v>73</v>
      </c>
      <c r="W255" s="58">
        <v>43312</v>
      </c>
      <c r="X255" s="59">
        <v>0.31527777777777777</v>
      </c>
      <c r="Y255" s="59">
        <v>0.35694444444444445</v>
      </c>
      <c r="Z255" s="59">
        <v>4.1666666666666664E-2</v>
      </c>
      <c r="AA255">
        <v>0</v>
      </c>
      <c r="AC255">
        <v>23</v>
      </c>
      <c r="AD255">
        <v>8.75</v>
      </c>
      <c r="AE255" s="59">
        <v>0.31527777777777777</v>
      </c>
      <c r="AF255" s="59">
        <v>0.35625000000000001</v>
      </c>
      <c r="AG255">
        <v>0</v>
      </c>
    </row>
    <row r="256" spans="1:33" x14ac:dyDescent="0.25">
      <c r="B256" t="s">
        <v>307</v>
      </c>
      <c r="C256" t="s">
        <v>308</v>
      </c>
      <c r="D256" t="s">
        <v>309</v>
      </c>
      <c r="E256" t="s">
        <v>134</v>
      </c>
      <c r="H256" t="s">
        <v>171</v>
      </c>
      <c r="I256" t="s">
        <v>169</v>
      </c>
      <c r="J256" t="s">
        <v>258</v>
      </c>
      <c r="K256" t="s">
        <v>345</v>
      </c>
      <c r="L256" t="s">
        <v>346</v>
      </c>
      <c r="N256" t="s">
        <v>347</v>
      </c>
      <c r="O256" t="s">
        <v>134</v>
      </c>
      <c r="Q256" t="s">
        <v>200</v>
      </c>
      <c r="R256" t="s">
        <v>172</v>
      </c>
      <c r="S256" t="s">
        <v>128</v>
      </c>
      <c r="T256" t="s">
        <v>137</v>
      </c>
      <c r="U256" t="s">
        <v>129</v>
      </c>
      <c r="V256" t="s">
        <v>74</v>
      </c>
      <c r="W256" s="58">
        <v>43313</v>
      </c>
      <c r="X256" s="59">
        <v>0.3354166666666667</v>
      </c>
      <c r="Y256" s="59">
        <v>0.37708333333333338</v>
      </c>
      <c r="Z256" s="59">
        <v>4.1666666666666664E-2</v>
      </c>
      <c r="AA256">
        <v>0</v>
      </c>
      <c r="AC256">
        <v>23</v>
      </c>
      <c r="AD256">
        <v>8.75</v>
      </c>
      <c r="AE256" s="59">
        <v>0.3354166666666667</v>
      </c>
      <c r="AF256" s="59">
        <v>0.37638888888888888</v>
      </c>
      <c r="AG256">
        <v>0</v>
      </c>
    </row>
    <row r="257" spans="1:33" x14ac:dyDescent="0.25">
      <c r="A257" t="s">
        <v>258</v>
      </c>
      <c r="B257" t="s">
        <v>310</v>
      </c>
      <c r="C257" t="s">
        <v>311</v>
      </c>
      <c r="D257" t="s">
        <v>312</v>
      </c>
      <c r="E257" t="s">
        <v>313</v>
      </c>
      <c r="F257" t="s">
        <v>134</v>
      </c>
      <c r="H257" t="s">
        <v>175</v>
      </c>
      <c r="I257" t="s">
        <v>127</v>
      </c>
      <c r="J257" t="s">
        <v>258</v>
      </c>
      <c r="K257" t="s">
        <v>345</v>
      </c>
      <c r="L257" t="s">
        <v>346</v>
      </c>
      <c r="N257" t="s">
        <v>347</v>
      </c>
      <c r="O257" t="s">
        <v>134</v>
      </c>
      <c r="Q257" t="s">
        <v>200</v>
      </c>
      <c r="R257" t="s">
        <v>176</v>
      </c>
      <c r="S257" t="s">
        <v>128</v>
      </c>
      <c r="T257" t="s">
        <v>137</v>
      </c>
      <c r="U257" t="s">
        <v>151</v>
      </c>
      <c r="V257" t="s">
        <v>74</v>
      </c>
      <c r="W257" s="58">
        <v>43313</v>
      </c>
      <c r="X257" s="59">
        <v>0.38194444444444442</v>
      </c>
      <c r="Y257" s="59">
        <v>0.4236111111111111</v>
      </c>
      <c r="Z257" s="59">
        <v>4.1666666666666664E-2</v>
      </c>
      <c r="AA257">
        <v>0</v>
      </c>
      <c r="AB257">
        <v>1.3216000000000001</v>
      </c>
      <c r="AC257">
        <v>20</v>
      </c>
      <c r="AD257">
        <v>8.75</v>
      </c>
      <c r="AE257" s="59">
        <v>0.38194444444444442</v>
      </c>
      <c r="AF257" s="59">
        <v>0.42291666666666666</v>
      </c>
      <c r="AG257">
        <v>0</v>
      </c>
    </row>
    <row r="258" spans="1:33" x14ac:dyDescent="0.25">
      <c r="A258" t="s">
        <v>258</v>
      </c>
      <c r="B258" t="s">
        <v>259</v>
      </c>
      <c r="C258" t="s">
        <v>260</v>
      </c>
      <c r="E258" t="s">
        <v>261</v>
      </c>
      <c r="F258" t="s">
        <v>134</v>
      </c>
      <c r="H258" t="s">
        <v>130</v>
      </c>
      <c r="I258" t="s">
        <v>127</v>
      </c>
      <c r="J258" t="s">
        <v>258</v>
      </c>
      <c r="K258" t="s">
        <v>345</v>
      </c>
      <c r="L258" t="s">
        <v>346</v>
      </c>
      <c r="N258" t="s">
        <v>347</v>
      </c>
      <c r="O258" t="s">
        <v>134</v>
      </c>
      <c r="Q258" t="s">
        <v>200</v>
      </c>
      <c r="R258" t="s">
        <v>131</v>
      </c>
      <c r="S258" t="s">
        <v>128</v>
      </c>
      <c r="T258" t="s">
        <v>137</v>
      </c>
      <c r="U258" t="s">
        <v>151</v>
      </c>
      <c r="V258" t="s">
        <v>74</v>
      </c>
      <c r="W258" s="58">
        <v>43313</v>
      </c>
      <c r="X258" s="59">
        <v>0.51041666666666663</v>
      </c>
      <c r="Y258" s="59">
        <v>0.59375</v>
      </c>
      <c r="Z258" s="59">
        <v>8.3333333333333329E-2</v>
      </c>
      <c r="AA258">
        <v>0</v>
      </c>
      <c r="AB258">
        <v>0.3296</v>
      </c>
      <c r="AC258">
        <v>40</v>
      </c>
      <c r="AD258">
        <v>17.5</v>
      </c>
      <c r="AE258" s="59">
        <v>0.51041666666666663</v>
      </c>
      <c r="AF258" s="59">
        <v>0.59305555555555556</v>
      </c>
      <c r="AG258">
        <v>0</v>
      </c>
    </row>
    <row r="259" spans="1:33" x14ac:dyDescent="0.25">
      <c r="B259" t="s">
        <v>331</v>
      </c>
      <c r="C259" t="s">
        <v>332</v>
      </c>
      <c r="E259" t="s">
        <v>333</v>
      </c>
      <c r="F259" t="s">
        <v>134</v>
      </c>
      <c r="G259" t="s">
        <v>218</v>
      </c>
      <c r="H259" t="s">
        <v>177</v>
      </c>
      <c r="I259" t="s">
        <v>158</v>
      </c>
      <c r="J259" t="s">
        <v>258</v>
      </c>
      <c r="K259" t="s">
        <v>345</v>
      </c>
      <c r="L259" t="s">
        <v>346</v>
      </c>
      <c r="N259" t="s">
        <v>347</v>
      </c>
      <c r="O259" t="s">
        <v>134</v>
      </c>
      <c r="Q259" t="s">
        <v>200</v>
      </c>
      <c r="R259" t="s">
        <v>179</v>
      </c>
      <c r="S259" t="s">
        <v>180</v>
      </c>
      <c r="T259" t="s">
        <v>137</v>
      </c>
      <c r="U259" t="s">
        <v>201</v>
      </c>
      <c r="V259" t="s">
        <v>74</v>
      </c>
      <c r="W259" s="58">
        <v>43313</v>
      </c>
      <c r="X259" s="59">
        <v>0.60416666666666663</v>
      </c>
      <c r="Y259" s="59">
        <v>0.64583333333333337</v>
      </c>
      <c r="Z259" s="59">
        <v>4.1666666666666664E-2</v>
      </c>
      <c r="AA259">
        <v>12</v>
      </c>
      <c r="AB259">
        <v>8.3805999999999994</v>
      </c>
      <c r="AD259">
        <v>8.75</v>
      </c>
      <c r="AE259" s="59">
        <v>0.60416666666666663</v>
      </c>
      <c r="AF259" s="59">
        <v>0.64513888888888882</v>
      </c>
      <c r="AG259">
        <v>0</v>
      </c>
    </row>
    <row r="260" spans="1:33" x14ac:dyDescent="0.25">
      <c r="A260" t="s">
        <v>258</v>
      </c>
      <c r="B260" t="s">
        <v>314</v>
      </c>
      <c r="C260" t="s">
        <v>315</v>
      </c>
      <c r="D260">
        <v>72</v>
      </c>
      <c r="E260" t="s">
        <v>316</v>
      </c>
      <c r="F260" t="s">
        <v>317</v>
      </c>
      <c r="G260" t="s">
        <v>218</v>
      </c>
      <c r="H260" t="s">
        <v>168</v>
      </c>
      <c r="I260" t="s">
        <v>169</v>
      </c>
      <c r="J260" t="s">
        <v>258</v>
      </c>
      <c r="K260" t="s">
        <v>345</v>
      </c>
      <c r="L260" t="s">
        <v>346</v>
      </c>
      <c r="N260" t="s">
        <v>347</v>
      </c>
      <c r="O260" t="s">
        <v>134</v>
      </c>
      <c r="Q260" t="s">
        <v>200</v>
      </c>
      <c r="R260" t="s">
        <v>170</v>
      </c>
      <c r="S260" t="s">
        <v>128</v>
      </c>
      <c r="T260" t="s">
        <v>137</v>
      </c>
      <c r="U260" t="s">
        <v>129</v>
      </c>
      <c r="V260" t="s">
        <v>74</v>
      </c>
      <c r="W260" s="58">
        <v>43313</v>
      </c>
      <c r="X260" s="59">
        <v>0.69791666666666663</v>
      </c>
      <c r="Y260" s="59">
        <v>0.73958333333333337</v>
      </c>
      <c r="Z260" s="59">
        <v>4.1666666666666664E-2</v>
      </c>
      <c r="AA260">
        <v>0</v>
      </c>
      <c r="AB260">
        <v>9.5806000000000004</v>
      </c>
      <c r="AC260">
        <v>23</v>
      </c>
      <c r="AD260">
        <v>8.75</v>
      </c>
      <c r="AE260" s="59">
        <v>0.69791666666666663</v>
      </c>
      <c r="AF260" s="59">
        <v>0.73888888888888893</v>
      </c>
      <c r="AG260">
        <v>0</v>
      </c>
    </row>
    <row r="261" spans="1:33" x14ac:dyDescent="0.25">
      <c r="A261" t="s">
        <v>274</v>
      </c>
      <c r="B261" t="s">
        <v>334</v>
      </c>
      <c r="C261" t="s">
        <v>285</v>
      </c>
      <c r="E261" t="s">
        <v>335</v>
      </c>
      <c r="F261" t="s">
        <v>134</v>
      </c>
      <c r="H261" t="s">
        <v>192</v>
      </c>
      <c r="I261" t="s">
        <v>155</v>
      </c>
      <c r="J261" t="s">
        <v>258</v>
      </c>
      <c r="K261" t="s">
        <v>345</v>
      </c>
      <c r="L261" t="s">
        <v>346</v>
      </c>
      <c r="N261" t="s">
        <v>347</v>
      </c>
      <c r="O261" t="s">
        <v>134</v>
      </c>
      <c r="Q261" t="s">
        <v>200</v>
      </c>
      <c r="R261" t="s">
        <v>193</v>
      </c>
      <c r="S261" t="s">
        <v>128</v>
      </c>
      <c r="T261" t="s">
        <v>137</v>
      </c>
      <c r="U261" t="s">
        <v>129</v>
      </c>
      <c r="V261" t="s">
        <v>74</v>
      </c>
      <c r="W261" s="58">
        <v>43313</v>
      </c>
      <c r="X261" s="59">
        <v>0.76041666666666663</v>
      </c>
      <c r="Y261" s="59">
        <v>0.80208333333333337</v>
      </c>
      <c r="Z261" s="59">
        <v>4.1666666666666664E-2</v>
      </c>
      <c r="AA261">
        <v>0</v>
      </c>
      <c r="AB261">
        <v>8.1636000000000006</v>
      </c>
      <c r="AC261">
        <v>23</v>
      </c>
      <c r="AD261">
        <v>8.75</v>
      </c>
      <c r="AE261" s="59">
        <v>0.76041666666666663</v>
      </c>
      <c r="AF261" s="59">
        <v>0.80138888888888893</v>
      </c>
      <c r="AG261">
        <v>0</v>
      </c>
    </row>
    <row r="262" spans="1:33" x14ac:dyDescent="0.25">
      <c r="A262" t="s">
        <v>274</v>
      </c>
      <c r="B262" t="s">
        <v>275</v>
      </c>
      <c r="C262" t="s">
        <v>276</v>
      </c>
      <c r="E262" t="s">
        <v>277</v>
      </c>
      <c r="F262" t="s">
        <v>134</v>
      </c>
      <c r="H262" t="s">
        <v>141</v>
      </c>
      <c r="I262" t="s">
        <v>142</v>
      </c>
      <c r="J262" t="s">
        <v>258</v>
      </c>
      <c r="K262" t="s">
        <v>345</v>
      </c>
      <c r="L262" t="s">
        <v>346</v>
      </c>
      <c r="N262" t="s">
        <v>347</v>
      </c>
      <c r="O262" t="s">
        <v>134</v>
      </c>
      <c r="Q262" t="s">
        <v>200</v>
      </c>
      <c r="R262" t="s">
        <v>143</v>
      </c>
      <c r="S262" t="s">
        <v>128</v>
      </c>
      <c r="T262" t="s">
        <v>137</v>
      </c>
      <c r="U262" t="s">
        <v>129</v>
      </c>
      <c r="V262" t="s">
        <v>75</v>
      </c>
      <c r="W262" s="58">
        <v>43314</v>
      </c>
      <c r="X262" s="59">
        <v>0.3125</v>
      </c>
      <c r="Y262" s="59">
        <v>0.35416666666666669</v>
      </c>
      <c r="Z262" s="59">
        <v>4.1666666666666664E-2</v>
      </c>
      <c r="AA262">
        <v>0</v>
      </c>
      <c r="AC262">
        <v>23</v>
      </c>
      <c r="AD262">
        <v>8.75</v>
      </c>
      <c r="AE262" s="59">
        <v>0.3125</v>
      </c>
      <c r="AF262" s="59">
        <v>0.35347222222222219</v>
      </c>
      <c r="AG262">
        <v>0</v>
      </c>
    </row>
    <row r="263" spans="1:33" x14ac:dyDescent="0.25">
      <c r="B263" t="s">
        <v>307</v>
      </c>
      <c r="C263" t="s">
        <v>308</v>
      </c>
      <c r="D263" t="s">
        <v>309</v>
      </c>
      <c r="E263" t="s">
        <v>134</v>
      </c>
      <c r="H263" t="s">
        <v>171</v>
      </c>
      <c r="I263" t="s">
        <v>169</v>
      </c>
      <c r="J263" t="s">
        <v>258</v>
      </c>
      <c r="K263" t="s">
        <v>345</v>
      </c>
      <c r="L263" t="s">
        <v>346</v>
      </c>
      <c r="N263" t="s">
        <v>347</v>
      </c>
      <c r="O263" t="s">
        <v>134</v>
      </c>
      <c r="Q263" t="s">
        <v>200</v>
      </c>
      <c r="R263" t="s">
        <v>172</v>
      </c>
      <c r="S263" t="s">
        <v>128</v>
      </c>
      <c r="T263" t="s">
        <v>137</v>
      </c>
      <c r="U263" t="s">
        <v>129</v>
      </c>
      <c r="V263" t="s">
        <v>75</v>
      </c>
      <c r="W263" s="58">
        <v>43314</v>
      </c>
      <c r="X263" s="59">
        <v>0.36458333333333331</v>
      </c>
      <c r="Y263" s="59">
        <v>0.40625</v>
      </c>
      <c r="Z263" s="59">
        <v>4.1666666666666664E-2</v>
      </c>
      <c r="AA263">
        <v>0</v>
      </c>
      <c r="AB263">
        <v>5.109</v>
      </c>
      <c r="AC263">
        <v>23</v>
      </c>
      <c r="AD263">
        <v>8.75</v>
      </c>
      <c r="AE263" s="59">
        <v>0.36458333333333331</v>
      </c>
      <c r="AF263" s="59">
        <v>0.4055555555555555</v>
      </c>
      <c r="AG263">
        <v>0</v>
      </c>
    </row>
    <row r="264" spans="1:33" x14ac:dyDescent="0.25">
      <c r="A264" t="s">
        <v>274</v>
      </c>
      <c r="B264" t="s">
        <v>334</v>
      </c>
      <c r="C264" t="s">
        <v>285</v>
      </c>
      <c r="E264" t="s">
        <v>335</v>
      </c>
      <c r="F264" t="s">
        <v>134</v>
      </c>
      <c r="H264" t="s">
        <v>192</v>
      </c>
      <c r="I264" t="s">
        <v>155</v>
      </c>
      <c r="J264" t="s">
        <v>258</v>
      </c>
      <c r="K264" t="s">
        <v>345</v>
      </c>
      <c r="L264" t="s">
        <v>346</v>
      </c>
      <c r="N264" t="s">
        <v>347</v>
      </c>
      <c r="O264" t="s">
        <v>134</v>
      </c>
      <c r="Q264" t="s">
        <v>200</v>
      </c>
      <c r="R264" t="s">
        <v>193</v>
      </c>
      <c r="S264" t="s">
        <v>128</v>
      </c>
      <c r="T264" t="s">
        <v>137</v>
      </c>
      <c r="U264" t="s">
        <v>129</v>
      </c>
      <c r="V264" t="s">
        <v>75</v>
      </c>
      <c r="W264" s="58">
        <v>43314</v>
      </c>
      <c r="X264" s="59">
        <v>0.76041666666666663</v>
      </c>
      <c r="Y264" s="59">
        <v>0.80208333333333337</v>
      </c>
      <c r="Z264" s="59">
        <v>4.1666666666666664E-2</v>
      </c>
      <c r="AA264">
        <v>0</v>
      </c>
      <c r="AC264">
        <v>23</v>
      </c>
      <c r="AD264">
        <v>8.75</v>
      </c>
      <c r="AE264" s="59">
        <v>0.76041666666666663</v>
      </c>
      <c r="AF264" s="59">
        <v>0.80138888888888893</v>
      </c>
      <c r="AG264">
        <v>0</v>
      </c>
    </row>
    <row r="265" spans="1:33" x14ac:dyDescent="0.25">
      <c r="A265" t="s">
        <v>258</v>
      </c>
      <c r="B265" t="s">
        <v>310</v>
      </c>
      <c r="C265" t="s">
        <v>311</v>
      </c>
      <c r="D265" t="s">
        <v>312</v>
      </c>
      <c r="E265" t="s">
        <v>313</v>
      </c>
      <c r="F265" t="s">
        <v>134</v>
      </c>
      <c r="H265" t="s">
        <v>175</v>
      </c>
      <c r="I265" t="s">
        <v>127</v>
      </c>
      <c r="J265" t="s">
        <v>258</v>
      </c>
      <c r="K265" t="s">
        <v>345</v>
      </c>
      <c r="L265" t="s">
        <v>346</v>
      </c>
      <c r="N265" t="s">
        <v>347</v>
      </c>
      <c r="O265" t="s">
        <v>134</v>
      </c>
      <c r="Q265" t="s">
        <v>200</v>
      </c>
      <c r="R265" t="s">
        <v>176</v>
      </c>
      <c r="S265" t="s">
        <v>128</v>
      </c>
      <c r="T265" t="s">
        <v>137</v>
      </c>
      <c r="U265" t="s">
        <v>151</v>
      </c>
      <c r="V265" t="s">
        <v>75</v>
      </c>
      <c r="W265" s="58">
        <v>43314</v>
      </c>
      <c r="X265" s="59">
        <v>0.83333333333333337</v>
      </c>
      <c r="Y265" s="59">
        <v>0.85416666666666663</v>
      </c>
      <c r="Z265" s="59">
        <v>2.0833333333333332E-2</v>
      </c>
      <c r="AA265">
        <v>0</v>
      </c>
      <c r="AB265">
        <v>6.7728000000000002</v>
      </c>
      <c r="AC265">
        <v>10</v>
      </c>
      <c r="AD265">
        <v>4.375</v>
      </c>
      <c r="AE265" s="59">
        <v>0.83333333333333337</v>
      </c>
      <c r="AF265" s="59">
        <v>0.8534722222222223</v>
      </c>
      <c r="AG265">
        <v>0</v>
      </c>
    </row>
    <row r="266" spans="1:33" x14ac:dyDescent="0.25">
      <c r="A266" t="s">
        <v>258</v>
      </c>
      <c r="B266" t="s">
        <v>259</v>
      </c>
      <c r="C266" t="s">
        <v>260</v>
      </c>
      <c r="E266" t="s">
        <v>261</v>
      </c>
      <c r="F266" t="s">
        <v>134</v>
      </c>
      <c r="H266" t="s">
        <v>130</v>
      </c>
      <c r="I266" t="s">
        <v>127</v>
      </c>
      <c r="J266" t="s">
        <v>258</v>
      </c>
      <c r="K266" t="s">
        <v>345</v>
      </c>
      <c r="L266" t="s">
        <v>346</v>
      </c>
      <c r="N266" t="s">
        <v>347</v>
      </c>
      <c r="O266" t="s">
        <v>134</v>
      </c>
      <c r="Q266" t="s">
        <v>200</v>
      </c>
      <c r="R266" t="s">
        <v>131</v>
      </c>
      <c r="S266" t="s">
        <v>128</v>
      </c>
      <c r="T266" t="s">
        <v>137</v>
      </c>
      <c r="U266" t="s">
        <v>129</v>
      </c>
      <c r="V266" t="s">
        <v>76</v>
      </c>
      <c r="W266" s="58">
        <v>43315</v>
      </c>
      <c r="X266" s="59">
        <v>0.3576388888888889</v>
      </c>
      <c r="Y266" s="59">
        <v>0.39930555555555558</v>
      </c>
      <c r="Z266" s="59">
        <v>4.1666666666666664E-2</v>
      </c>
      <c r="AA266">
        <v>0</v>
      </c>
      <c r="AC266">
        <v>23</v>
      </c>
      <c r="AD266">
        <v>8.75</v>
      </c>
      <c r="AE266" s="59">
        <v>0.3576388888888889</v>
      </c>
      <c r="AF266" s="59">
        <v>0.39861111111111108</v>
      </c>
      <c r="AG266">
        <v>0</v>
      </c>
    </row>
    <row r="267" spans="1:33" x14ac:dyDescent="0.25">
      <c r="A267" t="s">
        <v>274</v>
      </c>
      <c r="B267" t="s">
        <v>336</v>
      </c>
      <c r="C267" t="s">
        <v>337</v>
      </c>
      <c r="E267" t="s">
        <v>338</v>
      </c>
      <c r="F267" t="s">
        <v>134</v>
      </c>
      <c r="H267" t="s">
        <v>186</v>
      </c>
      <c r="I267" t="s">
        <v>147</v>
      </c>
      <c r="J267" t="s">
        <v>258</v>
      </c>
      <c r="K267" t="s">
        <v>345</v>
      </c>
      <c r="L267" t="s">
        <v>346</v>
      </c>
      <c r="N267" t="s">
        <v>347</v>
      </c>
      <c r="O267" t="s">
        <v>134</v>
      </c>
      <c r="Q267" t="s">
        <v>200</v>
      </c>
      <c r="R267" t="s">
        <v>187</v>
      </c>
      <c r="S267" t="s">
        <v>128</v>
      </c>
      <c r="T267" t="s">
        <v>137</v>
      </c>
      <c r="U267" t="s">
        <v>151</v>
      </c>
      <c r="V267" t="s">
        <v>76</v>
      </c>
      <c r="W267" s="58">
        <v>43315</v>
      </c>
      <c r="X267" s="59">
        <v>0.47013888888888888</v>
      </c>
      <c r="Y267" s="59">
        <v>0.55347222222222225</v>
      </c>
      <c r="Z267" s="59">
        <v>8.3333333333333329E-2</v>
      </c>
      <c r="AA267">
        <v>0</v>
      </c>
      <c r="AB267">
        <v>4.5818000000000003</v>
      </c>
      <c r="AC267">
        <v>40</v>
      </c>
      <c r="AD267">
        <v>17.5</v>
      </c>
      <c r="AE267" s="59">
        <v>0.47013888888888888</v>
      </c>
      <c r="AF267" s="59">
        <v>0.55277777777777781</v>
      </c>
      <c r="AG267">
        <v>0</v>
      </c>
    </row>
    <row r="268" spans="1:33" x14ac:dyDescent="0.25">
      <c r="A268" t="s">
        <v>258</v>
      </c>
      <c r="B268" t="s">
        <v>259</v>
      </c>
      <c r="C268" t="s">
        <v>260</v>
      </c>
      <c r="E268" t="s">
        <v>261</v>
      </c>
      <c r="F268" t="s">
        <v>134</v>
      </c>
      <c r="H268" t="s">
        <v>130</v>
      </c>
      <c r="I268" t="s">
        <v>127</v>
      </c>
      <c r="J268" t="s">
        <v>258</v>
      </c>
      <c r="K268" t="s">
        <v>345</v>
      </c>
      <c r="L268" t="s">
        <v>346</v>
      </c>
      <c r="N268" t="s">
        <v>347</v>
      </c>
      <c r="O268" t="s">
        <v>134</v>
      </c>
      <c r="Q268" t="s">
        <v>200</v>
      </c>
      <c r="R268" t="s">
        <v>131</v>
      </c>
      <c r="S268" t="s">
        <v>128</v>
      </c>
      <c r="T268" t="s">
        <v>137</v>
      </c>
      <c r="U268" t="s">
        <v>129</v>
      </c>
      <c r="V268" t="s">
        <v>77</v>
      </c>
      <c r="W268" s="58">
        <v>43316</v>
      </c>
      <c r="X268" s="59">
        <v>0.41666666666666669</v>
      </c>
      <c r="Y268" s="59">
        <v>0.45833333333333331</v>
      </c>
      <c r="Z268" s="59">
        <v>4.1666666666666664E-2</v>
      </c>
      <c r="AA268">
        <v>0</v>
      </c>
      <c r="AC268">
        <v>23</v>
      </c>
      <c r="AD268">
        <v>9.75</v>
      </c>
      <c r="AE268" s="59">
        <v>0.41666666666666669</v>
      </c>
      <c r="AF268" s="59">
        <v>0.45763888888888887</v>
      </c>
      <c r="AG268">
        <v>0</v>
      </c>
    </row>
    <row r="269" spans="1:33" x14ac:dyDescent="0.25">
      <c r="A269" t="s">
        <v>258</v>
      </c>
      <c r="B269" t="s">
        <v>310</v>
      </c>
      <c r="C269" t="s">
        <v>311</v>
      </c>
      <c r="D269" t="s">
        <v>312</v>
      </c>
      <c r="E269" t="s">
        <v>313</v>
      </c>
      <c r="F269" t="s">
        <v>134</v>
      </c>
      <c r="H269" t="s">
        <v>175</v>
      </c>
      <c r="I269" t="s">
        <v>127</v>
      </c>
      <c r="J269" t="s">
        <v>258</v>
      </c>
      <c r="K269" t="s">
        <v>345</v>
      </c>
      <c r="L269" t="s">
        <v>346</v>
      </c>
      <c r="N269" t="s">
        <v>347</v>
      </c>
      <c r="O269" t="s">
        <v>134</v>
      </c>
      <c r="Q269" t="s">
        <v>200</v>
      </c>
      <c r="R269" t="s">
        <v>176</v>
      </c>
      <c r="S269" t="s">
        <v>128</v>
      </c>
      <c r="T269" t="s">
        <v>137</v>
      </c>
      <c r="U269" t="s">
        <v>151</v>
      </c>
      <c r="V269" t="s">
        <v>77</v>
      </c>
      <c r="W269" s="58">
        <v>43316</v>
      </c>
      <c r="X269" s="59">
        <v>0.46875</v>
      </c>
      <c r="Y269" s="59">
        <v>0.59375</v>
      </c>
      <c r="Z269" s="59">
        <v>0.125</v>
      </c>
      <c r="AA269">
        <v>0</v>
      </c>
      <c r="AB269">
        <v>0.3296</v>
      </c>
      <c r="AC269">
        <v>60</v>
      </c>
      <c r="AD269">
        <v>29.25</v>
      </c>
      <c r="AE269" s="59">
        <v>0.46875</v>
      </c>
      <c r="AF269" s="59">
        <v>0.50972222222222219</v>
      </c>
      <c r="AG269">
        <v>0</v>
      </c>
    </row>
    <row r="270" spans="1:33" x14ac:dyDescent="0.25">
      <c r="B270" t="s">
        <v>307</v>
      </c>
      <c r="C270" t="s">
        <v>308</v>
      </c>
      <c r="D270" t="s">
        <v>309</v>
      </c>
      <c r="E270" t="s">
        <v>134</v>
      </c>
      <c r="H270" t="s">
        <v>171</v>
      </c>
      <c r="I270" t="s">
        <v>169</v>
      </c>
      <c r="J270" t="s">
        <v>258</v>
      </c>
      <c r="K270" t="s">
        <v>345</v>
      </c>
      <c r="L270" t="s">
        <v>346</v>
      </c>
      <c r="N270" t="s">
        <v>347</v>
      </c>
      <c r="O270" t="s">
        <v>134</v>
      </c>
      <c r="Q270" t="s">
        <v>200</v>
      </c>
      <c r="R270" t="s">
        <v>172</v>
      </c>
      <c r="S270" t="s">
        <v>128</v>
      </c>
      <c r="T270" t="s">
        <v>137</v>
      </c>
      <c r="U270" t="s">
        <v>129</v>
      </c>
      <c r="V270" t="s">
        <v>77</v>
      </c>
      <c r="W270" s="58">
        <v>43316</v>
      </c>
      <c r="X270" s="59">
        <v>0.66666666666666663</v>
      </c>
      <c r="Y270" s="59">
        <v>0.69791666666666663</v>
      </c>
      <c r="Z270" s="59">
        <v>3.125E-2</v>
      </c>
      <c r="AA270">
        <v>0</v>
      </c>
      <c r="AB270">
        <v>1.3228</v>
      </c>
      <c r="AC270">
        <v>17.25</v>
      </c>
      <c r="AD270">
        <v>7.3125</v>
      </c>
      <c r="AE270" s="59">
        <v>0.66666666666666663</v>
      </c>
      <c r="AF270" s="59">
        <v>0.6972222222222223</v>
      </c>
      <c r="AG270">
        <v>0</v>
      </c>
    </row>
    <row r="271" spans="1:33" x14ac:dyDescent="0.25">
      <c r="A271" t="s">
        <v>258</v>
      </c>
      <c r="B271" t="s">
        <v>314</v>
      </c>
      <c r="C271" t="s">
        <v>315</v>
      </c>
      <c r="D271">
        <v>72</v>
      </c>
      <c r="E271" t="s">
        <v>316</v>
      </c>
      <c r="F271" t="s">
        <v>317</v>
      </c>
      <c r="G271" t="s">
        <v>218</v>
      </c>
      <c r="H271" t="s">
        <v>168</v>
      </c>
      <c r="I271" t="s">
        <v>169</v>
      </c>
      <c r="J271" t="s">
        <v>258</v>
      </c>
      <c r="K271" t="s">
        <v>345</v>
      </c>
      <c r="L271" t="s">
        <v>346</v>
      </c>
      <c r="N271" t="s">
        <v>347</v>
      </c>
      <c r="O271" t="s">
        <v>134</v>
      </c>
      <c r="Q271" t="s">
        <v>200</v>
      </c>
      <c r="R271" t="s">
        <v>170</v>
      </c>
      <c r="S271" t="s">
        <v>128</v>
      </c>
      <c r="T271" t="s">
        <v>137</v>
      </c>
      <c r="U271" t="s">
        <v>129</v>
      </c>
      <c r="V271" t="s">
        <v>71</v>
      </c>
      <c r="W271" s="58">
        <v>43317</v>
      </c>
      <c r="X271" s="59">
        <v>0.70833333333333337</v>
      </c>
      <c r="Y271" s="59">
        <v>0.75</v>
      </c>
      <c r="Z271" s="59">
        <v>4.1666666666666664E-2</v>
      </c>
      <c r="AA271">
        <v>0</v>
      </c>
      <c r="AC271">
        <v>23</v>
      </c>
      <c r="AD271">
        <v>9.75</v>
      </c>
      <c r="AE271" s="59">
        <v>0.70833333333333337</v>
      </c>
      <c r="AF271" s="59">
        <v>0.74930555555555556</v>
      </c>
      <c r="AG271">
        <v>0</v>
      </c>
    </row>
    <row r="272" spans="1:33" x14ac:dyDescent="0.25">
      <c r="B272" t="s">
        <v>307</v>
      </c>
      <c r="C272" t="s">
        <v>308</v>
      </c>
      <c r="D272" t="s">
        <v>309</v>
      </c>
      <c r="E272" t="s">
        <v>134</v>
      </c>
      <c r="H272" t="s">
        <v>171</v>
      </c>
      <c r="I272" t="s">
        <v>169</v>
      </c>
      <c r="J272" t="s">
        <v>258</v>
      </c>
      <c r="K272" t="s">
        <v>345</v>
      </c>
      <c r="L272" t="s">
        <v>346</v>
      </c>
      <c r="N272" t="s">
        <v>347</v>
      </c>
      <c r="O272" t="s">
        <v>134</v>
      </c>
      <c r="Q272" t="s">
        <v>200</v>
      </c>
      <c r="R272" t="s">
        <v>172</v>
      </c>
      <c r="S272" t="s">
        <v>128</v>
      </c>
      <c r="T272" t="s">
        <v>137</v>
      </c>
      <c r="U272" t="s">
        <v>129</v>
      </c>
      <c r="V272" t="s">
        <v>73</v>
      </c>
      <c r="W272" s="58">
        <v>43319</v>
      </c>
      <c r="X272" s="59">
        <v>0.35416666666666669</v>
      </c>
      <c r="Y272" s="59">
        <v>0.39583333333333331</v>
      </c>
      <c r="Z272" s="59">
        <v>4.1666666666666664E-2</v>
      </c>
      <c r="AA272">
        <v>0</v>
      </c>
      <c r="AC272">
        <v>23</v>
      </c>
      <c r="AD272">
        <v>8.75</v>
      </c>
      <c r="AE272" s="59">
        <v>0.35416666666666669</v>
      </c>
      <c r="AF272" s="59">
        <v>0.39513888888888887</v>
      </c>
      <c r="AG272">
        <v>0</v>
      </c>
    </row>
    <row r="273" spans="1:33" x14ac:dyDescent="0.25">
      <c r="B273" t="s">
        <v>307</v>
      </c>
      <c r="C273" t="s">
        <v>308</v>
      </c>
      <c r="D273" t="s">
        <v>309</v>
      </c>
      <c r="E273" t="s">
        <v>134</v>
      </c>
      <c r="H273" t="s">
        <v>171</v>
      </c>
      <c r="I273" t="s">
        <v>169</v>
      </c>
      <c r="J273" t="s">
        <v>258</v>
      </c>
      <c r="K273" t="s">
        <v>345</v>
      </c>
      <c r="L273" t="s">
        <v>346</v>
      </c>
      <c r="N273" t="s">
        <v>347</v>
      </c>
      <c r="O273" t="s">
        <v>134</v>
      </c>
      <c r="Q273" t="s">
        <v>200</v>
      </c>
      <c r="R273" t="s">
        <v>172</v>
      </c>
      <c r="S273" t="s">
        <v>128</v>
      </c>
      <c r="T273" t="s">
        <v>137</v>
      </c>
      <c r="U273" t="s">
        <v>129</v>
      </c>
      <c r="V273" t="s">
        <v>73</v>
      </c>
      <c r="W273" s="58">
        <v>43319</v>
      </c>
      <c r="X273" s="59">
        <v>0.5</v>
      </c>
      <c r="Y273" s="59">
        <v>0.58333333333333337</v>
      </c>
      <c r="Z273" s="59">
        <v>8.3333333333333329E-2</v>
      </c>
      <c r="AA273">
        <v>0</v>
      </c>
      <c r="AB273">
        <v>0</v>
      </c>
      <c r="AC273">
        <v>46</v>
      </c>
      <c r="AD273">
        <v>17.5</v>
      </c>
      <c r="AE273" s="59">
        <v>0.5</v>
      </c>
      <c r="AF273" s="59">
        <v>0.58263888888888882</v>
      </c>
      <c r="AG273">
        <v>0</v>
      </c>
    </row>
    <row r="274" spans="1:33" x14ac:dyDescent="0.25">
      <c r="B274" t="s">
        <v>307</v>
      </c>
      <c r="C274" t="s">
        <v>308</v>
      </c>
      <c r="D274" t="s">
        <v>309</v>
      </c>
      <c r="E274" t="s">
        <v>134</v>
      </c>
      <c r="H274" t="s">
        <v>171</v>
      </c>
      <c r="I274" t="s">
        <v>169</v>
      </c>
      <c r="J274" t="s">
        <v>258</v>
      </c>
      <c r="K274" t="s">
        <v>345</v>
      </c>
      <c r="L274" t="s">
        <v>346</v>
      </c>
      <c r="N274" t="s">
        <v>347</v>
      </c>
      <c r="O274" t="s">
        <v>134</v>
      </c>
      <c r="Q274" t="s">
        <v>200</v>
      </c>
      <c r="R274" t="s">
        <v>172</v>
      </c>
      <c r="S274" t="s">
        <v>128</v>
      </c>
      <c r="T274" t="s">
        <v>137</v>
      </c>
      <c r="U274" t="s">
        <v>129</v>
      </c>
      <c r="V274" t="s">
        <v>75</v>
      </c>
      <c r="W274" s="58">
        <v>43321</v>
      </c>
      <c r="X274" s="59">
        <v>0.33124999999999999</v>
      </c>
      <c r="Y274" s="59">
        <v>0.37291666666666662</v>
      </c>
      <c r="Z274" s="59">
        <v>4.1666666666666664E-2</v>
      </c>
      <c r="AA274">
        <v>0</v>
      </c>
      <c r="AC274">
        <v>23</v>
      </c>
      <c r="AD274">
        <v>8.75</v>
      </c>
      <c r="AE274" s="59">
        <v>0.33124999999999999</v>
      </c>
      <c r="AF274" s="59">
        <v>0.37222222222222223</v>
      </c>
      <c r="AG274">
        <v>0</v>
      </c>
    </row>
    <row r="275" spans="1:33" x14ac:dyDescent="0.25">
      <c r="A275" t="s">
        <v>274</v>
      </c>
      <c r="B275" t="s">
        <v>334</v>
      </c>
      <c r="C275" t="s">
        <v>285</v>
      </c>
      <c r="E275" t="s">
        <v>335</v>
      </c>
      <c r="F275" t="s">
        <v>134</v>
      </c>
      <c r="H275" t="s">
        <v>192</v>
      </c>
      <c r="I275" t="s">
        <v>155</v>
      </c>
      <c r="J275" t="s">
        <v>258</v>
      </c>
      <c r="K275" t="s">
        <v>345</v>
      </c>
      <c r="L275" t="s">
        <v>346</v>
      </c>
      <c r="N275" t="s">
        <v>347</v>
      </c>
      <c r="O275" t="s">
        <v>134</v>
      </c>
      <c r="Q275" t="s">
        <v>200</v>
      </c>
      <c r="R275" t="s">
        <v>193</v>
      </c>
      <c r="S275" t="s">
        <v>128</v>
      </c>
      <c r="T275" t="s">
        <v>137</v>
      </c>
      <c r="U275" t="s">
        <v>129</v>
      </c>
      <c r="V275" t="s">
        <v>75</v>
      </c>
      <c r="W275" s="58">
        <v>43321</v>
      </c>
      <c r="X275" s="59">
        <v>0.41666666666666669</v>
      </c>
      <c r="Y275" s="59">
        <v>0.45833333333333331</v>
      </c>
      <c r="Z275" s="59">
        <v>4.1666666666666664E-2</v>
      </c>
      <c r="AA275">
        <v>0</v>
      </c>
      <c r="AB275">
        <v>8.3000000000000007</v>
      </c>
      <c r="AC275">
        <v>23</v>
      </c>
      <c r="AD275">
        <v>8.75</v>
      </c>
      <c r="AE275" s="59">
        <v>0.41666666666666669</v>
      </c>
      <c r="AF275" s="59">
        <v>0.45763888888888887</v>
      </c>
      <c r="AG275">
        <v>0</v>
      </c>
    </row>
    <row r="276" spans="1:33" x14ac:dyDescent="0.25">
      <c r="A276" t="s">
        <v>258</v>
      </c>
      <c r="B276" t="s">
        <v>259</v>
      </c>
      <c r="C276" t="s">
        <v>260</v>
      </c>
      <c r="E276" t="s">
        <v>261</v>
      </c>
      <c r="F276" t="s">
        <v>134</v>
      </c>
      <c r="H276" t="s">
        <v>130</v>
      </c>
      <c r="I276" t="s">
        <v>127</v>
      </c>
      <c r="J276" t="s">
        <v>258</v>
      </c>
      <c r="K276" t="s">
        <v>345</v>
      </c>
      <c r="L276" t="s">
        <v>346</v>
      </c>
      <c r="N276" t="s">
        <v>347</v>
      </c>
      <c r="O276" t="s">
        <v>134</v>
      </c>
      <c r="Q276" t="s">
        <v>200</v>
      </c>
      <c r="R276" t="s">
        <v>131</v>
      </c>
      <c r="S276" t="s">
        <v>128</v>
      </c>
      <c r="T276" t="s">
        <v>137</v>
      </c>
      <c r="U276" t="s">
        <v>151</v>
      </c>
      <c r="V276" t="s">
        <v>75</v>
      </c>
      <c r="W276" s="58">
        <v>43321</v>
      </c>
      <c r="X276" s="59">
        <v>0.52083333333333337</v>
      </c>
      <c r="Y276" s="59">
        <v>0.60416666666666663</v>
      </c>
      <c r="Z276" s="59">
        <v>8.3333333333333329E-2</v>
      </c>
      <c r="AA276">
        <v>0</v>
      </c>
      <c r="AB276">
        <v>6.7648000000000001</v>
      </c>
      <c r="AC276">
        <v>40</v>
      </c>
      <c r="AD276">
        <v>17.5</v>
      </c>
      <c r="AE276" s="59">
        <v>0.52083333333333337</v>
      </c>
      <c r="AF276" s="59">
        <v>0.60347222222222219</v>
      </c>
      <c r="AG276">
        <v>0</v>
      </c>
    </row>
    <row r="277" spans="1:33" x14ac:dyDescent="0.25">
      <c r="B277" t="s">
        <v>307</v>
      </c>
      <c r="C277" t="s">
        <v>308</v>
      </c>
      <c r="D277" t="s">
        <v>309</v>
      </c>
      <c r="E277" t="s">
        <v>134</v>
      </c>
      <c r="H277" t="s">
        <v>171</v>
      </c>
      <c r="I277" t="s">
        <v>169</v>
      </c>
      <c r="J277" t="s">
        <v>258</v>
      </c>
      <c r="K277" t="s">
        <v>345</v>
      </c>
      <c r="L277" t="s">
        <v>346</v>
      </c>
      <c r="N277" t="s">
        <v>347</v>
      </c>
      <c r="O277" t="s">
        <v>134</v>
      </c>
      <c r="Q277" t="s">
        <v>200</v>
      </c>
      <c r="R277" t="s">
        <v>172</v>
      </c>
      <c r="S277" t="s">
        <v>128</v>
      </c>
      <c r="T277" t="s">
        <v>137</v>
      </c>
      <c r="U277" t="s">
        <v>129</v>
      </c>
      <c r="V277" t="s">
        <v>75</v>
      </c>
      <c r="W277" s="58">
        <v>43321</v>
      </c>
      <c r="X277" s="59">
        <v>0.66666666666666663</v>
      </c>
      <c r="Y277" s="59">
        <v>0.69791666666666663</v>
      </c>
      <c r="Z277" s="59">
        <v>3.125E-2</v>
      </c>
      <c r="AA277">
        <v>0</v>
      </c>
      <c r="AB277">
        <v>1.0771999999999999</v>
      </c>
      <c r="AC277">
        <v>17.25</v>
      </c>
      <c r="AD277">
        <v>6.5625</v>
      </c>
      <c r="AE277" s="59">
        <v>0.66666666666666663</v>
      </c>
      <c r="AF277" s="59">
        <v>0.6972222222222223</v>
      </c>
      <c r="AG277">
        <v>0</v>
      </c>
    </row>
    <row r="278" spans="1:33" x14ac:dyDescent="0.25">
      <c r="A278" t="s">
        <v>258</v>
      </c>
      <c r="B278" t="s">
        <v>314</v>
      </c>
      <c r="C278" t="s">
        <v>315</v>
      </c>
      <c r="D278">
        <v>72</v>
      </c>
      <c r="E278" t="s">
        <v>316</v>
      </c>
      <c r="F278" t="s">
        <v>317</v>
      </c>
      <c r="G278" t="s">
        <v>218</v>
      </c>
      <c r="H278" t="s">
        <v>168</v>
      </c>
      <c r="I278" t="s">
        <v>169</v>
      </c>
      <c r="J278" t="s">
        <v>258</v>
      </c>
      <c r="K278" t="s">
        <v>345</v>
      </c>
      <c r="L278" t="s">
        <v>346</v>
      </c>
      <c r="N278" t="s">
        <v>347</v>
      </c>
      <c r="O278" t="s">
        <v>134</v>
      </c>
      <c r="Q278" t="s">
        <v>200</v>
      </c>
      <c r="R278" t="s">
        <v>170</v>
      </c>
      <c r="S278" t="s">
        <v>128</v>
      </c>
      <c r="T278" t="s">
        <v>137</v>
      </c>
      <c r="U278" t="s">
        <v>129</v>
      </c>
      <c r="V278" t="s">
        <v>75</v>
      </c>
      <c r="W278" s="58">
        <v>43321</v>
      </c>
      <c r="X278" s="59">
        <v>0.70138888888888884</v>
      </c>
      <c r="Y278" s="59">
        <v>0.74305555555555547</v>
      </c>
      <c r="Z278" s="59">
        <v>4.1666666666666664E-2</v>
      </c>
      <c r="AA278">
        <v>0</v>
      </c>
      <c r="AB278">
        <v>0.62839999999999996</v>
      </c>
      <c r="AC278">
        <v>23</v>
      </c>
      <c r="AD278">
        <v>8.75</v>
      </c>
      <c r="AE278" s="59">
        <v>0.70138888888888884</v>
      </c>
      <c r="AF278" s="59">
        <v>0.74236111111111114</v>
      </c>
      <c r="AG278">
        <v>0</v>
      </c>
    </row>
    <row r="279" spans="1:33" x14ac:dyDescent="0.25">
      <c r="A279" t="s">
        <v>274</v>
      </c>
      <c r="B279" t="s">
        <v>334</v>
      </c>
      <c r="C279" t="s">
        <v>285</v>
      </c>
      <c r="E279" t="s">
        <v>335</v>
      </c>
      <c r="F279" t="s">
        <v>134</v>
      </c>
      <c r="H279" t="s">
        <v>192</v>
      </c>
      <c r="I279" t="s">
        <v>155</v>
      </c>
      <c r="J279" t="s">
        <v>258</v>
      </c>
      <c r="K279" t="s">
        <v>345</v>
      </c>
      <c r="L279" t="s">
        <v>346</v>
      </c>
      <c r="N279" t="s">
        <v>347</v>
      </c>
      <c r="O279" t="s">
        <v>134</v>
      </c>
      <c r="Q279" t="s">
        <v>200</v>
      </c>
      <c r="R279" t="s">
        <v>193</v>
      </c>
      <c r="S279" t="s">
        <v>128</v>
      </c>
      <c r="T279" t="s">
        <v>137</v>
      </c>
      <c r="U279" t="s">
        <v>129</v>
      </c>
      <c r="V279" t="s">
        <v>75</v>
      </c>
      <c r="W279" s="58">
        <v>43321</v>
      </c>
      <c r="X279" s="59">
        <v>0.76041666666666663</v>
      </c>
      <c r="Y279" s="59">
        <v>0.80208333333333337</v>
      </c>
      <c r="Z279" s="59">
        <v>4.1666666666666664E-2</v>
      </c>
      <c r="AA279">
        <v>15</v>
      </c>
      <c r="AB279">
        <v>8.1636000000000006</v>
      </c>
      <c r="AC279">
        <v>23</v>
      </c>
      <c r="AD279">
        <v>8.75</v>
      </c>
      <c r="AE279" s="59">
        <v>0.76041666666666663</v>
      </c>
      <c r="AF279" s="59">
        <v>0.80138888888888893</v>
      </c>
      <c r="AG279">
        <v>0</v>
      </c>
    </row>
    <row r="280" spans="1:33" x14ac:dyDescent="0.25">
      <c r="A280" t="s">
        <v>266</v>
      </c>
      <c r="B280" t="s">
        <v>348</v>
      </c>
      <c r="C280" t="s">
        <v>349</v>
      </c>
      <c r="E280" t="s">
        <v>350</v>
      </c>
      <c r="F280" t="s">
        <v>134</v>
      </c>
      <c r="H280" t="s">
        <v>202</v>
      </c>
      <c r="I280" t="s">
        <v>139</v>
      </c>
      <c r="J280" t="s">
        <v>258</v>
      </c>
      <c r="K280" t="s">
        <v>345</v>
      </c>
      <c r="L280" t="s">
        <v>346</v>
      </c>
      <c r="N280" t="s">
        <v>347</v>
      </c>
      <c r="O280" t="s">
        <v>134</v>
      </c>
      <c r="Q280" t="s">
        <v>200</v>
      </c>
      <c r="R280" t="s">
        <v>203</v>
      </c>
      <c r="S280" t="s">
        <v>128</v>
      </c>
      <c r="T280" t="s">
        <v>137</v>
      </c>
      <c r="U280" t="s">
        <v>151</v>
      </c>
      <c r="V280" t="s">
        <v>76</v>
      </c>
      <c r="W280" s="58">
        <v>43322</v>
      </c>
      <c r="X280" s="59">
        <v>0.29166666666666669</v>
      </c>
      <c r="Y280" s="59">
        <v>0.35416666666666669</v>
      </c>
      <c r="Z280" s="59">
        <v>6.25E-2</v>
      </c>
      <c r="AA280">
        <v>0</v>
      </c>
      <c r="AC280">
        <v>30</v>
      </c>
      <c r="AD280">
        <v>13.125</v>
      </c>
      <c r="AE280" s="59">
        <v>0.29166666666666669</v>
      </c>
      <c r="AF280" s="59">
        <v>0.35347222222222219</v>
      </c>
      <c r="AG280">
        <v>0</v>
      </c>
    </row>
    <row r="281" spans="1:33" x14ac:dyDescent="0.25">
      <c r="A281" t="s">
        <v>258</v>
      </c>
      <c r="B281" t="s">
        <v>310</v>
      </c>
      <c r="C281" t="s">
        <v>311</v>
      </c>
      <c r="D281" t="s">
        <v>312</v>
      </c>
      <c r="E281" t="s">
        <v>313</v>
      </c>
      <c r="F281" t="s">
        <v>134</v>
      </c>
      <c r="H281" t="s">
        <v>175</v>
      </c>
      <c r="I281" t="s">
        <v>127</v>
      </c>
      <c r="J281" t="s">
        <v>258</v>
      </c>
      <c r="K281" t="s">
        <v>345</v>
      </c>
      <c r="L281" t="s">
        <v>346</v>
      </c>
      <c r="N281" t="s">
        <v>347</v>
      </c>
      <c r="O281" t="s">
        <v>134</v>
      </c>
      <c r="Q281" t="s">
        <v>200</v>
      </c>
      <c r="R281" t="s">
        <v>176</v>
      </c>
      <c r="S281" t="s">
        <v>128</v>
      </c>
      <c r="T281" t="s">
        <v>137</v>
      </c>
      <c r="U281" t="s">
        <v>151</v>
      </c>
      <c r="V281" t="s">
        <v>76</v>
      </c>
      <c r="W281" s="58">
        <v>43322</v>
      </c>
      <c r="X281" s="59">
        <v>0.375</v>
      </c>
      <c r="Y281" s="59">
        <v>0.45833333333333331</v>
      </c>
      <c r="Z281" s="59">
        <v>8.3333333333333329E-2</v>
      </c>
      <c r="AA281">
        <v>0</v>
      </c>
      <c r="AB281">
        <v>7.3352000000000004</v>
      </c>
      <c r="AC281">
        <v>40</v>
      </c>
      <c r="AD281">
        <v>17.5</v>
      </c>
      <c r="AE281" s="59">
        <v>0.375</v>
      </c>
      <c r="AF281" s="59">
        <v>0.45763888888888887</v>
      </c>
      <c r="AG281">
        <v>0</v>
      </c>
    </row>
    <row r="282" spans="1:33" x14ac:dyDescent="0.25">
      <c r="A282" t="s">
        <v>274</v>
      </c>
      <c r="B282" t="s">
        <v>275</v>
      </c>
      <c r="C282" t="s">
        <v>276</v>
      </c>
      <c r="E282" t="s">
        <v>277</v>
      </c>
      <c r="F282" t="s">
        <v>134</v>
      </c>
      <c r="H282" t="s">
        <v>141</v>
      </c>
      <c r="I282" t="s">
        <v>142</v>
      </c>
      <c r="J282" t="s">
        <v>258</v>
      </c>
      <c r="K282" t="s">
        <v>345</v>
      </c>
      <c r="L282" t="s">
        <v>346</v>
      </c>
      <c r="N282" t="s">
        <v>347</v>
      </c>
      <c r="O282" t="s">
        <v>134</v>
      </c>
      <c r="Q282" t="s">
        <v>200</v>
      </c>
      <c r="R282" t="s">
        <v>143</v>
      </c>
      <c r="S282" t="s">
        <v>128</v>
      </c>
      <c r="T282" t="s">
        <v>137</v>
      </c>
      <c r="U282" t="s">
        <v>129</v>
      </c>
      <c r="V282" t="s">
        <v>77</v>
      </c>
      <c r="W282" s="58">
        <v>43323</v>
      </c>
      <c r="X282" s="59">
        <v>0.34375</v>
      </c>
      <c r="Y282" s="59">
        <v>0.38541666666666669</v>
      </c>
      <c r="Z282" s="59">
        <v>4.1666666666666664E-2</v>
      </c>
      <c r="AA282">
        <v>0</v>
      </c>
      <c r="AC282">
        <v>23</v>
      </c>
      <c r="AD282">
        <v>9.75</v>
      </c>
      <c r="AE282" s="59">
        <v>0.34375</v>
      </c>
      <c r="AF282" s="59">
        <v>0.38472222222222219</v>
      </c>
      <c r="AG282">
        <v>0</v>
      </c>
    </row>
    <row r="283" spans="1:33" x14ac:dyDescent="0.25">
      <c r="A283" t="s">
        <v>274</v>
      </c>
      <c r="B283" t="s">
        <v>334</v>
      </c>
      <c r="C283" t="s">
        <v>285</v>
      </c>
      <c r="E283" t="s">
        <v>335</v>
      </c>
      <c r="F283" t="s">
        <v>134</v>
      </c>
      <c r="H283" t="s">
        <v>192</v>
      </c>
      <c r="I283" t="s">
        <v>155</v>
      </c>
      <c r="J283" t="s">
        <v>258</v>
      </c>
      <c r="K283" t="s">
        <v>345</v>
      </c>
      <c r="L283" t="s">
        <v>346</v>
      </c>
      <c r="N283" t="s">
        <v>347</v>
      </c>
      <c r="O283" t="s">
        <v>134</v>
      </c>
      <c r="Q283" t="s">
        <v>200</v>
      </c>
      <c r="R283" t="s">
        <v>193</v>
      </c>
      <c r="S283" t="s">
        <v>128</v>
      </c>
      <c r="T283" t="s">
        <v>137</v>
      </c>
      <c r="U283" t="s">
        <v>129</v>
      </c>
      <c r="V283" t="s">
        <v>77</v>
      </c>
      <c r="W283" s="58">
        <v>43323</v>
      </c>
      <c r="X283" s="59">
        <v>0.39583333333333331</v>
      </c>
      <c r="Y283" s="59">
        <v>0.4375</v>
      </c>
      <c r="Z283" s="59">
        <v>4.1666666666666664E-2</v>
      </c>
      <c r="AA283">
        <v>0</v>
      </c>
      <c r="AB283">
        <v>9.1750000000000007</v>
      </c>
      <c r="AC283">
        <v>23</v>
      </c>
      <c r="AD283">
        <v>9.75</v>
      </c>
      <c r="AE283" s="59">
        <v>0.39583333333333331</v>
      </c>
      <c r="AF283" s="59">
        <v>0.4368055555555555</v>
      </c>
      <c r="AG283">
        <v>0</v>
      </c>
    </row>
    <row r="284" spans="1:33" x14ac:dyDescent="0.25">
      <c r="A284" t="s">
        <v>274</v>
      </c>
      <c r="B284" t="s">
        <v>275</v>
      </c>
      <c r="C284" t="s">
        <v>276</v>
      </c>
      <c r="E284" t="s">
        <v>277</v>
      </c>
      <c r="F284" t="s">
        <v>134</v>
      </c>
      <c r="H284" t="s">
        <v>141</v>
      </c>
      <c r="I284" t="s">
        <v>142</v>
      </c>
      <c r="J284" t="s">
        <v>258</v>
      </c>
      <c r="K284" t="s">
        <v>345</v>
      </c>
      <c r="L284" t="s">
        <v>346</v>
      </c>
      <c r="N284" t="s">
        <v>347</v>
      </c>
      <c r="O284" t="s">
        <v>134</v>
      </c>
      <c r="Q284" t="s">
        <v>200</v>
      </c>
      <c r="R284" t="s">
        <v>143</v>
      </c>
      <c r="S284" t="s">
        <v>128</v>
      </c>
      <c r="T284" t="s">
        <v>137</v>
      </c>
      <c r="U284" t="s">
        <v>129</v>
      </c>
      <c r="V284" t="s">
        <v>77</v>
      </c>
      <c r="W284" s="58">
        <v>43323</v>
      </c>
      <c r="X284" s="59">
        <v>0.8125</v>
      </c>
      <c r="Y284" s="59">
        <v>0.83333333333333337</v>
      </c>
      <c r="Z284" s="59">
        <v>2.0833333333333332E-2</v>
      </c>
      <c r="AA284">
        <v>0</v>
      </c>
      <c r="AC284">
        <v>11.5</v>
      </c>
      <c r="AD284">
        <v>4.875</v>
      </c>
      <c r="AE284" s="59">
        <v>0.8125</v>
      </c>
      <c r="AF284" s="59">
        <v>0.83263888888888893</v>
      </c>
      <c r="AG284">
        <v>0</v>
      </c>
    </row>
    <row r="285" spans="1:33" x14ac:dyDescent="0.25">
      <c r="A285" t="s">
        <v>258</v>
      </c>
      <c r="B285" t="s">
        <v>310</v>
      </c>
      <c r="C285" t="s">
        <v>311</v>
      </c>
      <c r="D285" t="s">
        <v>312</v>
      </c>
      <c r="E285" t="s">
        <v>313</v>
      </c>
      <c r="F285" t="s">
        <v>134</v>
      </c>
      <c r="H285" t="s">
        <v>175</v>
      </c>
      <c r="I285" t="s">
        <v>127</v>
      </c>
      <c r="J285" t="s">
        <v>258</v>
      </c>
      <c r="K285" t="s">
        <v>345</v>
      </c>
      <c r="L285" t="s">
        <v>346</v>
      </c>
      <c r="N285" t="s">
        <v>347</v>
      </c>
      <c r="O285" t="s">
        <v>134</v>
      </c>
      <c r="Q285" t="s">
        <v>200</v>
      </c>
      <c r="R285" t="s">
        <v>176</v>
      </c>
      <c r="S285" t="s">
        <v>128</v>
      </c>
      <c r="T285" t="s">
        <v>137</v>
      </c>
      <c r="U285" t="s">
        <v>151</v>
      </c>
      <c r="V285" t="s">
        <v>71</v>
      </c>
      <c r="W285" s="58">
        <v>43324</v>
      </c>
      <c r="X285" s="59">
        <v>0.39583333333333331</v>
      </c>
      <c r="Y285" s="59">
        <v>0.5</v>
      </c>
      <c r="Z285" s="59">
        <v>0.10416666666666667</v>
      </c>
      <c r="AA285">
        <v>0</v>
      </c>
      <c r="AC285">
        <v>50</v>
      </c>
      <c r="AD285">
        <v>24.375</v>
      </c>
      <c r="AE285" s="59">
        <v>0.39583333333333331</v>
      </c>
      <c r="AF285" s="59">
        <v>0.4993055555555555</v>
      </c>
      <c r="AG285">
        <v>0</v>
      </c>
    </row>
    <row r="286" spans="1:33" x14ac:dyDescent="0.25">
      <c r="B286" t="s">
        <v>307</v>
      </c>
      <c r="C286" t="s">
        <v>308</v>
      </c>
      <c r="D286" t="s">
        <v>309</v>
      </c>
      <c r="E286" t="s">
        <v>134</v>
      </c>
      <c r="H286" t="s">
        <v>171</v>
      </c>
      <c r="I286" t="s">
        <v>169</v>
      </c>
      <c r="J286" t="s">
        <v>258</v>
      </c>
      <c r="K286" t="s">
        <v>345</v>
      </c>
      <c r="L286" t="s">
        <v>346</v>
      </c>
      <c r="N286" t="s">
        <v>347</v>
      </c>
      <c r="O286" t="s">
        <v>134</v>
      </c>
      <c r="Q286" t="s">
        <v>200</v>
      </c>
      <c r="R286" t="s">
        <v>172</v>
      </c>
      <c r="S286" t="s">
        <v>128</v>
      </c>
      <c r="T286" t="s">
        <v>137</v>
      </c>
      <c r="U286" t="s">
        <v>129</v>
      </c>
      <c r="V286" t="s">
        <v>72</v>
      </c>
      <c r="W286" s="58">
        <v>43325</v>
      </c>
      <c r="X286" s="59">
        <v>0.32777777777777778</v>
      </c>
      <c r="Y286" s="59">
        <v>0.36944444444444446</v>
      </c>
      <c r="Z286" s="59">
        <v>4.1666666666666664E-2</v>
      </c>
      <c r="AA286">
        <v>0</v>
      </c>
      <c r="AC286">
        <v>23</v>
      </c>
      <c r="AD286">
        <v>8.75</v>
      </c>
      <c r="AE286" s="59">
        <v>0.32777777777777778</v>
      </c>
      <c r="AF286" s="59">
        <v>0.36874999999999997</v>
      </c>
      <c r="AG286">
        <v>0</v>
      </c>
    </row>
    <row r="287" spans="1:33" x14ac:dyDescent="0.25">
      <c r="A287" t="s">
        <v>258</v>
      </c>
      <c r="B287" t="s">
        <v>259</v>
      </c>
      <c r="C287" t="s">
        <v>260</v>
      </c>
      <c r="E287" t="s">
        <v>261</v>
      </c>
      <c r="F287" t="s">
        <v>134</v>
      </c>
      <c r="H287" t="s">
        <v>130</v>
      </c>
      <c r="I287" t="s">
        <v>127</v>
      </c>
      <c r="J287" t="s">
        <v>258</v>
      </c>
      <c r="K287" t="s">
        <v>345</v>
      </c>
      <c r="L287" t="s">
        <v>346</v>
      </c>
      <c r="N287" t="s">
        <v>347</v>
      </c>
      <c r="O287" t="s">
        <v>134</v>
      </c>
      <c r="Q287" t="s">
        <v>200</v>
      </c>
      <c r="R287" t="s">
        <v>131</v>
      </c>
      <c r="S287" t="s">
        <v>128</v>
      </c>
      <c r="T287" t="s">
        <v>137</v>
      </c>
      <c r="U287" t="s">
        <v>129</v>
      </c>
      <c r="V287" t="s">
        <v>73</v>
      </c>
      <c r="W287" s="58">
        <v>43326</v>
      </c>
      <c r="X287" s="59">
        <v>0.36458333333333331</v>
      </c>
      <c r="Y287" s="59">
        <v>0.40625</v>
      </c>
      <c r="Z287" s="59">
        <v>4.1666666666666664E-2</v>
      </c>
      <c r="AA287">
        <v>0</v>
      </c>
      <c r="AC287">
        <v>23</v>
      </c>
      <c r="AD287">
        <v>8.75</v>
      </c>
      <c r="AE287" s="59">
        <v>0.36458333333333331</v>
      </c>
      <c r="AF287" s="59">
        <v>0.4055555555555555</v>
      </c>
      <c r="AG287">
        <v>0</v>
      </c>
    </row>
    <row r="288" spans="1:33" x14ac:dyDescent="0.25">
      <c r="B288" t="s">
        <v>307</v>
      </c>
      <c r="C288" t="s">
        <v>308</v>
      </c>
      <c r="D288" t="s">
        <v>309</v>
      </c>
      <c r="E288" t="s">
        <v>134</v>
      </c>
      <c r="H288" t="s">
        <v>171</v>
      </c>
      <c r="I288" t="s">
        <v>169</v>
      </c>
      <c r="J288" t="s">
        <v>258</v>
      </c>
      <c r="K288" t="s">
        <v>345</v>
      </c>
      <c r="L288" t="s">
        <v>346</v>
      </c>
      <c r="N288" t="s">
        <v>347</v>
      </c>
      <c r="O288" t="s">
        <v>134</v>
      </c>
      <c r="Q288" t="s">
        <v>200</v>
      </c>
      <c r="R288" t="s">
        <v>172</v>
      </c>
      <c r="S288" t="s">
        <v>128</v>
      </c>
      <c r="T288" t="s">
        <v>137</v>
      </c>
      <c r="U288" t="s">
        <v>129</v>
      </c>
      <c r="V288" t="s">
        <v>73</v>
      </c>
      <c r="W288" s="58">
        <v>43326</v>
      </c>
      <c r="X288" s="59">
        <v>0.47916666666666669</v>
      </c>
      <c r="Y288" s="59">
        <v>0.60416666666666663</v>
      </c>
      <c r="Z288" s="59">
        <v>0.125</v>
      </c>
      <c r="AA288">
        <v>0</v>
      </c>
      <c r="AB288">
        <v>1.0771999999999999</v>
      </c>
      <c r="AC288">
        <v>69</v>
      </c>
      <c r="AD288">
        <v>26.25</v>
      </c>
      <c r="AE288" s="59">
        <v>0.47916666666666669</v>
      </c>
      <c r="AF288" s="59">
        <v>0.60347222222222219</v>
      </c>
      <c r="AG288">
        <v>0</v>
      </c>
    </row>
    <row r="289" spans="1:33" x14ac:dyDescent="0.25">
      <c r="A289" t="s">
        <v>274</v>
      </c>
      <c r="B289" t="s">
        <v>334</v>
      </c>
      <c r="C289" t="s">
        <v>285</v>
      </c>
      <c r="E289" t="s">
        <v>335</v>
      </c>
      <c r="F289" t="s">
        <v>134</v>
      </c>
      <c r="H289" t="s">
        <v>192</v>
      </c>
      <c r="I289" t="s">
        <v>155</v>
      </c>
      <c r="J289" t="s">
        <v>258</v>
      </c>
      <c r="K289" t="s">
        <v>345</v>
      </c>
      <c r="L289" t="s">
        <v>346</v>
      </c>
      <c r="N289" t="s">
        <v>347</v>
      </c>
      <c r="O289" t="s">
        <v>134</v>
      </c>
      <c r="Q289" t="s">
        <v>200</v>
      </c>
      <c r="R289" t="s">
        <v>193</v>
      </c>
      <c r="S289" t="s">
        <v>128</v>
      </c>
      <c r="T289" t="s">
        <v>137</v>
      </c>
      <c r="U289" t="s">
        <v>129</v>
      </c>
      <c r="V289" t="s">
        <v>75</v>
      </c>
      <c r="W289" s="58">
        <v>43328</v>
      </c>
      <c r="X289" s="59">
        <v>0.76041666666666663</v>
      </c>
      <c r="Y289" s="59">
        <v>0.80208333333333337</v>
      </c>
      <c r="Z289" s="59">
        <v>4.1666666666666664E-2</v>
      </c>
      <c r="AA289">
        <v>0</v>
      </c>
      <c r="AC289">
        <v>23</v>
      </c>
      <c r="AD289">
        <v>8.75</v>
      </c>
      <c r="AE289" s="59">
        <v>0.76041666666666663</v>
      </c>
      <c r="AF289" s="59">
        <v>0.80138888888888893</v>
      </c>
      <c r="AG289">
        <v>0</v>
      </c>
    </row>
    <row r="290" spans="1:33" x14ac:dyDescent="0.25">
      <c r="A290" t="s">
        <v>258</v>
      </c>
      <c r="B290" t="s">
        <v>259</v>
      </c>
      <c r="C290" t="s">
        <v>260</v>
      </c>
      <c r="E290" t="s">
        <v>261</v>
      </c>
      <c r="F290" t="s">
        <v>134</v>
      </c>
      <c r="H290" t="s">
        <v>130</v>
      </c>
      <c r="I290" t="s">
        <v>127</v>
      </c>
      <c r="J290" t="s">
        <v>258</v>
      </c>
      <c r="K290" t="s">
        <v>345</v>
      </c>
      <c r="L290" t="s">
        <v>346</v>
      </c>
      <c r="N290" t="s">
        <v>347</v>
      </c>
      <c r="O290" t="s">
        <v>134</v>
      </c>
      <c r="Q290" t="s">
        <v>200</v>
      </c>
      <c r="R290" t="s">
        <v>131</v>
      </c>
      <c r="S290" t="s">
        <v>128</v>
      </c>
      <c r="T290" t="s">
        <v>137</v>
      </c>
      <c r="U290" t="s">
        <v>129</v>
      </c>
      <c r="V290" t="s">
        <v>76</v>
      </c>
      <c r="W290" s="58">
        <v>43329</v>
      </c>
      <c r="X290" s="59">
        <v>0.36458333333333331</v>
      </c>
      <c r="Y290" s="59">
        <v>0.40625</v>
      </c>
      <c r="Z290" s="59">
        <v>4.1666666666666664E-2</v>
      </c>
      <c r="AA290">
        <v>0</v>
      </c>
      <c r="AC290">
        <v>23</v>
      </c>
      <c r="AD290">
        <v>8.75</v>
      </c>
      <c r="AE290" s="59">
        <v>0.36458333333333331</v>
      </c>
      <c r="AF290" s="59">
        <v>0.4055555555555555</v>
      </c>
      <c r="AG290">
        <v>0</v>
      </c>
    </row>
    <row r="291" spans="1:33" x14ac:dyDescent="0.25">
      <c r="B291" t="s">
        <v>307</v>
      </c>
      <c r="C291" t="s">
        <v>308</v>
      </c>
      <c r="D291" t="s">
        <v>309</v>
      </c>
      <c r="E291" t="s">
        <v>134</v>
      </c>
      <c r="H291" t="s">
        <v>171</v>
      </c>
      <c r="I291" t="s">
        <v>169</v>
      </c>
      <c r="J291" t="s">
        <v>258</v>
      </c>
      <c r="K291" t="s">
        <v>345</v>
      </c>
      <c r="L291" t="s">
        <v>346</v>
      </c>
      <c r="N291" t="s">
        <v>347</v>
      </c>
      <c r="O291" t="s">
        <v>134</v>
      </c>
      <c r="Q291" t="s">
        <v>200</v>
      </c>
      <c r="R291" t="s">
        <v>172</v>
      </c>
      <c r="S291" t="s">
        <v>128</v>
      </c>
      <c r="T291" t="s">
        <v>137</v>
      </c>
      <c r="U291" t="s">
        <v>129</v>
      </c>
      <c r="V291" t="s">
        <v>71</v>
      </c>
      <c r="W291" s="58">
        <v>43331</v>
      </c>
      <c r="X291" s="59">
        <v>0.3125</v>
      </c>
      <c r="Y291" s="59">
        <v>0.35416666666666669</v>
      </c>
      <c r="Z291" s="59">
        <v>4.1666666666666664E-2</v>
      </c>
      <c r="AA291">
        <v>0</v>
      </c>
      <c r="AC291">
        <v>23</v>
      </c>
      <c r="AD291">
        <v>9.75</v>
      </c>
      <c r="AE291" s="59">
        <v>0.3125</v>
      </c>
      <c r="AF291" s="59">
        <v>0.35347222222222219</v>
      </c>
      <c r="AG291">
        <v>0</v>
      </c>
    </row>
    <row r="292" spans="1:33" x14ac:dyDescent="0.25">
      <c r="A292" t="s">
        <v>258</v>
      </c>
      <c r="B292" t="s">
        <v>310</v>
      </c>
      <c r="C292" t="s">
        <v>311</v>
      </c>
      <c r="D292" t="s">
        <v>312</v>
      </c>
      <c r="E292" t="s">
        <v>313</v>
      </c>
      <c r="F292" t="s">
        <v>134</v>
      </c>
      <c r="H292" t="s">
        <v>175</v>
      </c>
      <c r="I292" t="s">
        <v>127</v>
      </c>
      <c r="J292" t="s">
        <v>258</v>
      </c>
      <c r="K292" t="s">
        <v>345</v>
      </c>
      <c r="L292" t="s">
        <v>346</v>
      </c>
      <c r="N292" t="s">
        <v>347</v>
      </c>
      <c r="O292" t="s">
        <v>134</v>
      </c>
      <c r="Q292" t="s">
        <v>200</v>
      </c>
      <c r="R292" t="s">
        <v>176</v>
      </c>
      <c r="S292" t="s">
        <v>128</v>
      </c>
      <c r="T292" t="s">
        <v>137</v>
      </c>
      <c r="U292" t="s">
        <v>151</v>
      </c>
      <c r="V292" t="s">
        <v>71</v>
      </c>
      <c r="W292" s="58">
        <v>43331</v>
      </c>
      <c r="X292" s="59">
        <v>0.58333333333333337</v>
      </c>
      <c r="Y292" s="59">
        <v>0.66666666666666663</v>
      </c>
      <c r="Z292" s="59">
        <v>8.3333333333333329E-2</v>
      </c>
      <c r="AA292">
        <v>0</v>
      </c>
      <c r="AC292">
        <v>40</v>
      </c>
      <c r="AD292">
        <v>19.5</v>
      </c>
      <c r="AE292" s="59">
        <v>0.58333333333333337</v>
      </c>
      <c r="AF292" s="59">
        <v>0.66597222222222219</v>
      </c>
      <c r="AG292">
        <v>0</v>
      </c>
    </row>
    <row r="293" spans="1:33" x14ac:dyDescent="0.25">
      <c r="A293" t="s">
        <v>258</v>
      </c>
      <c r="B293" t="s">
        <v>325</v>
      </c>
      <c r="C293" t="s">
        <v>326</v>
      </c>
      <c r="E293" t="s">
        <v>327</v>
      </c>
      <c r="F293" t="s">
        <v>134</v>
      </c>
      <c r="H293" t="s">
        <v>182</v>
      </c>
      <c r="I293" t="s">
        <v>147</v>
      </c>
      <c r="J293" t="s">
        <v>266</v>
      </c>
      <c r="K293" t="s">
        <v>351</v>
      </c>
      <c r="L293" t="s">
        <v>352</v>
      </c>
      <c r="N293" t="s">
        <v>353</v>
      </c>
      <c r="O293" t="s">
        <v>134</v>
      </c>
      <c r="Q293" t="s">
        <v>204</v>
      </c>
      <c r="R293" t="s">
        <v>183</v>
      </c>
      <c r="S293" t="s">
        <v>128</v>
      </c>
      <c r="T293" t="s">
        <v>181</v>
      </c>
      <c r="U293" t="s">
        <v>129</v>
      </c>
      <c r="V293" t="s">
        <v>74</v>
      </c>
      <c r="W293" s="58">
        <v>43327</v>
      </c>
      <c r="X293" s="59">
        <v>0.36458333333333331</v>
      </c>
      <c r="Y293" s="59">
        <v>0.40625</v>
      </c>
      <c r="Z293" s="59">
        <v>4.1666666666666664E-2</v>
      </c>
      <c r="AA293">
        <v>0</v>
      </c>
      <c r="AC293">
        <v>23</v>
      </c>
      <c r="AD293">
        <v>9.5</v>
      </c>
      <c r="AE293" s="59">
        <v>0.36458333333333331</v>
      </c>
      <c r="AF293" s="59">
        <v>0.4055555555555555</v>
      </c>
      <c r="AG293">
        <v>0</v>
      </c>
    </row>
    <row r="294" spans="1:33" x14ac:dyDescent="0.25">
      <c r="A294" t="s">
        <v>274</v>
      </c>
      <c r="B294" t="s">
        <v>321</v>
      </c>
      <c r="C294" t="s">
        <v>322</v>
      </c>
      <c r="D294" t="s">
        <v>323</v>
      </c>
      <c r="E294" t="s">
        <v>324</v>
      </c>
      <c r="F294" t="s">
        <v>134</v>
      </c>
      <c r="H294" t="s">
        <v>184</v>
      </c>
      <c r="I294" t="s">
        <v>147</v>
      </c>
      <c r="J294" t="s">
        <v>266</v>
      </c>
      <c r="K294" t="s">
        <v>351</v>
      </c>
      <c r="L294" t="s">
        <v>352</v>
      </c>
      <c r="N294" t="s">
        <v>353</v>
      </c>
      <c r="O294" t="s">
        <v>134</v>
      </c>
      <c r="Q294" t="s">
        <v>204</v>
      </c>
      <c r="R294" t="s">
        <v>185</v>
      </c>
      <c r="S294" t="s">
        <v>128</v>
      </c>
      <c r="T294" t="s">
        <v>181</v>
      </c>
      <c r="U294" t="s">
        <v>151</v>
      </c>
      <c r="V294" t="s">
        <v>74</v>
      </c>
      <c r="W294" s="58">
        <v>43327</v>
      </c>
      <c r="X294" s="59">
        <v>0.41666666666666669</v>
      </c>
      <c r="Y294" s="59">
        <v>0.45833333333333331</v>
      </c>
      <c r="Z294" s="59">
        <v>4.1666666666666664E-2</v>
      </c>
      <c r="AA294">
        <v>0</v>
      </c>
      <c r="AB294">
        <v>2.2181999999999999</v>
      </c>
      <c r="AC294">
        <v>20</v>
      </c>
      <c r="AD294">
        <v>9.5</v>
      </c>
      <c r="AE294" s="59">
        <v>0.41666666666666669</v>
      </c>
      <c r="AF294" s="59">
        <v>0.45763888888888887</v>
      </c>
      <c r="AG294">
        <v>0</v>
      </c>
    </row>
    <row r="295" spans="1:33" x14ac:dyDescent="0.25">
      <c r="A295" t="s">
        <v>258</v>
      </c>
      <c r="B295" t="s">
        <v>342</v>
      </c>
      <c r="C295" t="s">
        <v>343</v>
      </c>
      <c r="E295" t="s">
        <v>344</v>
      </c>
      <c r="F295" t="s">
        <v>134</v>
      </c>
      <c r="H295" t="s">
        <v>197</v>
      </c>
      <c r="I295" t="s">
        <v>198</v>
      </c>
      <c r="J295" t="s">
        <v>266</v>
      </c>
      <c r="K295" t="s">
        <v>351</v>
      </c>
      <c r="L295" t="s">
        <v>352</v>
      </c>
      <c r="N295" t="s">
        <v>353</v>
      </c>
      <c r="O295" t="s">
        <v>134</v>
      </c>
      <c r="Q295" t="s">
        <v>204</v>
      </c>
      <c r="R295" t="s">
        <v>199</v>
      </c>
      <c r="S295" t="s">
        <v>128</v>
      </c>
      <c r="T295" t="s">
        <v>181</v>
      </c>
      <c r="U295" t="s">
        <v>151</v>
      </c>
      <c r="V295" t="s">
        <v>71</v>
      </c>
      <c r="W295" s="58">
        <v>43331</v>
      </c>
      <c r="X295" s="59">
        <v>0.33333333333333331</v>
      </c>
      <c r="Y295" s="59">
        <v>0.375</v>
      </c>
      <c r="Z295" s="59">
        <v>4.1666666666666664E-2</v>
      </c>
      <c r="AA295">
        <v>0</v>
      </c>
      <c r="AC295">
        <v>20</v>
      </c>
      <c r="AD295">
        <v>10.5</v>
      </c>
      <c r="AE295" s="59">
        <v>0.33333333333333331</v>
      </c>
      <c r="AF295" s="59">
        <v>0.3743055555555555</v>
      </c>
      <c r="AG295">
        <v>0</v>
      </c>
    </row>
    <row r="296" spans="1:33" x14ac:dyDescent="0.25">
      <c r="A296" t="s">
        <v>274</v>
      </c>
      <c r="B296" t="s">
        <v>334</v>
      </c>
      <c r="C296" t="s">
        <v>285</v>
      </c>
      <c r="E296" t="s">
        <v>335</v>
      </c>
      <c r="F296" t="s">
        <v>134</v>
      </c>
      <c r="H296" t="s">
        <v>192</v>
      </c>
      <c r="I296" t="s">
        <v>155</v>
      </c>
      <c r="J296" t="s">
        <v>266</v>
      </c>
      <c r="K296" t="s">
        <v>351</v>
      </c>
      <c r="L296" t="s">
        <v>352</v>
      </c>
      <c r="N296" t="s">
        <v>353</v>
      </c>
      <c r="O296" t="s">
        <v>134</v>
      </c>
      <c r="Q296" t="s">
        <v>204</v>
      </c>
      <c r="R296" t="s">
        <v>193</v>
      </c>
      <c r="S296" t="s">
        <v>128</v>
      </c>
      <c r="T296" t="s">
        <v>181</v>
      </c>
      <c r="U296" t="s">
        <v>129</v>
      </c>
      <c r="V296" t="s">
        <v>71</v>
      </c>
      <c r="W296" s="58">
        <v>43331</v>
      </c>
      <c r="X296" s="59">
        <v>0.38541666666666669</v>
      </c>
      <c r="Y296" s="59">
        <v>0.42708333333333331</v>
      </c>
      <c r="Z296" s="59">
        <v>4.1666666666666664E-2</v>
      </c>
      <c r="AA296">
        <v>0</v>
      </c>
      <c r="AB296">
        <v>2.1818</v>
      </c>
      <c r="AC296">
        <v>23</v>
      </c>
      <c r="AD296">
        <v>10.5</v>
      </c>
      <c r="AE296" s="59">
        <v>0.38541666666666669</v>
      </c>
      <c r="AF296" s="59">
        <v>0.42638888888888887</v>
      </c>
      <c r="AG296">
        <v>0</v>
      </c>
    </row>
    <row r="297" spans="1:33" x14ac:dyDescent="0.25">
      <c r="A297" t="s">
        <v>258</v>
      </c>
      <c r="B297" t="s">
        <v>314</v>
      </c>
      <c r="C297" t="s">
        <v>315</v>
      </c>
      <c r="D297">
        <v>72</v>
      </c>
      <c r="E297" t="s">
        <v>316</v>
      </c>
      <c r="F297" t="s">
        <v>317</v>
      </c>
      <c r="G297" t="s">
        <v>218</v>
      </c>
      <c r="H297" t="s">
        <v>168</v>
      </c>
      <c r="I297" t="s">
        <v>169</v>
      </c>
      <c r="J297" t="s">
        <v>266</v>
      </c>
      <c r="K297" t="s">
        <v>351</v>
      </c>
      <c r="L297" t="s">
        <v>352</v>
      </c>
      <c r="N297" t="s">
        <v>353</v>
      </c>
      <c r="O297" t="s">
        <v>134</v>
      </c>
      <c r="Q297" t="s">
        <v>204</v>
      </c>
      <c r="R297" t="s">
        <v>170</v>
      </c>
      <c r="S297" t="s">
        <v>128</v>
      </c>
      <c r="T297" t="s">
        <v>181</v>
      </c>
      <c r="U297" t="s">
        <v>129</v>
      </c>
      <c r="V297" t="s">
        <v>71</v>
      </c>
      <c r="W297" s="58">
        <v>43338</v>
      </c>
      <c r="X297" s="59">
        <v>0.33333333333333331</v>
      </c>
      <c r="Y297" s="59">
        <v>0.35416666666666669</v>
      </c>
      <c r="Z297" s="59">
        <v>2.0833333333333332E-2</v>
      </c>
      <c r="AA297">
        <v>0</v>
      </c>
      <c r="AC297">
        <v>11.5</v>
      </c>
      <c r="AD297">
        <v>5.25</v>
      </c>
      <c r="AE297" s="59">
        <v>0.33333333333333331</v>
      </c>
      <c r="AF297" s="59">
        <v>0.35347222222222219</v>
      </c>
      <c r="AG297">
        <v>0</v>
      </c>
    </row>
    <row r="298" spans="1:33" x14ac:dyDescent="0.25">
      <c r="A298" t="s">
        <v>258</v>
      </c>
      <c r="B298" t="s">
        <v>325</v>
      </c>
      <c r="C298" t="s">
        <v>326</v>
      </c>
      <c r="E298" t="s">
        <v>327</v>
      </c>
      <c r="F298" t="s">
        <v>134</v>
      </c>
      <c r="H298" t="s">
        <v>182</v>
      </c>
      <c r="I298" t="s">
        <v>147</v>
      </c>
      <c r="J298" t="s">
        <v>266</v>
      </c>
      <c r="K298" t="s">
        <v>351</v>
      </c>
      <c r="L298" t="s">
        <v>352</v>
      </c>
      <c r="N298" t="s">
        <v>353</v>
      </c>
      <c r="O298" t="s">
        <v>134</v>
      </c>
      <c r="Q298" t="s">
        <v>204</v>
      </c>
      <c r="R298" t="s">
        <v>183</v>
      </c>
      <c r="S298" t="s">
        <v>128</v>
      </c>
      <c r="T298" t="s">
        <v>181</v>
      </c>
      <c r="U298" t="s">
        <v>129</v>
      </c>
      <c r="V298" t="s">
        <v>71</v>
      </c>
      <c r="W298" s="58">
        <v>43338</v>
      </c>
      <c r="X298" s="59">
        <v>0.36458333333333331</v>
      </c>
      <c r="Y298" s="59">
        <v>0.40625</v>
      </c>
      <c r="Z298" s="59">
        <v>4.1666666666666664E-2</v>
      </c>
      <c r="AA298">
        <v>0</v>
      </c>
      <c r="AB298">
        <v>3.7126000000000001</v>
      </c>
      <c r="AC298">
        <v>23</v>
      </c>
      <c r="AD298">
        <v>10.5</v>
      </c>
      <c r="AE298" s="59">
        <v>0.36458333333333331</v>
      </c>
      <c r="AF298" s="59">
        <v>0.4055555555555555</v>
      </c>
      <c r="AG298">
        <v>0</v>
      </c>
    </row>
    <row r="299" spans="1:33" x14ac:dyDescent="0.25">
      <c r="A299" t="s">
        <v>274</v>
      </c>
      <c r="B299" t="s">
        <v>321</v>
      </c>
      <c r="C299" t="s">
        <v>322</v>
      </c>
      <c r="D299" t="s">
        <v>323</v>
      </c>
      <c r="E299" t="s">
        <v>324</v>
      </c>
      <c r="F299" t="s">
        <v>134</v>
      </c>
      <c r="H299" t="s">
        <v>184</v>
      </c>
      <c r="I299" t="s">
        <v>147</v>
      </c>
      <c r="J299" t="s">
        <v>266</v>
      </c>
      <c r="K299" t="s">
        <v>351</v>
      </c>
      <c r="L299" t="s">
        <v>352</v>
      </c>
      <c r="N299" t="s">
        <v>353</v>
      </c>
      <c r="O299" t="s">
        <v>134</v>
      </c>
      <c r="Q299" t="s">
        <v>204</v>
      </c>
      <c r="R299" t="s">
        <v>185</v>
      </c>
      <c r="S299" t="s">
        <v>128</v>
      </c>
      <c r="T299" t="s">
        <v>181</v>
      </c>
      <c r="U299" t="s">
        <v>151</v>
      </c>
      <c r="V299" t="s">
        <v>71</v>
      </c>
      <c r="W299" s="58">
        <v>43338</v>
      </c>
      <c r="X299" s="59">
        <v>0.41666666666666669</v>
      </c>
      <c r="Y299" s="59">
        <v>0.45833333333333331</v>
      </c>
      <c r="Z299" s="59">
        <v>4.1666666666666664E-2</v>
      </c>
      <c r="AA299">
        <v>0</v>
      </c>
      <c r="AB299">
        <v>2.2181999999999999</v>
      </c>
      <c r="AC299">
        <v>20</v>
      </c>
      <c r="AD299">
        <v>10.5</v>
      </c>
      <c r="AE299" s="59">
        <v>0.41666666666666669</v>
      </c>
      <c r="AF299" s="59">
        <v>0.45763888888888887</v>
      </c>
      <c r="AG299">
        <v>0</v>
      </c>
    </row>
    <row r="300" spans="1:33" x14ac:dyDescent="0.25">
      <c r="A300" t="s">
        <v>258</v>
      </c>
      <c r="B300" t="s">
        <v>325</v>
      </c>
      <c r="C300" t="s">
        <v>326</v>
      </c>
      <c r="E300" t="s">
        <v>327</v>
      </c>
      <c r="F300" t="s">
        <v>134</v>
      </c>
      <c r="H300" t="s">
        <v>182</v>
      </c>
      <c r="I300" t="s">
        <v>147</v>
      </c>
      <c r="J300" t="s">
        <v>266</v>
      </c>
      <c r="K300" t="s">
        <v>351</v>
      </c>
      <c r="L300" t="s">
        <v>352</v>
      </c>
      <c r="N300" t="s">
        <v>353</v>
      </c>
      <c r="O300" t="s">
        <v>134</v>
      </c>
      <c r="Q300" t="s">
        <v>204</v>
      </c>
      <c r="R300" t="s">
        <v>183</v>
      </c>
      <c r="S300" t="s">
        <v>128</v>
      </c>
      <c r="T300" t="s">
        <v>181</v>
      </c>
      <c r="U300" t="s">
        <v>129</v>
      </c>
      <c r="V300" t="s">
        <v>71</v>
      </c>
      <c r="W300" s="58">
        <v>43338</v>
      </c>
      <c r="X300" s="59">
        <v>0.47916666666666669</v>
      </c>
      <c r="Y300" s="59">
        <v>0.52083333333333337</v>
      </c>
      <c r="Z300" s="59">
        <v>4.1666666666666664E-2</v>
      </c>
      <c r="AA300">
        <v>0</v>
      </c>
      <c r="AB300">
        <v>2.2181999999999999</v>
      </c>
      <c r="AC300">
        <v>23</v>
      </c>
      <c r="AD300">
        <v>10.5</v>
      </c>
      <c r="AE300" s="59">
        <v>0.47916666666666669</v>
      </c>
      <c r="AF300" s="59">
        <v>0.52013888888888882</v>
      </c>
      <c r="AG300">
        <v>0</v>
      </c>
    </row>
    <row r="301" spans="1:33" x14ac:dyDescent="0.25">
      <c r="A301" t="s">
        <v>258</v>
      </c>
      <c r="B301" t="s">
        <v>270</v>
      </c>
      <c r="C301" t="s">
        <v>271</v>
      </c>
      <c r="D301" t="s">
        <v>272</v>
      </c>
      <c r="E301" t="s">
        <v>273</v>
      </c>
      <c r="F301" t="s">
        <v>134</v>
      </c>
      <c r="H301" t="s">
        <v>138</v>
      </c>
      <c r="I301" t="s">
        <v>139</v>
      </c>
      <c r="J301" t="s">
        <v>266</v>
      </c>
      <c r="K301" t="s">
        <v>351</v>
      </c>
      <c r="L301" t="s">
        <v>352</v>
      </c>
      <c r="N301" t="s">
        <v>353</v>
      </c>
      <c r="O301" t="s">
        <v>134</v>
      </c>
      <c r="Q301" t="s">
        <v>204</v>
      </c>
      <c r="R301" t="s">
        <v>140</v>
      </c>
      <c r="S301" t="s">
        <v>128</v>
      </c>
      <c r="T301" t="s">
        <v>181</v>
      </c>
      <c r="U301" t="s">
        <v>129</v>
      </c>
      <c r="V301" t="s">
        <v>71</v>
      </c>
      <c r="W301" s="58">
        <v>43338</v>
      </c>
      <c r="X301" s="59">
        <v>0.76041666666666663</v>
      </c>
      <c r="Y301" s="59">
        <v>0.80208333333333337</v>
      </c>
      <c r="Z301" s="59">
        <v>4.1666666666666664E-2</v>
      </c>
      <c r="AA301">
        <v>0</v>
      </c>
      <c r="AC301">
        <v>23</v>
      </c>
      <c r="AD301">
        <v>10.5</v>
      </c>
      <c r="AE301" s="59">
        <v>0.76041666666666663</v>
      </c>
      <c r="AF301" s="59">
        <v>0.80138888888888893</v>
      </c>
      <c r="AG301">
        <v>0</v>
      </c>
    </row>
    <row r="302" spans="1:33" x14ac:dyDescent="0.25">
      <c r="A302" t="s">
        <v>274</v>
      </c>
      <c r="B302" t="s">
        <v>275</v>
      </c>
      <c r="C302" t="s">
        <v>276</v>
      </c>
      <c r="E302" t="s">
        <v>277</v>
      </c>
      <c r="F302" t="s">
        <v>134</v>
      </c>
      <c r="H302" t="s">
        <v>141</v>
      </c>
      <c r="I302" t="s">
        <v>142</v>
      </c>
      <c r="J302" t="s">
        <v>266</v>
      </c>
      <c r="K302" t="s">
        <v>351</v>
      </c>
      <c r="L302" t="s">
        <v>352</v>
      </c>
      <c r="N302" t="s">
        <v>353</v>
      </c>
      <c r="O302" t="s">
        <v>134</v>
      </c>
      <c r="Q302" t="s">
        <v>204</v>
      </c>
      <c r="R302" t="s">
        <v>143</v>
      </c>
      <c r="S302" t="s">
        <v>128</v>
      </c>
      <c r="T302" t="s">
        <v>181</v>
      </c>
      <c r="U302" t="s">
        <v>129</v>
      </c>
      <c r="V302" t="s">
        <v>71</v>
      </c>
      <c r="W302" s="58">
        <v>43338</v>
      </c>
      <c r="X302" s="59">
        <v>0.8125</v>
      </c>
      <c r="Y302" s="59">
        <v>0.83333333333333337</v>
      </c>
      <c r="Z302" s="59">
        <v>2.0833333333333332E-2</v>
      </c>
      <c r="AA302">
        <v>0</v>
      </c>
      <c r="AB302">
        <v>0.9</v>
      </c>
      <c r="AC302">
        <v>11.5</v>
      </c>
      <c r="AD302">
        <v>5.25</v>
      </c>
      <c r="AE302" s="59">
        <v>0.8125</v>
      </c>
      <c r="AF302" s="59">
        <v>0.83263888888888893</v>
      </c>
      <c r="AG302">
        <v>0</v>
      </c>
    </row>
    <row r="303" spans="1:33" x14ac:dyDescent="0.25">
      <c r="A303" t="s">
        <v>274</v>
      </c>
      <c r="B303" t="s">
        <v>321</v>
      </c>
      <c r="C303" t="s">
        <v>322</v>
      </c>
      <c r="D303" t="s">
        <v>323</v>
      </c>
      <c r="E303" t="s">
        <v>324</v>
      </c>
      <c r="F303" t="s">
        <v>134</v>
      </c>
      <c r="H303" t="s">
        <v>184</v>
      </c>
      <c r="I303" t="s">
        <v>147</v>
      </c>
      <c r="J303" t="s">
        <v>266</v>
      </c>
      <c r="K303" t="s">
        <v>351</v>
      </c>
      <c r="L303" t="s">
        <v>352</v>
      </c>
      <c r="N303" t="s">
        <v>353</v>
      </c>
      <c r="O303" t="s">
        <v>134</v>
      </c>
      <c r="Q303" t="s">
        <v>204</v>
      </c>
      <c r="R303" t="s">
        <v>185</v>
      </c>
      <c r="S303" t="s">
        <v>128</v>
      </c>
      <c r="T303" t="s">
        <v>181</v>
      </c>
      <c r="U303" t="s">
        <v>151</v>
      </c>
      <c r="V303" t="s">
        <v>71</v>
      </c>
      <c r="W303" s="58">
        <v>43338</v>
      </c>
      <c r="X303" s="59">
        <v>0.85416666666666663</v>
      </c>
      <c r="Y303" s="59">
        <v>0.88541666666666663</v>
      </c>
      <c r="Z303" s="59">
        <v>3.125E-2</v>
      </c>
      <c r="AA303">
        <v>0</v>
      </c>
      <c r="AB303">
        <v>9.7805999999999997</v>
      </c>
      <c r="AC303">
        <v>15</v>
      </c>
      <c r="AD303">
        <v>7.875</v>
      </c>
      <c r="AE303" s="59">
        <v>0.85416666666666663</v>
      </c>
      <c r="AF303" s="59">
        <v>0.8847222222222223</v>
      </c>
      <c r="AG303">
        <v>0</v>
      </c>
    </row>
    <row r="304" spans="1:33" x14ac:dyDescent="0.25">
      <c r="A304" t="s">
        <v>274</v>
      </c>
      <c r="B304" t="s">
        <v>336</v>
      </c>
      <c r="C304" t="s">
        <v>337</v>
      </c>
      <c r="E304" t="s">
        <v>338</v>
      </c>
      <c r="F304" t="s">
        <v>134</v>
      </c>
      <c r="H304" t="s">
        <v>186</v>
      </c>
      <c r="I304" t="s">
        <v>147</v>
      </c>
      <c r="J304" t="s">
        <v>266</v>
      </c>
      <c r="K304" t="s">
        <v>351</v>
      </c>
      <c r="L304" t="s">
        <v>352</v>
      </c>
      <c r="N304" t="s">
        <v>353</v>
      </c>
      <c r="O304" t="s">
        <v>134</v>
      </c>
      <c r="Q304" t="s">
        <v>204</v>
      </c>
      <c r="R304" t="s">
        <v>187</v>
      </c>
      <c r="S304" t="s">
        <v>128</v>
      </c>
      <c r="T304" t="s">
        <v>181</v>
      </c>
      <c r="U304" t="s">
        <v>151</v>
      </c>
      <c r="V304" t="s">
        <v>74</v>
      </c>
      <c r="W304" s="58">
        <v>43341</v>
      </c>
      <c r="X304" s="59">
        <v>0.46875</v>
      </c>
      <c r="Y304" s="59">
        <v>0.55208333333333337</v>
      </c>
      <c r="Z304" s="59">
        <v>8.3333333333333329E-2</v>
      </c>
      <c r="AA304">
        <v>0</v>
      </c>
      <c r="AC304">
        <v>40</v>
      </c>
      <c r="AD304">
        <v>19</v>
      </c>
      <c r="AE304" s="59">
        <v>0.46875</v>
      </c>
      <c r="AF304" s="59">
        <v>0.55138888888888882</v>
      </c>
      <c r="AG304">
        <v>0</v>
      </c>
    </row>
    <row r="305" spans="1:33" x14ac:dyDescent="0.25">
      <c r="A305" t="s">
        <v>258</v>
      </c>
      <c r="B305" t="s">
        <v>342</v>
      </c>
      <c r="C305" t="s">
        <v>343</v>
      </c>
      <c r="E305" t="s">
        <v>344</v>
      </c>
      <c r="F305" t="s">
        <v>134</v>
      </c>
      <c r="H305" t="s">
        <v>197</v>
      </c>
      <c r="I305" t="s">
        <v>198</v>
      </c>
      <c r="J305" t="s">
        <v>266</v>
      </c>
      <c r="K305" t="s">
        <v>351</v>
      </c>
      <c r="L305" t="s">
        <v>352</v>
      </c>
      <c r="N305" t="s">
        <v>353</v>
      </c>
      <c r="O305" t="s">
        <v>134</v>
      </c>
      <c r="Q305" t="s">
        <v>204</v>
      </c>
      <c r="R305" t="s">
        <v>199</v>
      </c>
      <c r="S305" t="s">
        <v>128</v>
      </c>
      <c r="T305" t="s">
        <v>181</v>
      </c>
      <c r="U305" t="s">
        <v>151</v>
      </c>
      <c r="V305" t="s">
        <v>71</v>
      </c>
      <c r="W305" s="58">
        <v>43345</v>
      </c>
      <c r="X305" s="59">
        <v>0.33333333333333331</v>
      </c>
      <c r="Y305" s="59">
        <v>0.375</v>
      </c>
      <c r="Z305" s="59">
        <v>4.1666666666666664E-2</v>
      </c>
      <c r="AA305">
        <v>0</v>
      </c>
      <c r="AC305">
        <v>20</v>
      </c>
      <c r="AD305">
        <v>10.5</v>
      </c>
      <c r="AE305" s="59">
        <v>0.33333333333333331</v>
      </c>
      <c r="AF305" s="59">
        <v>0.3743055555555555</v>
      </c>
      <c r="AG305">
        <v>0</v>
      </c>
    </row>
    <row r="306" spans="1:33" x14ac:dyDescent="0.25">
      <c r="A306" t="s">
        <v>274</v>
      </c>
      <c r="B306" t="s">
        <v>334</v>
      </c>
      <c r="C306" t="s">
        <v>285</v>
      </c>
      <c r="E306" t="s">
        <v>335</v>
      </c>
      <c r="F306" t="s">
        <v>134</v>
      </c>
      <c r="H306" t="s">
        <v>192</v>
      </c>
      <c r="I306" t="s">
        <v>155</v>
      </c>
      <c r="J306" t="s">
        <v>266</v>
      </c>
      <c r="K306" t="s">
        <v>351</v>
      </c>
      <c r="L306" t="s">
        <v>352</v>
      </c>
      <c r="N306" t="s">
        <v>353</v>
      </c>
      <c r="O306" t="s">
        <v>134</v>
      </c>
      <c r="Q306" t="s">
        <v>204</v>
      </c>
      <c r="R306" t="s">
        <v>193</v>
      </c>
      <c r="S306" t="s">
        <v>128</v>
      </c>
      <c r="T306" t="s">
        <v>181</v>
      </c>
      <c r="U306" t="s">
        <v>129</v>
      </c>
      <c r="V306" t="s">
        <v>71</v>
      </c>
      <c r="W306" s="58">
        <v>43345</v>
      </c>
      <c r="X306" s="59">
        <v>0.38541666666666669</v>
      </c>
      <c r="Y306" s="59">
        <v>0.42708333333333331</v>
      </c>
      <c r="Z306" s="59">
        <v>4.1666666666666664E-2</v>
      </c>
      <c r="AA306">
        <v>4</v>
      </c>
      <c r="AB306">
        <v>2.1818</v>
      </c>
      <c r="AC306">
        <v>23</v>
      </c>
      <c r="AD306">
        <v>10.5</v>
      </c>
      <c r="AE306" s="59">
        <v>0.38541666666666669</v>
      </c>
      <c r="AF306" s="59">
        <v>0.42638888888888887</v>
      </c>
      <c r="AG306">
        <v>0</v>
      </c>
    </row>
    <row r="307" spans="1:33" x14ac:dyDescent="0.25">
      <c r="A307" t="s">
        <v>258</v>
      </c>
      <c r="B307" t="s">
        <v>354</v>
      </c>
      <c r="C307" t="s">
        <v>355</v>
      </c>
      <c r="E307" t="s">
        <v>356</v>
      </c>
      <c r="F307" t="s">
        <v>134</v>
      </c>
      <c r="H307" t="s">
        <v>205</v>
      </c>
      <c r="I307" t="s">
        <v>198</v>
      </c>
      <c r="J307" t="s">
        <v>266</v>
      </c>
      <c r="K307" t="s">
        <v>351</v>
      </c>
      <c r="L307" t="s">
        <v>352</v>
      </c>
      <c r="N307" t="s">
        <v>353</v>
      </c>
      <c r="O307" t="s">
        <v>134</v>
      </c>
      <c r="Q307" t="s">
        <v>204</v>
      </c>
      <c r="R307" t="s">
        <v>206</v>
      </c>
      <c r="S307" t="s">
        <v>128</v>
      </c>
      <c r="T307" t="s">
        <v>181</v>
      </c>
      <c r="U307" t="s">
        <v>129</v>
      </c>
      <c r="V307" t="s">
        <v>71</v>
      </c>
      <c r="W307" s="58">
        <v>43345</v>
      </c>
      <c r="X307" s="59">
        <v>0.43055555555555558</v>
      </c>
      <c r="Y307" s="59">
        <v>0.47222222222222227</v>
      </c>
      <c r="Z307" s="59">
        <v>4.1666666666666664E-2</v>
      </c>
      <c r="AA307">
        <v>0</v>
      </c>
      <c r="AD307">
        <v>10.5</v>
      </c>
      <c r="AG307">
        <v>0</v>
      </c>
    </row>
    <row r="308" spans="1:33" x14ac:dyDescent="0.25">
      <c r="A308" t="s">
        <v>274</v>
      </c>
      <c r="B308" t="s">
        <v>321</v>
      </c>
      <c r="C308" t="s">
        <v>322</v>
      </c>
      <c r="D308" t="s">
        <v>323</v>
      </c>
      <c r="E308" t="s">
        <v>324</v>
      </c>
      <c r="F308" t="s">
        <v>134</v>
      </c>
      <c r="H308" t="s">
        <v>184</v>
      </c>
      <c r="I308" t="s">
        <v>147</v>
      </c>
      <c r="J308" t="s">
        <v>266</v>
      </c>
      <c r="K308" t="s">
        <v>351</v>
      </c>
      <c r="L308" t="s">
        <v>352</v>
      </c>
      <c r="N308" t="s">
        <v>353</v>
      </c>
      <c r="O308" t="s">
        <v>134</v>
      </c>
      <c r="Q308" t="s">
        <v>204</v>
      </c>
      <c r="R308" t="s">
        <v>185</v>
      </c>
      <c r="S308" t="s">
        <v>128</v>
      </c>
      <c r="T308" t="s">
        <v>181</v>
      </c>
      <c r="U308" t="s">
        <v>151</v>
      </c>
      <c r="V308" t="s">
        <v>71</v>
      </c>
      <c r="W308" s="58">
        <v>43345</v>
      </c>
      <c r="X308" s="59">
        <v>0.8569444444444444</v>
      </c>
      <c r="Y308" s="59">
        <v>0.8881944444444444</v>
      </c>
      <c r="Z308" s="59">
        <v>3.125E-2</v>
      </c>
      <c r="AA308">
        <v>0</v>
      </c>
      <c r="AC308">
        <v>15</v>
      </c>
      <c r="AD308">
        <v>7.875</v>
      </c>
      <c r="AE308" s="59">
        <v>0.8569444444444444</v>
      </c>
      <c r="AF308" s="59">
        <v>0.88750000000000007</v>
      </c>
      <c r="AG308">
        <v>0</v>
      </c>
    </row>
    <row r="309" spans="1:33" x14ac:dyDescent="0.25">
      <c r="A309" t="s">
        <v>258</v>
      </c>
      <c r="B309" t="s">
        <v>342</v>
      </c>
      <c r="C309" t="s">
        <v>343</v>
      </c>
      <c r="E309" t="s">
        <v>344</v>
      </c>
      <c r="F309" t="s">
        <v>134</v>
      </c>
      <c r="H309" t="s">
        <v>197</v>
      </c>
      <c r="I309" t="s">
        <v>198</v>
      </c>
      <c r="J309" t="s">
        <v>266</v>
      </c>
      <c r="K309" t="s">
        <v>351</v>
      </c>
      <c r="L309" t="s">
        <v>352</v>
      </c>
      <c r="N309" t="s">
        <v>353</v>
      </c>
      <c r="O309" t="s">
        <v>134</v>
      </c>
      <c r="Q309" t="s">
        <v>204</v>
      </c>
      <c r="R309" t="s">
        <v>199</v>
      </c>
      <c r="S309" t="s">
        <v>128</v>
      </c>
      <c r="T309" t="s">
        <v>181</v>
      </c>
      <c r="U309" t="s">
        <v>151</v>
      </c>
      <c r="V309" t="s">
        <v>71</v>
      </c>
      <c r="W309" s="58">
        <v>43352</v>
      </c>
      <c r="X309" s="59">
        <v>0.33333333333333331</v>
      </c>
      <c r="Y309" s="59">
        <v>0.375</v>
      </c>
      <c r="Z309" s="59">
        <v>4.1666666666666664E-2</v>
      </c>
      <c r="AA309">
        <v>0</v>
      </c>
      <c r="AC309">
        <v>20</v>
      </c>
      <c r="AD309">
        <v>10.5</v>
      </c>
      <c r="AE309" s="59">
        <v>0.33333333333333331</v>
      </c>
      <c r="AF309" s="59">
        <v>0.3743055555555555</v>
      </c>
      <c r="AG309">
        <v>0</v>
      </c>
    </row>
    <row r="310" spans="1:33" x14ac:dyDescent="0.25">
      <c r="A310" t="s">
        <v>258</v>
      </c>
      <c r="B310" t="s">
        <v>310</v>
      </c>
      <c r="C310" t="s">
        <v>311</v>
      </c>
      <c r="D310" t="s">
        <v>312</v>
      </c>
      <c r="E310" t="s">
        <v>313</v>
      </c>
      <c r="F310" t="s">
        <v>134</v>
      </c>
      <c r="H310" t="s">
        <v>175</v>
      </c>
      <c r="I310" t="s">
        <v>127</v>
      </c>
      <c r="J310" t="s">
        <v>266</v>
      </c>
      <c r="K310" t="s">
        <v>351</v>
      </c>
      <c r="L310" t="s">
        <v>352</v>
      </c>
      <c r="N310" t="s">
        <v>353</v>
      </c>
      <c r="O310" t="s">
        <v>134</v>
      </c>
      <c r="Q310" t="s">
        <v>204</v>
      </c>
      <c r="R310" t="s">
        <v>176</v>
      </c>
      <c r="S310" t="s">
        <v>128</v>
      </c>
      <c r="T310" t="s">
        <v>181</v>
      </c>
      <c r="U310" t="s">
        <v>151</v>
      </c>
      <c r="V310" t="s">
        <v>71</v>
      </c>
      <c r="W310" s="58">
        <v>43352</v>
      </c>
      <c r="X310" s="59">
        <v>0.38541666666666669</v>
      </c>
      <c r="Y310" s="59">
        <v>0.42708333333333331</v>
      </c>
      <c r="Z310" s="59">
        <v>4.1666666666666664E-2</v>
      </c>
      <c r="AA310">
        <v>12</v>
      </c>
      <c r="AB310">
        <v>5.3818000000000001</v>
      </c>
      <c r="AC310">
        <v>20</v>
      </c>
      <c r="AD310">
        <v>10.5</v>
      </c>
      <c r="AE310" s="59">
        <v>0.38541666666666669</v>
      </c>
      <c r="AF310" s="59">
        <v>0.42638888888888887</v>
      </c>
      <c r="AG310">
        <v>0</v>
      </c>
    </row>
    <row r="311" spans="1:33" x14ac:dyDescent="0.25">
      <c r="A311" t="s">
        <v>258</v>
      </c>
      <c r="B311" t="s">
        <v>314</v>
      </c>
      <c r="C311" t="s">
        <v>315</v>
      </c>
      <c r="D311">
        <v>72</v>
      </c>
      <c r="E311" t="s">
        <v>316</v>
      </c>
      <c r="F311" t="s">
        <v>317</v>
      </c>
      <c r="G311" t="s">
        <v>218</v>
      </c>
      <c r="H311" t="s">
        <v>168</v>
      </c>
      <c r="I311" t="s">
        <v>169</v>
      </c>
      <c r="J311" t="s">
        <v>266</v>
      </c>
      <c r="K311" t="s">
        <v>357</v>
      </c>
      <c r="L311" t="s">
        <v>358</v>
      </c>
      <c r="N311" t="s">
        <v>359</v>
      </c>
      <c r="O311" t="s">
        <v>134</v>
      </c>
      <c r="Q311" t="s">
        <v>207</v>
      </c>
      <c r="R311" t="s">
        <v>170</v>
      </c>
      <c r="S311" t="s">
        <v>128</v>
      </c>
      <c r="T311" t="s">
        <v>181</v>
      </c>
      <c r="U311" t="s">
        <v>129</v>
      </c>
      <c r="V311" t="s">
        <v>72</v>
      </c>
      <c r="W311" s="58">
        <v>43311</v>
      </c>
      <c r="X311" s="59">
        <v>0.33333333333333331</v>
      </c>
      <c r="Y311" s="59">
        <v>0.35416666666666669</v>
      </c>
      <c r="Z311" s="59">
        <v>2.0833333333333332E-2</v>
      </c>
      <c r="AA311">
        <v>0</v>
      </c>
      <c r="AC311">
        <v>11.5</v>
      </c>
      <c r="AD311">
        <v>4.75</v>
      </c>
      <c r="AE311" s="59">
        <v>0.33333333333333331</v>
      </c>
      <c r="AF311" s="59">
        <v>0.35347222222222219</v>
      </c>
      <c r="AG311">
        <v>14</v>
      </c>
    </row>
    <row r="312" spans="1:33" x14ac:dyDescent="0.25">
      <c r="A312" t="s">
        <v>258</v>
      </c>
      <c r="B312" t="s">
        <v>259</v>
      </c>
      <c r="C312" t="s">
        <v>260</v>
      </c>
      <c r="E312" t="s">
        <v>261</v>
      </c>
      <c r="F312" t="s">
        <v>134</v>
      </c>
      <c r="H312" t="s">
        <v>130</v>
      </c>
      <c r="I312" t="s">
        <v>127</v>
      </c>
      <c r="J312" t="s">
        <v>266</v>
      </c>
      <c r="K312" t="s">
        <v>357</v>
      </c>
      <c r="L312" t="s">
        <v>358</v>
      </c>
      <c r="N312" t="s">
        <v>359</v>
      </c>
      <c r="O312" t="s">
        <v>134</v>
      </c>
      <c r="Q312" t="s">
        <v>207</v>
      </c>
      <c r="R312" t="s">
        <v>131</v>
      </c>
      <c r="S312" t="s">
        <v>128</v>
      </c>
      <c r="T312" t="s">
        <v>181</v>
      </c>
      <c r="U312" t="s">
        <v>129</v>
      </c>
      <c r="V312" t="s">
        <v>72</v>
      </c>
      <c r="W312" s="58">
        <v>43311</v>
      </c>
      <c r="X312" s="59">
        <v>0.36458333333333331</v>
      </c>
      <c r="Y312" s="59">
        <v>0.40625</v>
      </c>
      <c r="Z312" s="59">
        <v>4.1666666666666664E-2</v>
      </c>
      <c r="AA312">
        <v>0</v>
      </c>
      <c r="AB312">
        <v>1.6512</v>
      </c>
      <c r="AC312">
        <v>23</v>
      </c>
      <c r="AD312">
        <v>9.5</v>
      </c>
      <c r="AE312" s="59">
        <v>0.36458333333333331</v>
      </c>
      <c r="AF312" s="59">
        <v>0.4055555555555555</v>
      </c>
      <c r="AG312">
        <v>14</v>
      </c>
    </row>
    <row r="313" spans="1:33" x14ac:dyDescent="0.25">
      <c r="A313" t="s">
        <v>258</v>
      </c>
      <c r="B313" t="s">
        <v>314</v>
      </c>
      <c r="C313" t="s">
        <v>315</v>
      </c>
      <c r="D313">
        <v>72</v>
      </c>
      <c r="E313" t="s">
        <v>316</v>
      </c>
      <c r="F313" t="s">
        <v>317</v>
      </c>
      <c r="G313" t="s">
        <v>218</v>
      </c>
      <c r="H313" t="s">
        <v>168</v>
      </c>
      <c r="I313" t="s">
        <v>169</v>
      </c>
      <c r="J313" t="s">
        <v>266</v>
      </c>
      <c r="K313" t="s">
        <v>357</v>
      </c>
      <c r="L313" t="s">
        <v>358</v>
      </c>
      <c r="N313" t="s">
        <v>359</v>
      </c>
      <c r="O313" t="s">
        <v>134</v>
      </c>
      <c r="Q313" t="s">
        <v>207</v>
      </c>
      <c r="R313" t="s">
        <v>170</v>
      </c>
      <c r="S313" t="s">
        <v>128</v>
      </c>
      <c r="T313" t="s">
        <v>181</v>
      </c>
      <c r="U313" t="s">
        <v>129</v>
      </c>
      <c r="V313" t="s">
        <v>72</v>
      </c>
      <c r="W313" s="58">
        <v>43311</v>
      </c>
      <c r="X313" s="59">
        <v>0.70833333333333337</v>
      </c>
      <c r="Y313" s="59">
        <v>0.75</v>
      </c>
      <c r="Z313" s="59">
        <v>4.1666666666666664E-2</v>
      </c>
      <c r="AA313">
        <v>0</v>
      </c>
      <c r="AC313">
        <v>23</v>
      </c>
      <c r="AD313">
        <v>9.5</v>
      </c>
      <c r="AE313" s="59">
        <v>0.70833333333333337</v>
      </c>
      <c r="AF313" s="59">
        <v>0.74930555555555556</v>
      </c>
      <c r="AG313">
        <v>14</v>
      </c>
    </row>
    <row r="314" spans="1:33" x14ac:dyDescent="0.25">
      <c r="A314" t="s">
        <v>274</v>
      </c>
      <c r="B314" t="s">
        <v>321</v>
      </c>
      <c r="C314" t="s">
        <v>322</v>
      </c>
      <c r="D314" t="s">
        <v>323</v>
      </c>
      <c r="E314" t="s">
        <v>324</v>
      </c>
      <c r="F314" t="s">
        <v>134</v>
      </c>
      <c r="H314" t="s">
        <v>184</v>
      </c>
      <c r="I314" t="s">
        <v>147</v>
      </c>
      <c r="J314" t="s">
        <v>266</v>
      </c>
      <c r="K314" t="s">
        <v>357</v>
      </c>
      <c r="L314" t="s">
        <v>358</v>
      </c>
      <c r="N314" t="s">
        <v>359</v>
      </c>
      <c r="O314" t="s">
        <v>134</v>
      </c>
      <c r="Q314" t="s">
        <v>207</v>
      </c>
      <c r="R314" t="s">
        <v>185</v>
      </c>
      <c r="S314" t="s">
        <v>128</v>
      </c>
      <c r="T314" t="s">
        <v>181</v>
      </c>
      <c r="U314" t="s">
        <v>151</v>
      </c>
      <c r="V314" t="s">
        <v>72</v>
      </c>
      <c r="W314" s="58">
        <v>43311</v>
      </c>
      <c r="X314" s="59">
        <v>0.8125</v>
      </c>
      <c r="Y314" s="59">
        <v>0.84375</v>
      </c>
      <c r="Z314" s="59">
        <v>3.125E-2</v>
      </c>
      <c r="AA314">
        <v>0</v>
      </c>
      <c r="AB314">
        <v>3.6669999999999998</v>
      </c>
      <c r="AC314">
        <v>15</v>
      </c>
      <c r="AD314">
        <v>7.125</v>
      </c>
      <c r="AE314" s="59">
        <v>0.8125</v>
      </c>
      <c r="AF314" s="59">
        <v>0.84305555555555556</v>
      </c>
      <c r="AG314">
        <v>14</v>
      </c>
    </row>
    <row r="315" spans="1:33" x14ac:dyDescent="0.25">
      <c r="B315" t="s">
        <v>331</v>
      </c>
      <c r="C315" t="s">
        <v>332</v>
      </c>
      <c r="E315" t="s">
        <v>333</v>
      </c>
      <c r="F315" t="s">
        <v>134</v>
      </c>
      <c r="G315" t="s">
        <v>218</v>
      </c>
      <c r="H315" t="s">
        <v>177</v>
      </c>
      <c r="I315" t="s">
        <v>158</v>
      </c>
      <c r="J315" t="s">
        <v>266</v>
      </c>
      <c r="K315" t="s">
        <v>357</v>
      </c>
      <c r="L315" t="s">
        <v>358</v>
      </c>
      <c r="N315" t="s">
        <v>359</v>
      </c>
      <c r="O315" t="s">
        <v>134</v>
      </c>
      <c r="Q315" t="s">
        <v>207</v>
      </c>
      <c r="R315" t="s">
        <v>179</v>
      </c>
      <c r="S315" t="s">
        <v>180</v>
      </c>
      <c r="T315" t="s">
        <v>181</v>
      </c>
      <c r="U315" t="s">
        <v>201</v>
      </c>
      <c r="V315" t="s">
        <v>75</v>
      </c>
      <c r="W315" s="58">
        <v>43314</v>
      </c>
      <c r="X315" s="59">
        <v>0.375</v>
      </c>
      <c r="Y315" s="59">
        <v>0.41666666666666669</v>
      </c>
      <c r="Z315" s="59">
        <v>4.1666666666666664E-2</v>
      </c>
      <c r="AA315">
        <v>0</v>
      </c>
      <c r="AD315">
        <v>9.5</v>
      </c>
      <c r="AE315" s="59">
        <v>0.375</v>
      </c>
      <c r="AF315" s="59">
        <v>0.41597222222222219</v>
      </c>
      <c r="AG315">
        <v>14</v>
      </c>
    </row>
    <row r="316" spans="1:33" x14ac:dyDescent="0.25">
      <c r="A316" t="s">
        <v>274</v>
      </c>
      <c r="B316" t="s">
        <v>321</v>
      </c>
      <c r="C316" t="s">
        <v>322</v>
      </c>
      <c r="D316" t="s">
        <v>323</v>
      </c>
      <c r="E316" t="s">
        <v>324</v>
      </c>
      <c r="F316" t="s">
        <v>134</v>
      </c>
      <c r="H316" t="s">
        <v>184</v>
      </c>
      <c r="I316" t="s">
        <v>147</v>
      </c>
      <c r="J316" t="s">
        <v>266</v>
      </c>
      <c r="K316" t="s">
        <v>357</v>
      </c>
      <c r="L316" t="s">
        <v>358</v>
      </c>
      <c r="N316" t="s">
        <v>359</v>
      </c>
      <c r="O316" t="s">
        <v>134</v>
      </c>
      <c r="Q316" t="s">
        <v>207</v>
      </c>
      <c r="R316" t="s">
        <v>185</v>
      </c>
      <c r="S316" t="s">
        <v>128</v>
      </c>
      <c r="T316" t="s">
        <v>181</v>
      </c>
      <c r="U316" t="s">
        <v>151</v>
      </c>
      <c r="V316" t="s">
        <v>76</v>
      </c>
      <c r="W316" s="58">
        <v>43315</v>
      </c>
      <c r="X316" s="59">
        <v>0.85</v>
      </c>
      <c r="Y316" s="59">
        <v>0.88124999999999998</v>
      </c>
      <c r="Z316" s="59">
        <v>3.125E-2</v>
      </c>
      <c r="AA316">
        <v>0</v>
      </c>
      <c r="AC316">
        <v>15</v>
      </c>
      <c r="AD316">
        <v>7.125</v>
      </c>
      <c r="AE316" s="59">
        <v>0.85</v>
      </c>
      <c r="AF316" s="59">
        <v>0.88055555555555554</v>
      </c>
      <c r="AG316">
        <v>14</v>
      </c>
    </row>
    <row r="317" spans="1:33" x14ac:dyDescent="0.25">
      <c r="A317" t="s">
        <v>258</v>
      </c>
      <c r="B317" t="s">
        <v>270</v>
      </c>
      <c r="C317" t="s">
        <v>271</v>
      </c>
      <c r="D317" t="s">
        <v>272</v>
      </c>
      <c r="E317" t="s">
        <v>273</v>
      </c>
      <c r="F317" t="s">
        <v>134</v>
      </c>
      <c r="H317" t="s">
        <v>138</v>
      </c>
      <c r="I317" t="s">
        <v>139</v>
      </c>
      <c r="J317" t="s">
        <v>266</v>
      </c>
      <c r="K317" t="s">
        <v>357</v>
      </c>
      <c r="L317" t="s">
        <v>358</v>
      </c>
      <c r="N317" t="s">
        <v>359</v>
      </c>
      <c r="O317" t="s">
        <v>134</v>
      </c>
      <c r="Q317" t="s">
        <v>207</v>
      </c>
      <c r="R317" t="s">
        <v>140</v>
      </c>
      <c r="S317" t="s">
        <v>128</v>
      </c>
      <c r="T317" t="s">
        <v>181</v>
      </c>
      <c r="U317" t="s">
        <v>129</v>
      </c>
      <c r="V317" t="s">
        <v>77</v>
      </c>
      <c r="W317" s="58">
        <v>43316</v>
      </c>
      <c r="X317" s="59">
        <v>0.3263888888888889</v>
      </c>
      <c r="Y317" s="59">
        <v>0.36805555555555558</v>
      </c>
      <c r="Z317" s="59">
        <v>4.1666666666666664E-2</v>
      </c>
      <c r="AA317">
        <v>0</v>
      </c>
      <c r="AC317">
        <v>23</v>
      </c>
      <c r="AD317">
        <v>10.5</v>
      </c>
      <c r="AE317" s="59">
        <v>0.3263888888888889</v>
      </c>
      <c r="AF317" s="59">
        <v>0.36736111111111108</v>
      </c>
      <c r="AG317">
        <v>14</v>
      </c>
    </row>
    <row r="318" spans="1:33" x14ac:dyDescent="0.25">
      <c r="A318" t="s">
        <v>258</v>
      </c>
      <c r="B318" t="s">
        <v>310</v>
      </c>
      <c r="C318" t="s">
        <v>311</v>
      </c>
      <c r="D318" t="s">
        <v>312</v>
      </c>
      <c r="E318" t="s">
        <v>313</v>
      </c>
      <c r="F318" t="s">
        <v>134</v>
      </c>
      <c r="H318" t="s">
        <v>175</v>
      </c>
      <c r="I318" t="s">
        <v>127</v>
      </c>
      <c r="J318" t="s">
        <v>266</v>
      </c>
      <c r="K318" t="s">
        <v>357</v>
      </c>
      <c r="L318" t="s">
        <v>358</v>
      </c>
      <c r="N318" t="s">
        <v>359</v>
      </c>
      <c r="O318" t="s">
        <v>134</v>
      </c>
      <c r="Q318" t="s">
        <v>207</v>
      </c>
      <c r="R318" t="s">
        <v>176</v>
      </c>
      <c r="S318" t="s">
        <v>128</v>
      </c>
      <c r="T318" t="s">
        <v>181</v>
      </c>
      <c r="U318" t="s">
        <v>151</v>
      </c>
      <c r="V318" t="s">
        <v>77</v>
      </c>
      <c r="W318" s="58">
        <v>43316</v>
      </c>
      <c r="X318" s="59">
        <v>0.38194444444444442</v>
      </c>
      <c r="Y318" s="59">
        <v>0.4236111111111111</v>
      </c>
      <c r="Z318" s="59">
        <v>4.1666666666666664E-2</v>
      </c>
      <c r="AA318">
        <v>0</v>
      </c>
      <c r="AB318">
        <v>5.7556000000000003</v>
      </c>
      <c r="AC318">
        <v>20</v>
      </c>
      <c r="AD318">
        <v>10.5</v>
      </c>
      <c r="AE318" s="59">
        <v>0.38194444444444442</v>
      </c>
      <c r="AF318" s="59">
        <v>0.42291666666666666</v>
      </c>
      <c r="AG318">
        <v>14</v>
      </c>
    </row>
    <row r="319" spans="1:33" x14ac:dyDescent="0.25">
      <c r="A319" t="s">
        <v>258</v>
      </c>
      <c r="B319" t="s">
        <v>290</v>
      </c>
      <c r="C319" t="s">
        <v>291</v>
      </c>
      <c r="E319" t="s">
        <v>292</v>
      </c>
      <c r="F319" t="s">
        <v>134</v>
      </c>
      <c r="H319" t="s">
        <v>154</v>
      </c>
      <c r="I319" t="s">
        <v>155</v>
      </c>
      <c r="J319" t="s">
        <v>266</v>
      </c>
      <c r="K319" t="s">
        <v>357</v>
      </c>
      <c r="L319" t="s">
        <v>358</v>
      </c>
      <c r="N319" t="s">
        <v>359</v>
      </c>
      <c r="O319" t="s">
        <v>134</v>
      </c>
      <c r="Q319" t="s">
        <v>207</v>
      </c>
      <c r="R319" t="s">
        <v>156</v>
      </c>
      <c r="S319" t="s">
        <v>128</v>
      </c>
      <c r="T319" t="s">
        <v>181</v>
      </c>
      <c r="U319" t="s">
        <v>151</v>
      </c>
      <c r="V319" t="s">
        <v>77</v>
      </c>
      <c r="W319" s="58">
        <v>43316</v>
      </c>
      <c r="X319" s="59">
        <v>0.4375</v>
      </c>
      <c r="Y319" s="59">
        <v>0.48958333333333331</v>
      </c>
      <c r="Z319" s="59">
        <v>5.2083333333333336E-2</v>
      </c>
      <c r="AA319">
        <v>0</v>
      </c>
      <c r="AB319">
        <v>4.8898000000000001</v>
      </c>
      <c r="AC319">
        <v>25</v>
      </c>
      <c r="AD319">
        <v>13.125</v>
      </c>
      <c r="AE319" s="59">
        <v>0.4375</v>
      </c>
      <c r="AF319" s="59">
        <v>0.48888888888888887</v>
      </c>
      <c r="AG319">
        <v>14</v>
      </c>
    </row>
    <row r="320" spans="1:33" x14ac:dyDescent="0.25">
      <c r="A320" t="s">
        <v>258</v>
      </c>
      <c r="B320" t="s">
        <v>314</v>
      </c>
      <c r="C320" t="s">
        <v>315</v>
      </c>
      <c r="D320">
        <v>72</v>
      </c>
      <c r="E320" t="s">
        <v>316</v>
      </c>
      <c r="F320" t="s">
        <v>317</v>
      </c>
      <c r="G320" t="s">
        <v>218</v>
      </c>
      <c r="H320" t="s">
        <v>168</v>
      </c>
      <c r="I320" t="s">
        <v>169</v>
      </c>
      <c r="J320" t="s">
        <v>266</v>
      </c>
      <c r="K320" t="s">
        <v>357</v>
      </c>
      <c r="L320" t="s">
        <v>358</v>
      </c>
      <c r="N320" t="s">
        <v>359</v>
      </c>
      <c r="O320" t="s">
        <v>134</v>
      </c>
      <c r="Q320" t="s">
        <v>207</v>
      </c>
      <c r="R320" t="s">
        <v>170</v>
      </c>
      <c r="S320" t="s">
        <v>128</v>
      </c>
      <c r="T320" t="s">
        <v>181</v>
      </c>
      <c r="U320" t="s">
        <v>129</v>
      </c>
      <c r="V320" t="s">
        <v>72</v>
      </c>
      <c r="W320" s="58">
        <v>43318</v>
      </c>
      <c r="X320" s="59">
        <v>0.33333333333333331</v>
      </c>
      <c r="Y320" s="59">
        <v>0.35416666666666669</v>
      </c>
      <c r="Z320" s="59">
        <v>2.0833333333333332E-2</v>
      </c>
      <c r="AA320">
        <v>0</v>
      </c>
      <c r="AC320">
        <v>11.5</v>
      </c>
      <c r="AD320">
        <v>4.75</v>
      </c>
      <c r="AE320" s="59">
        <v>0.33333333333333331</v>
      </c>
      <c r="AF320" s="59">
        <v>0.35347222222222219</v>
      </c>
      <c r="AG320">
        <v>14</v>
      </c>
    </row>
    <row r="321" spans="1:33" x14ac:dyDescent="0.25">
      <c r="A321" t="s">
        <v>258</v>
      </c>
      <c r="B321" t="s">
        <v>259</v>
      </c>
      <c r="C321" t="s">
        <v>260</v>
      </c>
      <c r="E321" t="s">
        <v>261</v>
      </c>
      <c r="F321" t="s">
        <v>134</v>
      </c>
      <c r="H321" t="s">
        <v>130</v>
      </c>
      <c r="I321" t="s">
        <v>127</v>
      </c>
      <c r="J321" t="s">
        <v>266</v>
      </c>
      <c r="K321" t="s">
        <v>357</v>
      </c>
      <c r="L321" t="s">
        <v>358</v>
      </c>
      <c r="N321" t="s">
        <v>359</v>
      </c>
      <c r="O321" t="s">
        <v>134</v>
      </c>
      <c r="Q321" t="s">
        <v>207</v>
      </c>
      <c r="R321" t="s">
        <v>131</v>
      </c>
      <c r="S321" t="s">
        <v>128</v>
      </c>
      <c r="T321" t="s">
        <v>181</v>
      </c>
      <c r="U321" t="s">
        <v>129</v>
      </c>
      <c r="V321" t="s">
        <v>72</v>
      </c>
      <c r="W321" s="58">
        <v>43318</v>
      </c>
      <c r="X321" s="59">
        <v>0.36458333333333331</v>
      </c>
      <c r="Y321" s="59">
        <v>0.40625</v>
      </c>
      <c r="Z321" s="59">
        <v>4.1666666666666664E-2</v>
      </c>
      <c r="AA321">
        <v>0</v>
      </c>
      <c r="AB321">
        <v>1.6512</v>
      </c>
      <c r="AC321">
        <v>23</v>
      </c>
      <c r="AD321">
        <v>9.5</v>
      </c>
      <c r="AE321" s="59">
        <v>0.36458333333333331</v>
      </c>
      <c r="AF321" s="59">
        <v>0.4055555555555555</v>
      </c>
      <c r="AG321">
        <v>14</v>
      </c>
    </row>
    <row r="322" spans="1:33" x14ac:dyDescent="0.25">
      <c r="A322" t="s">
        <v>274</v>
      </c>
      <c r="B322" t="s">
        <v>321</v>
      </c>
      <c r="C322" t="s">
        <v>322</v>
      </c>
      <c r="D322" t="s">
        <v>323</v>
      </c>
      <c r="E322" t="s">
        <v>324</v>
      </c>
      <c r="F322" t="s">
        <v>134</v>
      </c>
      <c r="H322" t="s">
        <v>184</v>
      </c>
      <c r="I322" t="s">
        <v>147</v>
      </c>
      <c r="J322" t="s">
        <v>266</v>
      </c>
      <c r="K322" t="s">
        <v>357</v>
      </c>
      <c r="L322" t="s">
        <v>358</v>
      </c>
      <c r="N322" t="s">
        <v>359</v>
      </c>
      <c r="O322" t="s">
        <v>134</v>
      </c>
      <c r="Q322" t="s">
        <v>207</v>
      </c>
      <c r="R322" t="s">
        <v>185</v>
      </c>
      <c r="S322" t="s">
        <v>128</v>
      </c>
      <c r="T322" t="s">
        <v>181</v>
      </c>
      <c r="U322" t="s">
        <v>151</v>
      </c>
      <c r="V322" t="s">
        <v>72</v>
      </c>
      <c r="W322" s="58">
        <v>43318</v>
      </c>
      <c r="X322" s="59">
        <v>0.41666666666666669</v>
      </c>
      <c r="Y322" s="59">
        <v>0.45833333333333331</v>
      </c>
      <c r="Z322" s="59">
        <v>4.1666666666666664E-2</v>
      </c>
      <c r="AA322">
        <v>0</v>
      </c>
      <c r="AB322">
        <v>5.2215999999999996</v>
      </c>
      <c r="AC322">
        <v>20</v>
      </c>
      <c r="AD322">
        <v>9.5</v>
      </c>
      <c r="AE322" s="59">
        <v>0.41666666666666669</v>
      </c>
      <c r="AF322" s="59">
        <v>0.45763888888888887</v>
      </c>
      <c r="AG322">
        <v>14</v>
      </c>
    </row>
    <row r="323" spans="1:33" x14ac:dyDescent="0.25">
      <c r="A323" t="s">
        <v>258</v>
      </c>
      <c r="B323" t="s">
        <v>325</v>
      </c>
      <c r="C323" t="s">
        <v>326</v>
      </c>
      <c r="E323" t="s">
        <v>327</v>
      </c>
      <c r="F323" t="s">
        <v>134</v>
      </c>
      <c r="H323" t="s">
        <v>182</v>
      </c>
      <c r="I323" t="s">
        <v>147</v>
      </c>
      <c r="J323" t="s">
        <v>266</v>
      </c>
      <c r="K323" t="s">
        <v>357</v>
      </c>
      <c r="L323" t="s">
        <v>358</v>
      </c>
      <c r="N323" t="s">
        <v>359</v>
      </c>
      <c r="O323" t="s">
        <v>134</v>
      </c>
      <c r="Q323" t="s">
        <v>207</v>
      </c>
      <c r="R323" t="s">
        <v>183</v>
      </c>
      <c r="S323" t="s">
        <v>128</v>
      </c>
      <c r="T323" t="s">
        <v>181</v>
      </c>
      <c r="U323" t="s">
        <v>129</v>
      </c>
      <c r="V323" t="s">
        <v>72</v>
      </c>
      <c r="W323" s="58">
        <v>43318</v>
      </c>
      <c r="X323" s="59">
        <v>0.47916666666666669</v>
      </c>
      <c r="Y323" s="59">
        <v>0.52083333333333337</v>
      </c>
      <c r="Z323" s="59">
        <v>4.1666666666666664E-2</v>
      </c>
      <c r="AA323">
        <v>0</v>
      </c>
      <c r="AB323">
        <v>2.2181999999999999</v>
      </c>
      <c r="AC323">
        <v>23</v>
      </c>
      <c r="AD323">
        <v>9.5</v>
      </c>
      <c r="AE323" s="59">
        <v>0.47916666666666669</v>
      </c>
      <c r="AF323" s="59">
        <v>0.52013888888888882</v>
      </c>
      <c r="AG323">
        <v>14</v>
      </c>
    </row>
    <row r="324" spans="1:33" x14ac:dyDescent="0.25">
      <c r="A324" t="s">
        <v>258</v>
      </c>
      <c r="B324" t="s">
        <v>259</v>
      </c>
      <c r="C324" t="s">
        <v>260</v>
      </c>
      <c r="E324" t="s">
        <v>261</v>
      </c>
      <c r="F324" t="s">
        <v>134</v>
      </c>
      <c r="H324" t="s">
        <v>130</v>
      </c>
      <c r="I324" t="s">
        <v>127</v>
      </c>
      <c r="J324" t="s">
        <v>266</v>
      </c>
      <c r="K324" t="s">
        <v>357</v>
      </c>
      <c r="L324" t="s">
        <v>358</v>
      </c>
      <c r="N324" t="s">
        <v>359</v>
      </c>
      <c r="O324" t="s">
        <v>134</v>
      </c>
      <c r="Q324" t="s">
        <v>207</v>
      </c>
      <c r="R324" t="s">
        <v>131</v>
      </c>
      <c r="S324" t="s">
        <v>128</v>
      </c>
      <c r="T324" t="s">
        <v>181</v>
      </c>
      <c r="U324" t="s">
        <v>151</v>
      </c>
      <c r="V324" t="s">
        <v>72</v>
      </c>
      <c r="W324" s="58">
        <v>43318</v>
      </c>
      <c r="X324" s="59">
        <v>0.52083333333333337</v>
      </c>
      <c r="Y324" s="59">
        <v>0.60416666666666663</v>
      </c>
      <c r="Z324" s="59">
        <v>8.3333333333333329E-2</v>
      </c>
      <c r="AA324">
        <v>0</v>
      </c>
      <c r="AB324">
        <v>3.2648000000000001</v>
      </c>
      <c r="AC324">
        <v>40</v>
      </c>
      <c r="AD324">
        <v>19</v>
      </c>
      <c r="AE324" s="59">
        <v>0.52083333333333337</v>
      </c>
      <c r="AF324" s="59">
        <v>0.60347222222222219</v>
      </c>
      <c r="AG324">
        <v>14</v>
      </c>
    </row>
    <row r="325" spans="1:33" x14ac:dyDescent="0.25">
      <c r="A325" t="s">
        <v>258</v>
      </c>
      <c r="B325" t="s">
        <v>310</v>
      </c>
      <c r="C325" t="s">
        <v>311</v>
      </c>
      <c r="D325" t="s">
        <v>312</v>
      </c>
      <c r="E325" t="s">
        <v>313</v>
      </c>
      <c r="F325" t="s">
        <v>134</v>
      </c>
      <c r="H325" t="s">
        <v>175</v>
      </c>
      <c r="I325" t="s">
        <v>127</v>
      </c>
      <c r="J325" t="s">
        <v>266</v>
      </c>
      <c r="K325" t="s">
        <v>357</v>
      </c>
      <c r="L325" t="s">
        <v>358</v>
      </c>
      <c r="N325" t="s">
        <v>359</v>
      </c>
      <c r="O325" t="s">
        <v>134</v>
      </c>
      <c r="Q325" t="s">
        <v>207</v>
      </c>
      <c r="R325" t="s">
        <v>176</v>
      </c>
      <c r="S325" t="s">
        <v>128</v>
      </c>
      <c r="T325" t="s">
        <v>181</v>
      </c>
      <c r="U325" t="s">
        <v>151</v>
      </c>
      <c r="V325" t="s">
        <v>72</v>
      </c>
      <c r="W325" s="58">
        <v>43318</v>
      </c>
      <c r="X325" s="59">
        <v>0.60416666666666663</v>
      </c>
      <c r="Y325" s="59">
        <v>0.625</v>
      </c>
      <c r="Z325" s="59">
        <v>2.0833333333333332E-2</v>
      </c>
      <c r="AA325">
        <v>0</v>
      </c>
      <c r="AB325">
        <v>0.3296</v>
      </c>
      <c r="AC325">
        <v>10</v>
      </c>
      <c r="AD325">
        <v>4.75</v>
      </c>
      <c r="AG325">
        <v>14</v>
      </c>
    </row>
    <row r="326" spans="1:33" x14ac:dyDescent="0.25">
      <c r="A326" t="s">
        <v>258</v>
      </c>
      <c r="B326" t="s">
        <v>342</v>
      </c>
      <c r="C326" t="s">
        <v>343</v>
      </c>
      <c r="E326" t="s">
        <v>344</v>
      </c>
      <c r="F326" t="s">
        <v>134</v>
      </c>
      <c r="H326" t="s">
        <v>197</v>
      </c>
      <c r="I326" t="s">
        <v>198</v>
      </c>
      <c r="J326" t="s">
        <v>266</v>
      </c>
      <c r="K326" t="s">
        <v>357</v>
      </c>
      <c r="L326" t="s">
        <v>358</v>
      </c>
      <c r="N326" t="s">
        <v>359</v>
      </c>
      <c r="O326" t="s">
        <v>134</v>
      </c>
      <c r="Q326" t="s">
        <v>207</v>
      </c>
      <c r="R326" t="s">
        <v>199</v>
      </c>
      <c r="S326" t="s">
        <v>128</v>
      </c>
      <c r="T326" t="s">
        <v>181</v>
      </c>
      <c r="U326" t="s">
        <v>151</v>
      </c>
      <c r="V326" t="s">
        <v>74</v>
      </c>
      <c r="W326" s="58">
        <v>43320</v>
      </c>
      <c r="X326" s="59">
        <v>0.33333333333333331</v>
      </c>
      <c r="Y326" s="59">
        <v>0.375</v>
      </c>
      <c r="Z326" s="59">
        <v>4.1666666666666664E-2</v>
      </c>
      <c r="AA326">
        <v>0</v>
      </c>
      <c r="AC326">
        <v>20</v>
      </c>
      <c r="AD326">
        <v>9.5</v>
      </c>
      <c r="AE326" s="59">
        <v>0.33333333333333331</v>
      </c>
      <c r="AF326" s="59">
        <v>0.3743055555555555</v>
      </c>
      <c r="AG326">
        <v>14</v>
      </c>
    </row>
    <row r="327" spans="1:33" x14ac:dyDescent="0.25">
      <c r="A327" t="s">
        <v>266</v>
      </c>
      <c r="B327" t="s">
        <v>293</v>
      </c>
      <c r="C327" t="s">
        <v>294</v>
      </c>
      <c r="E327" t="s">
        <v>295</v>
      </c>
      <c r="F327" t="s">
        <v>134</v>
      </c>
      <c r="H327" t="s">
        <v>157</v>
      </c>
      <c r="I327" t="s">
        <v>158</v>
      </c>
      <c r="J327" t="s">
        <v>266</v>
      </c>
      <c r="K327" t="s">
        <v>357</v>
      </c>
      <c r="L327" t="s">
        <v>358</v>
      </c>
      <c r="N327" t="s">
        <v>359</v>
      </c>
      <c r="O327" t="s">
        <v>134</v>
      </c>
      <c r="Q327" t="s">
        <v>207</v>
      </c>
      <c r="R327" t="s">
        <v>161</v>
      </c>
      <c r="S327" t="s">
        <v>128</v>
      </c>
      <c r="T327" t="s">
        <v>181</v>
      </c>
      <c r="U327" t="s">
        <v>163</v>
      </c>
      <c r="V327" t="s">
        <v>74</v>
      </c>
      <c r="W327" s="58">
        <v>43320</v>
      </c>
      <c r="X327" s="59">
        <v>0.42708333333333331</v>
      </c>
      <c r="Y327" s="59">
        <v>0.67708333333333337</v>
      </c>
      <c r="Z327" s="59">
        <v>0.25</v>
      </c>
      <c r="AA327">
        <v>0</v>
      </c>
      <c r="AB327">
        <v>9.4626000000000001</v>
      </c>
      <c r="AC327">
        <v>108</v>
      </c>
      <c r="AD327">
        <v>57</v>
      </c>
      <c r="AE327" s="59">
        <v>0.42708333333333331</v>
      </c>
      <c r="AF327" s="59">
        <v>0.67638888888888893</v>
      </c>
      <c r="AG327">
        <v>14</v>
      </c>
    </row>
    <row r="328" spans="1:33" x14ac:dyDescent="0.25">
      <c r="A328" t="s">
        <v>258</v>
      </c>
      <c r="B328" t="s">
        <v>325</v>
      </c>
      <c r="C328" t="s">
        <v>326</v>
      </c>
      <c r="E328" t="s">
        <v>327</v>
      </c>
      <c r="F328" t="s">
        <v>134</v>
      </c>
      <c r="H328" t="s">
        <v>182</v>
      </c>
      <c r="I328" t="s">
        <v>147</v>
      </c>
      <c r="J328" t="s">
        <v>266</v>
      </c>
      <c r="K328" t="s">
        <v>357</v>
      </c>
      <c r="L328" t="s">
        <v>358</v>
      </c>
      <c r="N328" t="s">
        <v>359</v>
      </c>
      <c r="O328" t="s">
        <v>134</v>
      </c>
      <c r="Q328" t="s">
        <v>207</v>
      </c>
      <c r="R328" t="s">
        <v>183</v>
      </c>
      <c r="S328" t="s">
        <v>128</v>
      </c>
      <c r="T328" t="s">
        <v>181</v>
      </c>
      <c r="U328" t="s">
        <v>129</v>
      </c>
      <c r="V328" t="s">
        <v>76</v>
      </c>
      <c r="W328" s="58">
        <v>43322</v>
      </c>
      <c r="X328" s="59">
        <v>0.36458333333333331</v>
      </c>
      <c r="Y328" s="59">
        <v>0.40625</v>
      </c>
      <c r="Z328" s="59">
        <v>4.1666666666666664E-2</v>
      </c>
      <c r="AA328">
        <v>0</v>
      </c>
      <c r="AC328">
        <v>23</v>
      </c>
      <c r="AD328">
        <v>9.5</v>
      </c>
      <c r="AE328" s="59">
        <v>0.36458333333333331</v>
      </c>
      <c r="AF328" s="59">
        <v>0.4055555555555555</v>
      </c>
      <c r="AG328">
        <v>14</v>
      </c>
    </row>
    <row r="329" spans="1:33" x14ac:dyDescent="0.25">
      <c r="A329" t="s">
        <v>274</v>
      </c>
      <c r="B329" t="s">
        <v>321</v>
      </c>
      <c r="C329" t="s">
        <v>322</v>
      </c>
      <c r="D329" t="s">
        <v>323</v>
      </c>
      <c r="E329" t="s">
        <v>324</v>
      </c>
      <c r="F329" t="s">
        <v>134</v>
      </c>
      <c r="H329" t="s">
        <v>184</v>
      </c>
      <c r="I329" t="s">
        <v>147</v>
      </c>
      <c r="J329" t="s">
        <v>266</v>
      </c>
      <c r="K329" t="s">
        <v>357</v>
      </c>
      <c r="L329" t="s">
        <v>358</v>
      </c>
      <c r="N329" t="s">
        <v>359</v>
      </c>
      <c r="O329" t="s">
        <v>134</v>
      </c>
      <c r="Q329" t="s">
        <v>207</v>
      </c>
      <c r="R329" t="s">
        <v>185</v>
      </c>
      <c r="S329" t="s">
        <v>128</v>
      </c>
      <c r="T329" t="s">
        <v>181</v>
      </c>
      <c r="U329" t="s">
        <v>151</v>
      </c>
      <c r="V329" t="s">
        <v>76</v>
      </c>
      <c r="W329" s="58">
        <v>43322</v>
      </c>
      <c r="X329" s="59">
        <v>0.41666666666666669</v>
      </c>
      <c r="Y329" s="59">
        <v>0.45833333333333331</v>
      </c>
      <c r="Z329" s="59">
        <v>4.1666666666666664E-2</v>
      </c>
      <c r="AA329">
        <v>0</v>
      </c>
      <c r="AB329">
        <v>2.2181999999999999</v>
      </c>
      <c r="AC329">
        <v>20</v>
      </c>
      <c r="AD329">
        <v>9.5</v>
      </c>
      <c r="AE329" s="59">
        <v>0.41666666666666669</v>
      </c>
      <c r="AF329" s="59">
        <v>0.45763888888888887</v>
      </c>
      <c r="AG329">
        <v>14</v>
      </c>
    </row>
    <row r="330" spans="1:33" x14ac:dyDescent="0.25">
      <c r="A330" t="s">
        <v>258</v>
      </c>
      <c r="B330" t="s">
        <v>314</v>
      </c>
      <c r="C330" t="s">
        <v>315</v>
      </c>
      <c r="D330">
        <v>72</v>
      </c>
      <c r="E330" t="s">
        <v>316</v>
      </c>
      <c r="F330" t="s">
        <v>317</v>
      </c>
      <c r="G330" t="s">
        <v>218</v>
      </c>
      <c r="H330" t="s">
        <v>168</v>
      </c>
      <c r="I330" t="s">
        <v>169</v>
      </c>
      <c r="J330" t="s">
        <v>266</v>
      </c>
      <c r="K330" t="s">
        <v>357</v>
      </c>
      <c r="L330" t="s">
        <v>358</v>
      </c>
      <c r="N330" t="s">
        <v>359</v>
      </c>
      <c r="O330" t="s">
        <v>134</v>
      </c>
      <c r="Q330" t="s">
        <v>207</v>
      </c>
      <c r="R330" t="s">
        <v>170</v>
      </c>
      <c r="S330" t="s">
        <v>128</v>
      </c>
      <c r="T330" t="s">
        <v>181</v>
      </c>
      <c r="U330" t="s">
        <v>129</v>
      </c>
      <c r="V330" t="s">
        <v>77</v>
      </c>
      <c r="W330" s="58">
        <v>43323</v>
      </c>
      <c r="X330" s="59">
        <v>0.33333333333333331</v>
      </c>
      <c r="Y330" s="59">
        <v>0.35416666666666669</v>
      </c>
      <c r="Z330" s="59">
        <v>2.0833333333333332E-2</v>
      </c>
      <c r="AA330">
        <v>0</v>
      </c>
      <c r="AC330">
        <v>11.5</v>
      </c>
      <c r="AD330">
        <v>5.25</v>
      </c>
      <c r="AE330" s="59">
        <v>0.33333333333333331</v>
      </c>
      <c r="AF330" s="59">
        <v>0.35347222222222219</v>
      </c>
      <c r="AG330">
        <v>14</v>
      </c>
    </row>
    <row r="331" spans="1:33" x14ac:dyDescent="0.25">
      <c r="A331" t="s">
        <v>274</v>
      </c>
      <c r="B331" t="s">
        <v>336</v>
      </c>
      <c r="C331" t="s">
        <v>337</v>
      </c>
      <c r="E331" t="s">
        <v>338</v>
      </c>
      <c r="F331" t="s">
        <v>134</v>
      </c>
      <c r="H331" t="s">
        <v>186</v>
      </c>
      <c r="I331" t="s">
        <v>147</v>
      </c>
      <c r="J331" t="s">
        <v>266</v>
      </c>
      <c r="K331" t="s">
        <v>357</v>
      </c>
      <c r="L331" t="s">
        <v>358</v>
      </c>
      <c r="N331" t="s">
        <v>359</v>
      </c>
      <c r="O331" t="s">
        <v>134</v>
      </c>
      <c r="Q331" t="s">
        <v>207</v>
      </c>
      <c r="R331" t="s">
        <v>187</v>
      </c>
      <c r="S331" t="s">
        <v>128</v>
      </c>
      <c r="T331" t="s">
        <v>181</v>
      </c>
      <c r="U331" t="s">
        <v>151</v>
      </c>
      <c r="V331" t="s">
        <v>77</v>
      </c>
      <c r="W331" s="58">
        <v>43323</v>
      </c>
      <c r="X331" s="59">
        <v>0.375</v>
      </c>
      <c r="Y331" s="59">
        <v>0.41666666666666669</v>
      </c>
      <c r="Z331" s="59">
        <v>4.1666666666666664E-2</v>
      </c>
      <c r="AA331">
        <v>0</v>
      </c>
      <c r="AB331">
        <v>3.8</v>
      </c>
      <c r="AC331">
        <v>20</v>
      </c>
      <c r="AD331">
        <v>10.5</v>
      </c>
      <c r="AE331" s="59">
        <v>0.375</v>
      </c>
      <c r="AF331" s="59">
        <v>0.41597222222222219</v>
      </c>
      <c r="AG331">
        <v>14</v>
      </c>
    </row>
    <row r="332" spans="1:33" x14ac:dyDescent="0.25">
      <c r="A332" t="s">
        <v>258</v>
      </c>
      <c r="B332" t="s">
        <v>290</v>
      </c>
      <c r="C332" t="s">
        <v>291</v>
      </c>
      <c r="E332" t="s">
        <v>292</v>
      </c>
      <c r="F332" t="s">
        <v>134</v>
      </c>
      <c r="H332" t="s">
        <v>154</v>
      </c>
      <c r="I332" t="s">
        <v>155</v>
      </c>
      <c r="J332" t="s">
        <v>266</v>
      </c>
      <c r="K332" t="s">
        <v>357</v>
      </c>
      <c r="L332" t="s">
        <v>358</v>
      </c>
      <c r="N332" t="s">
        <v>359</v>
      </c>
      <c r="O332" t="s">
        <v>134</v>
      </c>
      <c r="Q332" t="s">
        <v>207</v>
      </c>
      <c r="R332" t="s">
        <v>156</v>
      </c>
      <c r="S332" t="s">
        <v>128</v>
      </c>
      <c r="T332" t="s">
        <v>181</v>
      </c>
      <c r="U332" t="s">
        <v>151</v>
      </c>
      <c r="V332" t="s">
        <v>77</v>
      </c>
      <c r="W332" s="58">
        <v>43323</v>
      </c>
      <c r="X332" s="59">
        <v>0.4375</v>
      </c>
      <c r="Y332" s="59">
        <v>0.48958333333333331</v>
      </c>
      <c r="Z332" s="59">
        <v>5.2083333333333336E-2</v>
      </c>
      <c r="AA332">
        <v>0</v>
      </c>
      <c r="AB332">
        <v>5.1694000000000004</v>
      </c>
      <c r="AC332">
        <v>25</v>
      </c>
      <c r="AD332">
        <v>13.125</v>
      </c>
      <c r="AE332" s="59">
        <v>0.4375</v>
      </c>
      <c r="AF332" s="59">
        <v>0.48888888888888887</v>
      </c>
      <c r="AG332">
        <v>14</v>
      </c>
    </row>
    <row r="333" spans="1:33" x14ac:dyDescent="0.25">
      <c r="A333" t="s">
        <v>258</v>
      </c>
      <c r="B333" t="s">
        <v>310</v>
      </c>
      <c r="C333" t="s">
        <v>311</v>
      </c>
      <c r="D333" t="s">
        <v>312</v>
      </c>
      <c r="E333" t="s">
        <v>313</v>
      </c>
      <c r="F333" t="s">
        <v>134</v>
      </c>
      <c r="H333" t="s">
        <v>175</v>
      </c>
      <c r="I333" t="s">
        <v>127</v>
      </c>
      <c r="J333" t="s">
        <v>266</v>
      </c>
      <c r="K333" t="s">
        <v>357</v>
      </c>
      <c r="L333" t="s">
        <v>358</v>
      </c>
      <c r="N333" t="s">
        <v>359</v>
      </c>
      <c r="O333" t="s">
        <v>134</v>
      </c>
      <c r="Q333" t="s">
        <v>207</v>
      </c>
      <c r="R333" t="s">
        <v>176</v>
      </c>
      <c r="S333" t="s">
        <v>128</v>
      </c>
      <c r="T333" t="s">
        <v>181</v>
      </c>
      <c r="U333" t="s">
        <v>151</v>
      </c>
      <c r="V333" t="s">
        <v>77</v>
      </c>
      <c r="W333" s="58">
        <v>43323</v>
      </c>
      <c r="X333" s="59">
        <v>0.50347222222222221</v>
      </c>
      <c r="Y333" s="59">
        <v>0.58680555555555558</v>
      </c>
      <c r="Z333" s="59">
        <v>8.3333333333333329E-2</v>
      </c>
      <c r="AA333">
        <v>0</v>
      </c>
      <c r="AC333">
        <v>0</v>
      </c>
      <c r="AD333">
        <v>0</v>
      </c>
      <c r="AG333">
        <v>14</v>
      </c>
    </row>
    <row r="334" spans="1:33" x14ac:dyDescent="0.25">
      <c r="A334" t="s">
        <v>274</v>
      </c>
      <c r="B334" t="s">
        <v>321</v>
      </c>
      <c r="C334" t="s">
        <v>322</v>
      </c>
      <c r="D334" t="s">
        <v>323</v>
      </c>
      <c r="E334" t="s">
        <v>324</v>
      </c>
      <c r="F334" t="s">
        <v>134</v>
      </c>
      <c r="H334" t="s">
        <v>184</v>
      </c>
      <c r="I334" t="s">
        <v>147</v>
      </c>
      <c r="J334" t="s">
        <v>266</v>
      </c>
      <c r="K334" t="s">
        <v>357</v>
      </c>
      <c r="L334" t="s">
        <v>358</v>
      </c>
      <c r="N334" t="s">
        <v>359</v>
      </c>
      <c r="O334" t="s">
        <v>134</v>
      </c>
      <c r="Q334" t="s">
        <v>207</v>
      </c>
      <c r="R334" t="s">
        <v>185</v>
      </c>
      <c r="S334" t="s">
        <v>128</v>
      </c>
      <c r="T334" t="s">
        <v>181</v>
      </c>
      <c r="U334" t="s">
        <v>151</v>
      </c>
      <c r="V334" t="s">
        <v>77</v>
      </c>
      <c r="W334" s="58">
        <v>43323</v>
      </c>
      <c r="X334" s="59">
        <v>0.83333333333333337</v>
      </c>
      <c r="Y334" s="59">
        <v>0.86458333333333337</v>
      </c>
      <c r="Z334" s="59">
        <v>3.125E-2</v>
      </c>
      <c r="AA334">
        <v>0</v>
      </c>
      <c r="AC334">
        <v>15</v>
      </c>
      <c r="AD334">
        <v>7.875</v>
      </c>
      <c r="AE334" s="59">
        <v>0.83333333333333337</v>
      </c>
      <c r="AF334" s="59">
        <v>0.86388888888888893</v>
      </c>
      <c r="AG334">
        <v>14</v>
      </c>
    </row>
    <row r="335" spans="1:33" x14ac:dyDescent="0.25">
      <c r="A335" t="s">
        <v>258</v>
      </c>
      <c r="B335" t="s">
        <v>342</v>
      </c>
      <c r="C335" t="s">
        <v>343</v>
      </c>
      <c r="E335" t="s">
        <v>344</v>
      </c>
      <c r="F335" t="s">
        <v>134</v>
      </c>
      <c r="H335" t="s">
        <v>197</v>
      </c>
      <c r="I335" t="s">
        <v>198</v>
      </c>
      <c r="J335" t="s">
        <v>266</v>
      </c>
      <c r="K335" t="s">
        <v>357</v>
      </c>
      <c r="L335" t="s">
        <v>358</v>
      </c>
      <c r="N335" t="s">
        <v>359</v>
      </c>
      <c r="O335" t="s">
        <v>134</v>
      </c>
      <c r="Q335" t="s">
        <v>207</v>
      </c>
      <c r="R335" t="s">
        <v>199</v>
      </c>
      <c r="S335" t="s">
        <v>128</v>
      </c>
      <c r="T335" t="s">
        <v>181</v>
      </c>
      <c r="U335" t="s">
        <v>151</v>
      </c>
      <c r="V335" t="s">
        <v>72</v>
      </c>
      <c r="W335" s="58">
        <v>43325</v>
      </c>
      <c r="X335" s="59">
        <v>0.33333333333333331</v>
      </c>
      <c r="Y335" s="59">
        <v>0.375</v>
      </c>
      <c r="Z335" s="59">
        <v>4.1666666666666664E-2</v>
      </c>
      <c r="AA335">
        <v>0</v>
      </c>
      <c r="AC335">
        <v>20</v>
      </c>
      <c r="AD335">
        <v>9.5</v>
      </c>
      <c r="AE335" s="59">
        <v>0.33333333333333331</v>
      </c>
      <c r="AF335" s="59">
        <v>0.3743055555555555</v>
      </c>
      <c r="AG335">
        <v>14</v>
      </c>
    </row>
    <row r="336" spans="1:33" x14ac:dyDescent="0.25">
      <c r="A336" t="s">
        <v>274</v>
      </c>
      <c r="B336" t="s">
        <v>334</v>
      </c>
      <c r="C336" t="s">
        <v>285</v>
      </c>
      <c r="E336" t="s">
        <v>335</v>
      </c>
      <c r="F336" t="s">
        <v>134</v>
      </c>
      <c r="H336" t="s">
        <v>192</v>
      </c>
      <c r="I336" t="s">
        <v>155</v>
      </c>
      <c r="J336" t="s">
        <v>266</v>
      </c>
      <c r="K336" t="s">
        <v>357</v>
      </c>
      <c r="L336" t="s">
        <v>358</v>
      </c>
      <c r="N336" t="s">
        <v>359</v>
      </c>
      <c r="O336" t="s">
        <v>134</v>
      </c>
      <c r="Q336" t="s">
        <v>207</v>
      </c>
      <c r="R336" t="s">
        <v>193</v>
      </c>
      <c r="S336" t="s">
        <v>128</v>
      </c>
      <c r="T336" t="s">
        <v>181</v>
      </c>
      <c r="U336" t="s">
        <v>129</v>
      </c>
      <c r="V336" t="s">
        <v>72</v>
      </c>
      <c r="W336" s="58">
        <v>43325</v>
      </c>
      <c r="X336" s="59">
        <v>0.39513888888888887</v>
      </c>
      <c r="Y336" s="59">
        <v>0.4368055555555555</v>
      </c>
      <c r="Z336" s="59">
        <v>4.1666666666666664E-2</v>
      </c>
      <c r="AA336">
        <v>0</v>
      </c>
      <c r="AB336">
        <v>2.1818</v>
      </c>
      <c r="AC336">
        <v>23</v>
      </c>
      <c r="AD336">
        <v>9.5</v>
      </c>
      <c r="AE336" s="59">
        <v>0.39513888888888887</v>
      </c>
      <c r="AF336" s="59">
        <v>0.43611111111111112</v>
      </c>
      <c r="AG336">
        <v>14</v>
      </c>
    </row>
    <row r="337" spans="1:33" x14ac:dyDescent="0.25">
      <c r="A337" t="s">
        <v>258</v>
      </c>
      <c r="B337" t="s">
        <v>290</v>
      </c>
      <c r="C337" t="s">
        <v>291</v>
      </c>
      <c r="E337" t="s">
        <v>292</v>
      </c>
      <c r="F337" t="s">
        <v>134</v>
      </c>
      <c r="H337" t="s">
        <v>154</v>
      </c>
      <c r="I337" t="s">
        <v>155</v>
      </c>
      <c r="J337" t="s">
        <v>266</v>
      </c>
      <c r="K337" t="s">
        <v>357</v>
      </c>
      <c r="L337" t="s">
        <v>358</v>
      </c>
      <c r="N337" t="s">
        <v>359</v>
      </c>
      <c r="O337" t="s">
        <v>134</v>
      </c>
      <c r="Q337" t="s">
        <v>207</v>
      </c>
      <c r="R337" t="s">
        <v>156</v>
      </c>
      <c r="S337" t="s">
        <v>128</v>
      </c>
      <c r="T337" t="s">
        <v>181</v>
      </c>
      <c r="U337" t="s">
        <v>151</v>
      </c>
      <c r="V337" t="s">
        <v>72</v>
      </c>
      <c r="W337" s="58">
        <v>43325</v>
      </c>
      <c r="X337" s="59">
        <v>0.44791666666666669</v>
      </c>
      <c r="Y337" s="59">
        <v>0.5</v>
      </c>
      <c r="Z337" s="59">
        <v>5.2083333333333336E-2</v>
      </c>
      <c r="AA337">
        <v>0</v>
      </c>
      <c r="AB337">
        <v>2.9318</v>
      </c>
      <c r="AC337">
        <v>25</v>
      </c>
      <c r="AD337">
        <v>11.875</v>
      </c>
      <c r="AE337" s="59">
        <v>0.44791666666666669</v>
      </c>
      <c r="AF337" s="59">
        <v>0.4993055555555555</v>
      </c>
      <c r="AG337">
        <v>14</v>
      </c>
    </row>
    <row r="338" spans="1:33" x14ac:dyDescent="0.25">
      <c r="A338" t="s">
        <v>258</v>
      </c>
      <c r="B338" t="s">
        <v>259</v>
      </c>
      <c r="C338" t="s">
        <v>260</v>
      </c>
      <c r="E338" t="s">
        <v>261</v>
      </c>
      <c r="F338" t="s">
        <v>134</v>
      </c>
      <c r="H338" t="s">
        <v>130</v>
      </c>
      <c r="I338" t="s">
        <v>127</v>
      </c>
      <c r="J338" t="s">
        <v>266</v>
      </c>
      <c r="K338" t="s">
        <v>357</v>
      </c>
      <c r="L338" t="s">
        <v>358</v>
      </c>
      <c r="N338" t="s">
        <v>359</v>
      </c>
      <c r="O338" t="s">
        <v>134</v>
      </c>
      <c r="Q338" t="s">
        <v>207</v>
      </c>
      <c r="R338" t="s">
        <v>131</v>
      </c>
      <c r="S338" t="s">
        <v>128</v>
      </c>
      <c r="T338" t="s">
        <v>181</v>
      </c>
      <c r="U338" t="s">
        <v>151</v>
      </c>
      <c r="V338" t="s">
        <v>72</v>
      </c>
      <c r="W338" s="58">
        <v>43325</v>
      </c>
      <c r="X338" s="59">
        <v>0.50555555555555554</v>
      </c>
      <c r="Y338" s="59">
        <v>0.58888888888888891</v>
      </c>
      <c r="Z338" s="59">
        <v>8.3333333333333329E-2</v>
      </c>
      <c r="AA338">
        <v>0</v>
      </c>
      <c r="AB338">
        <v>4.9614000000000003</v>
      </c>
      <c r="AC338">
        <v>40</v>
      </c>
      <c r="AD338">
        <v>19</v>
      </c>
      <c r="AE338" s="59">
        <v>0.50555555555555554</v>
      </c>
      <c r="AF338" s="59">
        <v>0.58819444444444446</v>
      </c>
      <c r="AG338">
        <v>14</v>
      </c>
    </row>
    <row r="339" spans="1:33" x14ac:dyDescent="0.25">
      <c r="A339" t="s">
        <v>274</v>
      </c>
      <c r="B339" t="s">
        <v>321</v>
      </c>
      <c r="C339" t="s">
        <v>322</v>
      </c>
      <c r="D339" t="s">
        <v>323</v>
      </c>
      <c r="E339" t="s">
        <v>324</v>
      </c>
      <c r="F339" t="s">
        <v>134</v>
      </c>
      <c r="H339" t="s">
        <v>184</v>
      </c>
      <c r="I339" t="s">
        <v>147</v>
      </c>
      <c r="J339" t="s">
        <v>266</v>
      </c>
      <c r="K339" t="s">
        <v>357</v>
      </c>
      <c r="L339" t="s">
        <v>358</v>
      </c>
      <c r="N339" t="s">
        <v>359</v>
      </c>
      <c r="O339" t="s">
        <v>134</v>
      </c>
      <c r="Q339" t="s">
        <v>207</v>
      </c>
      <c r="R339" t="s">
        <v>185</v>
      </c>
      <c r="S339" t="s">
        <v>128</v>
      </c>
      <c r="T339" t="s">
        <v>181</v>
      </c>
      <c r="U339" t="s">
        <v>151</v>
      </c>
      <c r="V339" t="s">
        <v>72</v>
      </c>
      <c r="W339" s="58">
        <v>43325</v>
      </c>
      <c r="X339" s="59">
        <v>0.8125</v>
      </c>
      <c r="Y339" s="59">
        <v>0.84375</v>
      </c>
      <c r="Z339" s="59">
        <v>3.125E-2</v>
      </c>
      <c r="AA339">
        <v>0</v>
      </c>
      <c r="AC339">
        <v>15</v>
      </c>
      <c r="AD339">
        <v>7.125</v>
      </c>
      <c r="AE339" s="59">
        <v>0.8125</v>
      </c>
      <c r="AF339" s="59">
        <v>0.84305555555555556</v>
      </c>
      <c r="AG339">
        <v>14</v>
      </c>
    </row>
    <row r="340" spans="1:33" x14ac:dyDescent="0.25">
      <c r="A340" t="s">
        <v>258</v>
      </c>
      <c r="B340" t="s">
        <v>314</v>
      </c>
      <c r="C340" t="s">
        <v>315</v>
      </c>
      <c r="D340">
        <v>72</v>
      </c>
      <c r="E340" t="s">
        <v>316</v>
      </c>
      <c r="F340" t="s">
        <v>317</v>
      </c>
      <c r="G340" t="s">
        <v>218</v>
      </c>
      <c r="H340" t="s">
        <v>168</v>
      </c>
      <c r="I340" t="s">
        <v>169</v>
      </c>
      <c r="J340" t="s">
        <v>266</v>
      </c>
      <c r="K340" t="s">
        <v>357</v>
      </c>
      <c r="L340" t="s">
        <v>358</v>
      </c>
      <c r="N340" t="s">
        <v>359</v>
      </c>
      <c r="O340" t="s">
        <v>134</v>
      </c>
      <c r="Q340" t="s">
        <v>207</v>
      </c>
      <c r="R340" t="s">
        <v>170</v>
      </c>
      <c r="S340" t="s">
        <v>128</v>
      </c>
      <c r="T340" t="s">
        <v>181</v>
      </c>
      <c r="U340" t="s">
        <v>129</v>
      </c>
      <c r="V340" t="s">
        <v>74</v>
      </c>
      <c r="W340" s="58">
        <v>43327</v>
      </c>
      <c r="X340" s="59">
        <v>0.33333333333333331</v>
      </c>
      <c r="Y340" s="59">
        <v>0.35416666666666669</v>
      </c>
      <c r="Z340" s="59">
        <v>2.0833333333333332E-2</v>
      </c>
      <c r="AA340">
        <v>0</v>
      </c>
      <c r="AC340">
        <v>11.5</v>
      </c>
      <c r="AD340">
        <v>4.75</v>
      </c>
      <c r="AE340" s="59">
        <v>0.33333333333333331</v>
      </c>
      <c r="AF340" s="59">
        <v>0.35347222222222219</v>
      </c>
      <c r="AG340">
        <v>14</v>
      </c>
    </row>
    <row r="341" spans="1:33" x14ac:dyDescent="0.25">
      <c r="A341" t="s">
        <v>258</v>
      </c>
      <c r="B341" t="s">
        <v>259</v>
      </c>
      <c r="C341" t="s">
        <v>260</v>
      </c>
      <c r="E341" t="s">
        <v>261</v>
      </c>
      <c r="F341" t="s">
        <v>134</v>
      </c>
      <c r="H341" t="s">
        <v>130</v>
      </c>
      <c r="I341" t="s">
        <v>127</v>
      </c>
      <c r="J341" t="s">
        <v>266</v>
      </c>
      <c r="K341" t="s">
        <v>357</v>
      </c>
      <c r="L341" t="s">
        <v>358</v>
      </c>
      <c r="N341" t="s">
        <v>359</v>
      </c>
      <c r="O341" t="s">
        <v>134</v>
      </c>
      <c r="Q341" t="s">
        <v>207</v>
      </c>
      <c r="R341" t="s">
        <v>131</v>
      </c>
      <c r="S341" t="s">
        <v>128</v>
      </c>
      <c r="T341" t="s">
        <v>181</v>
      </c>
      <c r="U341" t="s">
        <v>129</v>
      </c>
      <c r="V341" t="s">
        <v>74</v>
      </c>
      <c r="W341" s="58">
        <v>43327</v>
      </c>
      <c r="X341" s="59">
        <v>0.36458333333333331</v>
      </c>
      <c r="Y341" s="59">
        <v>0.40625</v>
      </c>
      <c r="Z341" s="59">
        <v>4.1666666666666664E-2</v>
      </c>
      <c r="AA341">
        <v>0</v>
      </c>
      <c r="AB341">
        <v>1.6512</v>
      </c>
      <c r="AC341">
        <v>23</v>
      </c>
      <c r="AD341">
        <v>9.5</v>
      </c>
      <c r="AE341" s="59">
        <v>0.36458333333333331</v>
      </c>
      <c r="AF341" s="59">
        <v>0.4055555555555555</v>
      </c>
      <c r="AG341">
        <v>14</v>
      </c>
    </row>
    <row r="342" spans="1:33" x14ac:dyDescent="0.25">
      <c r="A342" t="s">
        <v>258</v>
      </c>
      <c r="B342" t="s">
        <v>259</v>
      </c>
      <c r="C342" t="s">
        <v>260</v>
      </c>
      <c r="E342" t="s">
        <v>261</v>
      </c>
      <c r="F342" t="s">
        <v>134</v>
      </c>
      <c r="H342" t="s">
        <v>130</v>
      </c>
      <c r="I342" t="s">
        <v>127</v>
      </c>
      <c r="J342" t="s">
        <v>266</v>
      </c>
      <c r="K342" t="s">
        <v>357</v>
      </c>
      <c r="L342" t="s">
        <v>358</v>
      </c>
      <c r="N342" t="s">
        <v>359</v>
      </c>
      <c r="O342" t="s">
        <v>134</v>
      </c>
      <c r="Q342" t="s">
        <v>207</v>
      </c>
      <c r="R342" t="s">
        <v>131</v>
      </c>
      <c r="S342" t="s">
        <v>128</v>
      </c>
      <c r="T342" t="s">
        <v>181</v>
      </c>
      <c r="U342" t="s">
        <v>151</v>
      </c>
      <c r="V342" t="s">
        <v>74</v>
      </c>
      <c r="W342" s="58">
        <v>43327</v>
      </c>
      <c r="X342" s="59">
        <v>0.52083333333333337</v>
      </c>
      <c r="Y342" s="59">
        <v>0.60416666666666663</v>
      </c>
      <c r="Z342" s="59">
        <v>8.3333333333333329E-2</v>
      </c>
      <c r="AA342">
        <v>0</v>
      </c>
      <c r="AB342">
        <v>0</v>
      </c>
      <c r="AC342">
        <v>40</v>
      </c>
      <c r="AD342">
        <v>19</v>
      </c>
      <c r="AE342" s="59">
        <v>0.52083333333333337</v>
      </c>
      <c r="AF342" s="59">
        <v>0.60347222222222219</v>
      </c>
      <c r="AG342">
        <v>14</v>
      </c>
    </row>
    <row r="343" spans="1:33" x14ac:dyDescent="0.25">
      <c r="A343" t="s">
        <v>258</v>
      </c>
      <c r="B343" t="s">
        <v>342</v>
      </c>
      <c r="C343" t="s">
        <v>343</v>
      </c>
      <c r="E343" t="s">
        <v>344</v>
      </c>
      <c r="F343" t="s">
        <v>134</v>
      </c>
      <c r="H343" t="s">
        <v>197</v>
      </c>
      <c r="I343" t="s">
        <v>198</v>
      </c>
      <c r="J343" t="s">
        <v>266</v>
      </c>
      <c r="K343" t="s">
        <v>357</v>
      </c>
      <c r="L343" t="s">
        <v>358</v>
      </c>
      <c r="N343" t="s">
        <v>359</v>
      </c>
      <c r="O343" t="s">
        <v>134</v>
      </c>
      <c r="Q343" t="s">
        <v>207</v>
      </c>
      <c r="R343" t="s">
        <v>199</v>
      </c>
      <c r="S343" t="s">
        <v>128</v>
      </c>
      <c r="T343" t="s">
        <v>181</v>
      </c>
      <c r="U343" t="s">
        <v>151</v>
      </c>
      <c r="V343" t="s">
        <v>74</v>
      </c>
      <c r="W343" s="58">
        <v>43327</v>
      </c>
      <c r="X343" s="59">
        <v>0.8125</v>
      </c>
      <c r="Y343" s="59">
        <v>0.85416666666666663</v>
      </c>
      <c r="Z343" s="59">
        <v>4.1666666666666664E-2</v>
      </c>
      <c r="AA343">
        <v>0</v>
      </c>
      <c r="AC343">
        <v>20</v>
      </c>
      <c r="AD343">
        <v>9.5</v>
      </c>
      <c r="AE343" s="59">
        <v>0.8125</v>
      </c>
      <c r="AF343" s="59">
        <v>0.8534722222222223</v>
      </c>
      <c r="AG343">
        <v>14</v>
      </c>
    </row>
    <row r="344" spans="1:33" x14ac:dyDescent="0.25">
      <c r="A344" t="s">
        <v>274</v>
      </c>
      <c r="B344" t="s">
        <v>321</v>
      </c>
      <c r="C344" t="s">
        <v>322</v>
      </c>
      <c r="D344" t="s">
        <v>323</v>
      </c>
      <c r="E344" t="s">
        <v>324</v>
      </c>
      <c r="F344" t="s">
        <v>134</v>
      </c>
      <c r="H344" t="s">
        <v>184</v>
      </c>
      <c r="I344" t="s">
        <v>147</v>
      </c>
      <c r="J344" t="s">
        <v>266</v>
      </c>
      <c r="K344" t="s">
        <v>357</v>
      </c>
      <c r="L344" t="s">
        <v>358</v>
      </c>
      <c r="N344" t="s">
        <v>359</v>
      </c>
      <c r="O344" t="s">
        <v>134</v>
      </c>
      <c r="Q344" t="s">
        <v>207</v>
      </c>
      <c r="R344" t="s">
        <v>185</v>
      </c>
      <c r="S344" t="s">
        <v>128</v>
      </c>
      <c r="T344" t="s">
        <v>181</v>
      </c>
      <c r="U344" t="s">
        <v>151</v>
      </c>
      <c r="V344" t="s">
        <v>74</v>
      </c>
      <c r="W344" s="58">
        <v>43327</v>
      </c>
      <c r="X344" s="59">
        <v>0.86458333333333337</v>
      </c>
      <c r="Y344" s="59">
        <v>0.89583333333333337</v>
      </c>
      <c r="Z344" s="59">
        <v>3.125E-2</v>
      </c>
      <c r="AA344">
        <v>0</v>
      </c>
      <c r="AB344">
        <v>7.7363999999999997</v>
      </c>
      <c r="AC344">
        <v>15</v>
      </c>
      <c r="AD344">
        <v>7.125</v>
      </c>
      <c r="AE344" s="59">
        <v>0.86458333333333337</v>
      </c>
      <c r="AF344" s="59">
        <v>0.89513888888888893</v>
      </c>
      <c r="AG344">
        <v>14</v>
      </c>
    </row>
    <row r="345" spans="1:33" x14ac:dyDescent="0.25">
      <c r="A345" t="s">
        <v>274</v>
      </c>
      <c r="B345" t="s">
        <v>321</v>
      </c>
      <c r="C345" t="s">
        <v>322</v>
      </c>
      <c r="D345" t="s">
        <v>323</v>
      </c>
      <c r="E345" t="s">
        <v>324</v>
      </c>
      <c r="F345" t="s">
        <v>134</v>
      </c>
      <c r="H345" t="s">
        <v>184</v>
      </c>
      <c r="I345" t="s">
        <v>147</v>
      </c>
      <c r="J345" t="s">
        <v>266</v>
      </c>
      <c r="K345" t="s">
        <v>357</v>
      </c>
      <c r="L345" t="s">
        <v>358</v>
      </c>
      <c r="N345" t="s">
        <v>359</v>
      </c>
      <c r="O345" t="s">
        <v>134</v>
      </c>
      <c r="Q345" t="s">
        <v>207</v>
      </c>
      <c r="R345" t="s">
        <v>185</v>
      </c>
      <c r="S345" t="s">
        <v>128</v>
      </c>
      <c r="T345" t="s">
        <v>181</v>
      </c>
      <c r="U345" t="s">
        <v>151</v>
      </c>
      <c r="V345" t="s">
        <v>77</v>
      </c>
      <c r="W345" s="58">
        <v>43330</v>
      </c>
      <c r="X345" s="59">
        <v>0.85</v>
      </c>
      <c r="Y345" s="59">
        <v>0.88124999999999998</v>
      </c>
      <c r="Z345" s="59">
        <v>3.125E-2</v>
      </c>
      <c r="AA345">
        <v>0</v>
      </c>
      <c r="AC345">
        <v>15</v>
      </c>
      <c r="AD345">
        <v>7.875</v>
      </c>
      <c r="AE345" s="59">
        <v>0.85</v>
      </c>
      <c r="AF345" s="59">
        <v>0.88055555555555554</v>
      </c>
      <c r="AG345">
        <v>14</v>
      </c>
    </row>
    <row r="346" spans="1:33" x14ac:dyDescent="0.25">
      <c r="A346" t="s">
        <v>258</v>
      </c>
      <c r="B346" t="s">
        <v>342</v>
      </c>
      <c r="C346" t="s">
        <v>343</v>
      </c>
      <c r="E346" t="s">
        <v>344</v>
      </c>
      <c r="F346" t="s">
        <v>134</v>
      </c>
      <c r="H346" t="s">
        <v>197</v>
      </c>
      <c r="I346" t="s">
        <v>198</v>
      </c>
      <c r="J346" t="s">
        <v>266</v>
      </c>
      <c r="K346" t="s">
        <v>357</v>
      </c>
      <c r="L346" t="s">
        <v>358</v>
      </c>
      <c r="N346" t="s">
        <v>359</v>
      </c>
      <c r="O346" t="s">
        <v>134</v>
      </c>
      <c r="Q346" t="s">
        <v>207</v>
      </c>
      <c r="R346" t="s">
        <v>199</v>
      </c>
      <c r="S346" t="s">
        <v>128</v>
      </c>
      <c r="T346" t="s">
        <v>181</v>
      </c>
      <c r="U346" t="s">
        <v>151</v>
      </c>
      <c r="V346" t="s">
        <v>72</v>
      </c>
      <c r="W346" s="58">
        <v>43332</v>
      </c>
      <c r="X346" s="59">
        <v>0.33333333333333331</v>
      </c>
      <c r="Y346" s="59">
        <v>0.375</v>
      </c>
      <c r="Z346" s="59">
        <v>4.1666666666666664E-2</v>
      </c>
      <c r="AA346">
        <v>0</v>
      </c>
      <c r="AC346">
        <v>20</v>
      </c>
      <c r="AD346">
        <v>9.5</v>
      </c>
      <c r="AE346" s="59">
        <v>0.33333333333333331</v>
      </c>
      <c r="AF346" s="59">
        <v>0.3743055555555555</v>
      </c>
      <c r="AG346">
        <v>14</v>
      </c>
    </row>
    <row r="347" spans="1:33" x14ac:dyDescent="0.25">
      <c r="A347" t="s">
        <v>274</v>
      </c>
      <c r="B347" t="s">
        <v>334</v>
      </c>
      <c r="C347" t="s">
        <v>285</v>
      </c>
      <c r="E347" t="s">
        <v>335</v>
      </c>
      <c r="F347" t="s">
        <v>134</v>
      </c>
      <c r="H347" t="s">
        <v>192</v>
      </c>
      <c r="I347" t="s">
        <v>155</v>
      </c>
      <c r="J347" t="s">
        <v>266</v>
      </c>
      <c r="K347" t="s">
        <v>357</v>
      </c>
      <c r="L347" t="s">
        <v>358</v>
      </c>
      <c r="N347" t="s">
        <v>359</v>
      </c>
      <c r="O347" t="s">
        <v>134</v>
      </c>
      <c r="Q347" t="s">
        <v>207</v>
      </c>
      <c r="R347" t="s">
        <v>193</v>
      </c>
      <c r="S347" t="s">
        <v>128</v>
      </c>
      <c r="T347" t="s">
        <v>181</v>
      </c>
      <c r="U347" t="s">
        <v>129</v>
      </c>
      <c r="V347" t="s">
        <v>72</v>
      </c>
      <c r="W347" s="58">
        <v>43332</v>
      </c>
      <c r="X347" s="59">
        <v>0.39583333333333331</v>
      </c>
      <c r="Y347" s="59">
        <v>0.4375</v>
      </c>
      <c r="Z347" s="59">
        <v>4.1666666666666664E-2</v>
      </c>
      <c r="AA347">
        <v>0</v>
      </c>
      <c r="AB347">
        <v>2.1818</v>
      </c>
      <c r="AC347">
        <v>23</v>
      </c>
      <c r="AD347">
        <v>9.5</v>
      </c>
      <c r="AE347" s="59">
        <v>0.39583333333333331</v>
      </c>
      <c r="AF347" s="59">
        <v>0.4368055555555555</v>
      </c>
      <c r="AG347">
        <v>14</v>
      </c>
    </row>
    <row r="348" spans="1:33" x14ac:dyDescent="0.25">
      <c r="A348" t="s">
        <v>258</v>
      </c>
      <c r="B348" t="s">
        <v>290</v>
      </c>
      <c r="C348" t="s">
        <v>291</v>
      </c>
      <c r="E348" t="s">
        <v>292</v>
      </c>
      <c r="F348" t="s">
        <v>134</v>
      </c>
      <c r="H348" t="s">
        <v>154</v>
      </c>
      <c r="I348" t="s">
        <v>155</v>
      </c>
      <c r="J348" t="s">
        <v>266</v>
      </c>
      <c r="K348" t="s">
        <v>357</v>
      </c>
      <c r="L348" t="s">
        <v>358</v>
      </c>
      <c r="N348" t="s">
        <v>359</v>
      </c>
      <c r="O348" t="s">
        <v>134</v>
      </c>
      <c r="Q348" t="s">
        <v>207</v>
      </c>
      <c r="R348" t="s">
        <v>156</v>
      </c>
      <c r="S348" t="s">
        <v>128</v>
      </c>
      <c r="T348" t="s">
        <v>181</v>
      </c>
      <c r="U348" t="s">
        <v>151</v>
      </c>
      <c r="V348" t="s">
        <v>72</v>
      </c>
      <c r="W348" s="58">
        <v>43332</v>
      </c>
      <c r="X348" s="59">
        <v>0.44791666666666669</v>
      </c>
      <c r="Y348" s="59">
        <v>0.5</v>
      </c>
      <c r="Z348" s="59">
        <v>5.2083333333333336E-2</v>
      </c>
      <c r="AA348">
        <v>0</v>
      </c>
      <c r="AB348">
        <v>2.9318</v>
      </c>
      <c r="AC348">
        <v>25</v>
      </c>
      <c r="AD348">
        <v>11.875</v>
      </c>
      <c r="AE348" s="59">
        <v>0.44791666666666669</v>
      </c>
      <c r="AF348" s="59">
        <v>0.4993055555555555</v>
      </c>
      <c r="AG348">
        <v>14</v>
      </c>
    </row>
    <row r="349" spans="1:33" x14ac:dyDescent="0.25">
      <c r="A349" t="s">
        <v>258</v>
      </c>
      <c r="B349" t="s">
        <v>259</v>
      </c>
      <c r="C349" t="s">
        <v>260</v>
      </c>
      <c r="E349" t="s">
        <v>261</v>
      </c>
      <c r="F349" t="s">
        <v>134</v>
      </c>
      <c r="H349" t="s">
        <v>130</v>
      </c>
      <c r="I349" t="s">
        <v>127</v>
      </c>
      <c r="J349" t="s">
        <v>266</v>
      </c>
      <c r="K349" t="s">
        <v>357</v>
      </c>
      <c r="L349" t="s">
        <v>358</v>
      </c>
      <c r="N349" t="s">
        <v>359</v>
      </c>
      <c r="O349" t="s">
        <v>134</v>
      </c>
      <c r="Q349" t="s">
        <v>207</v>
      </c>
      <c r="R349" t="s">
        <v>131</v>
      </c>
      <c r="S349" t="s">
        <v>128</v>
      </c>
      <c r="T349" t="s">
        <v>181</v>
      </c>
      <c r="U349" t="s">
        <v>151</v>
      </c>
      <c r="V349" t="s">
        <v>72</v>
      </c>
      <c r="W349" s="58">
        <v>43332</v>
      </c>
      <c r="X349" s="59">
        <v>0.50694444444444442</v>
      </c>
      <c r="Y349" s="59">
        <v>0.59027777777777779</v>
      </c>
      <c r="Z349" s="59">
        <v>8.3333333333333329E-2</v>
      </c>
      <c r="AA349">
        <v>0</v>
      </c>
      <c r="AB349">
        <v>4.9614000000000003</v>
      </c>
      <c r="AC349">
        <v>40</v>
      </c>
      <c r="AD349">
        <v>19</v>
      </c>
      <c r="AE349" s="59">
        <v>0.50694444444444442</v>
      </c>
      <c r="AF349" s="59">
        <v>0.58958333333333335</v>
      </c>
      <c r="AG349">
        <v>14</v>
      </c>
    </row>
    <row r="350" spans="1:33" x14ac:dyDescent="0.25">
      <c r="A350" t="s">
        <v>258</v>
      </c>
      <c r="B350" t="s">
        <v>314</v>
      </c>
      <c r="C350" t="s">
        <v>315</v>
      </c>
      <c r="D350">
        <v>72</v>
      </c>
      <c r="E350" t="s">
        <v>316</v>
      </c>
      <c r="F350" t="s">
        <v>317</v>
      </c>
      <c r="G350" t="s">
        <v>218</v>
      </c>
      <c r="H350" t="s">
        <v>168</v>
      </c>
      <c r="I350" t="s">
        <v>169</v>
      </c>
      <c r="J350" t="s">
        <v>266</v>
      </c>
      <c r="K350" t="s">
        <v>357</v>
      </c>
      <c r="L350" t="s">
        <v>358</v>
      </c>
      <c r="N350" t="s">
        <v>359</v>
      </c>
      <c r="O350" t="s">
        <v>134</v>
      </c>
      <c r="Q350" t="s">
        <v>207</v>
      </c>
      <c r="R350" t="s">
        <v>170</v>
      </c>
      <c r="S350" t="s">
        <v>128</v>
      </c>
      <c r="T350" t="s">
        <v>181</v>
      </c>
      <c r="U350" t="s">
        <v>129</v>
      </c>
      <c r="V350" t="s">
        <v>72</v>
      </c>
      <c r="W350" s="58">
        <v>43332</v>
      </c>
      <c r="X350" s="59">
        <v>0.69791666666666663</v>
      </c>
      <c r="Y350" s="59">
        <v>0.73958333333333337</v>
      </c>
      <c r="Z350" s="59">
        <v>4.1666666666666664E-2</v>
      </c>
      <c r="AA350">
        <v>0</v>
      </c>
      <c r="AB350">
        <v>1.6512</v>
      </c>
      <c r="AC350">
        <v>23</v>
      </c>
      <c r="AD350">
        <v>9.5</v>
      </c>
      <c r="AE350" s="59">
        <v>0.69791666666666663</v>
      </c>
      <c r="AF350" s="59">
        <v>0.73888888888888893</v>
      </c>
      <c r="AG350">
        <v>14</v>
      </c>
    </row>
    <row r="351" spans="1:33" x14ac:dyDescent="0.25">
      <c r="A351" t="s">
        <v>258</v>
      </c>
      <c r="B351" t="s">
        <v>281</v>
      </c>
      <c r="C351" t="s">
        <v>282</v>
      </c>
      <c r="E351" t="s">
        <v>283</v>
      </c>
      <c r="F351" t="s">
        <v>134</v>
      </c>
      <c r="G351" t="s">
        <v>218</v>
      </c>
      <c r="H351" t="s">
        <v>146</v>
      </c>
      <c r="I351" t="s">
        <v>147</v>
      </c>
      <c r="J351" t="s">
        <v>266</v>
      </c>
      <c r="K351" t="s">
        <v>357</v>
      </c>
      <c r="L351" t="s">
        <v>358</v>
      </c>
      <c r="N351" t="s">
        <v>359</v>
      </c>
      <c r="O351" t="s">
        <v>134</v>
      </c>
      <c r="Q351" t="s">
        <v>207</v>
      </c>
      <c r="R351" t="s">
        <v>148</v>
      </c>
      <c r="S351" t="s">
        <v>128</v>
      </c>
      <c r="T351" t="s">
        <v>181</v>
      </c>
      <c r="U351" t="s">
        <v>129</v>
      </c>
      <c r="V351" t="s">
        <v>72</v>
      </c>
      <c r="W351" s="58">
        <v>43332</v>
      </c>
      <c r="X351" s="59">
        <v>0.75</v>
      </c>
      <c r="Y351" s="59">
        <v>0.79166666666666663</v>
      </c>
      <c r="Z351" s="59">
        <v>4.1666666666666664E-2</v>
      </c>
      <c r="AA351">
        <v>0</v>
      </c>
      <c r="AB351">
        <v>3.6886000000000001</v>
      </c>
      <c r="AC351">
        <v>23</v>
      </c>
      <c r="AD351">
        <v>9.5</v>
      </c>
      <c r="AE351" s="59">
        <v>0.75</v>
      </c>
      <c r="AF351" s="59">
        <v>0.7909722222222223</v>
      </c>
      <c r="AG351">
        <v>14</v>
      </c>
    </row>
    <row r="352" spans="1:33" x14ac:dyDescent="0.25">
      <c r="A352" t="s">
        <v>258</v>
      </c>
      <c r="B352" t="s">
        <v>342</v>
      </c>
      <c r="C352" t="s">
        <v>343</v>
      </c>
      <c r="E352" t="s">
        <v>344</v>
      </c>
      <c r="F352" t="s">
        <v>134</v>
      </c>
      <c r="H352" t="s">
        <v>197</v>
      </c>
      <c r="I352" t="s">
        <v>198</v>
      </c>
      <c r="J352" t="s">
        <v>266</v>
      </c>
      <c r="K352" t="s">
        <v>357</v>
      </c>
      <c r="L352" t="s">
        <v>358</v>
      </c>
      <c r="N352" t="s">
        <v>359</v>
      </c>
      <c r="O352" t="s">
        <v>134</v>
      </c>
      <c r="Q352" t="s">
        <v>207</v>
      </c>
      <c r="R352" t="s">
        <v>199</v>
      </c>
      <c r="S352" t="s">
        <v>128</v>
      </c>
      <c r="T352" t="s">
        <v>181</v>
      </c>
      <c r="U352" t="s">
        <v>151</v>
      </c>
      <c r="V352" t="s">
        <v>72</v>
      </c>
      <c r="W352" s="58">
        <v>43332</v>
      </c>
      <c r="X352" s="59">
        <v>0.8125</v>
      </c>
      <c r="Y352" s="59">
        <v>0.85416666666666663</v>
      </c>
      <c r="Z352" s="59">
        <v>4.1666666666666664E-2</v>
      </c>
      <c r="AA352">
        <v>0</v>
      </c>
      <c r="AB352">
        <v>5.7431999999999999</v>
      </c>
      <c r="AC352">
        <v>20</v>
      </c>
      <c r="AD352">
        <v>9.5</v>
      </c>
      <c r="AE352" s="59">
        <v>0.8125</v>
      </c>
      <c r="AF352" s="59">
        <v>0.8534722222222223</v>
      </c>
      <c r="AG352">
        <v>14</v>
      </c>
    </row>
    <row r="353" spans="1:33" x14ac:dyDescent="0.25">
      <c r="A353" t="s">
        <v>274</v>
      </c>
      <c r="B353" t="s">
        <v>321</v>
      </c>
      <c r="C353" t="s">
        <v>322</v>
      </c>
      <c r="D353" t="s">
        <v>323</v>
      </c>
      <c r="E353" t="s">
        <v>324</v>
      </c>
      <c r="F353" t="s">
        <v>134</v>
      </c>
      <c r="H353" t="s">
        <v>184</v>
      </c>
      <c r="I353" t="s">
        <v>147</v>
      </c>
      <c r="J353" t="s">
        <v>266</v>
      </c>
      <c r="K353" t="s">
        <v>357</v>
      </c>
      <c r="L353" t="s">
        <v>358</v>
      </c>
      <c r="N353" t="s">
        <v>359</v>
      </c>
      <c r="O353" t="s">
        <v>134</v>
      </c>
      <c r="Q353" t="s">
        <v>207</v>
      </c>
      <c r="R353" t="s">
        <v>185</v>
      </c>
      <c r="S353" t="s">
        <v>128</v>
      </c>
      <c r="T353" t="s">
        <v>181</v>
      </c>
      <c r="U353" t="s">
        <v>151</v>
      </c>
      <c r="V353" t="s">
        <v>74</v>
      </c>
      <c r="W353" s="58">
        <v>43334</v>
      </c>
      <c r="X353" s="59">
        <v>0.41666666666666669</v>
      </c>
      <c r="Y353" s="59">
        <v>0.45833333333333331</v>
      </c>
      <c r="Z353" s="59">
        <v>4.1666666666666664E-2</v>
      </c>
      <c r="AA353">
        <v>0</v>
      </c>
      <c r="AC353">
        <v>20</v>
      </c>
      <c r="AD353">
        <v>9.5</v>
      </c>
      <c r="AE353" s="59">
        <v>0.41666666666666669</v>
      </c>
      <c r="AF353" s="59">
        <v>0.45763888888888887</v>
      </c>
      <c r="AG353">
        <v>14</v>
      </c>
    </row>
    <row r="354" spans="1:33" x14ac:dyDescent="0.25">
      <c r="A354" t="s">
        <v>258</v>
      </c>
      <c r="B354" t="s">
        <v>259</v>
      </c>
      <c r="C354" t="s">
        <v>260</v>
      </c>
      <c r="E354" t="s">
        <v>261</v>
      </c>
      <c r="F354" t="s">
        <v>134</v>
      </c>
      <c r="H354" t="s">
        <v>130</v>
      </c>
      <c r="I354" t="s">
        <v>127</v>
      </c>
      <c r="J354" t="s">
        <v>266</v>
      </c>
      <c r="K354" t="s">
        <v>357</v>
      </c>
      <c r="L354" t="s">
        <v>358</v>
      </c>
      <c r="N354" t="s">
        <v>359</v>
      </c>
      <c r="O354" t="s">
        <v>134</v>
      </c>
      <c r="Q354" t="s">
        <v>207</v>
      </c>
      <c r="R354" t="s">
        <v>131</v>
      </c>
      <c r="S354" t="s">
        <v>128</v>
      </c>
      <c r="T354" t="s">
        <v>181</v>
      </c>
      <c r="U354" t="s">
        <v>151</v>
      </c>
      <c r="V354" t="s">
        <v>74</v>
      </c>
      <c r="W354" s="58">
        <v>43334</v>
      </c>
      <c r="X354" s="59">
        <v>0.5</v>
      </c>
      <c r="Y354" s="59">
        <v>0.58333333333333337</v>
      </c>
      <c r="Z354" s="59">
        <v>8.3333333333333329E-2</v>
      </c>
      <c r="AA354">
        <v>0</v>
      </c>
      <c r="AB354">
        <v>5.0750000000000002</v>
      </c>
      <c r="AC354">
        <v>40</v>
      </c>
      <c r="AD354">
        <v>19</v>
      </c>
      <c r="AG354">
        <v>14</v>
      </c>
    </row>
    <row r="355" spans="1:33" x14ac:dyDescent="0.25">
      <c r="A355" t="s">
        <v>266</v>
      </c>
      <c r="B355" t="s">
        <v>293</v>
      </c>
      <c r="C355" t="s">
        <v>294</v>
      </c>
      <c r="E355" t="s">
        <v>295</v>
      </c>
      <c r="F355" t="s">
        <v>134</v>
      </c>
      <c r="H355" t="s">
        <v>157</v>
      </c>
      <c r="I355" t="s">
        <v>158</v>
      </c>
      <c r="J355" t="s">
        <v>266</v>
      </c>
      <c r="K355" t="s">
        <v>357</v>
      </c>
      <c r="L355" t="s">
        <v>358</v>
      </c>
      <c r="N355" t="s">
        <v>359</v>
      </c>
      <c r="O355" t="s">
        <v>134</v>
      </c>
      <c r="Q355" t="s">
        <v>207</v>
      </c>
      <c r="R355" t="s">
        <v>161</v>
      </c>
      <c r="S355" t="s">
        <v>128</v>
      </c>
      <c r="T355" t="s">
        <v>181</v>
      </c>
      <c r="U355" t="s">
        <v>163</v>
      </c>
      <c r="V355" t="s">
        <v>75</v>
      </c>
      <c r="W355" s="58">
        <v>43335</v>
      </c>
      <c r="X355" s="59">
        <v>0.39583333333333331</v>
      </c>
      <c r="Y355" s="59">
        <v>0.4375</v>
      </c>
      <c r="Z355" s="59">
        <v>4.1666666666666664E-2</v>
      </c>
      <c r="AA355">
        <v>0</v>
      </c>
      <c r="AC355">
        <v>18</v>
      </c>
      <c r="AD355">
        <v>8.75</v>
      </c>
      <c r="AG355">
        <v>14</v>
      </c>
    </row>
    <row r="356" spans="1:33" x14ac:dyDescent="0.25">
      <c r="A356" t="s">
        <v>258</v>
      </c>
      <c r="B356" t="s">
        <v>290</v>
      </c>
      <c r="C356" t="s">
        <v>291</v>
      </c>
      <c r="E356" t="s">
        <v>292</v>
      </c>
      <c r="F356" t="s">
        <v>134</v>
      </c>
      <c r="H356" t="s">
        <v>154</v>
      </c>
      <c r="I356" t="s">
        <v>155</v>
      </c>
      <c r="J356" t="s">
        <v>266</v>
      </c>
      <c r="K356" t="s">
        <v>357</v>
      </c>
      <c r="L356" t="s">
        <v>358</v>
      </c>
      <c r="N356" t="s">
        <v>359</v>
      </c>
      <c r="O356" t="s">
        <v>134</v>
      </c>
      <c r="Q356" t="s">
        <v>207</v>
      </c>
      <c r="R356" t="s">
        <v>156</v>
      </c>
      <c r="S356" t="s">
        <v>128</v>
      </c>
      <c r="T356" t="s">
        <v>181</v>
      </c>
      <c r="U356" t="s">
        <v>151</v>
      </c>
      <c r="V356" t="s">
        <v>75</v>
      </c>
      <c r="W356" s="58">
        <v>43335</v>
      </c>
      <c r="X356" s="59">
        <v>0.46875</v>
      </c>
      <c r="Y356" s="59">
        <v>0.52083333333333337</v>
      </c>
      <c r="Z356" s="59">
        <v>5.2083333333333336E-2</v>
      </c>
      <c r="AA356">
        <v>0</v>
      </c>
      <c r="AC356">
        <v>25</v>
      </c>
      <c r="AD356">
        <v>11.875</v>
      </c>
      <c r="AE356" s="59">
        <v>0.46875</v>
      </c>
      <c r="AF356" s="59">
        <v>0.52013888888888882</v>
      </c>
      <c r="AG356">
        <v>14</v>
      </c>
    </row>
    <row r="357" spans="1:33" x14ac:dyDescent="0.25">
      <c r="A357" t="s">
        <v>258</v>
      </c>
      <c r="B357" t="s">
        <v>278</v>
      </c>
      <c r="C357" t="s">
        <v>279</v>
      </c>
      <c r="E357" t="s">
        <v>280</v>
      </c>
      <c r="F357" t="s">
        <v>134</v>
      </c>
      <c r="H357" t="s">
        <v>144</v>
      </c>
      <c r="I357" t="s">
        <v>133</v>
      </c>
      <c r="J357" t="s">
        <v>266</v>
      </c>
      <c r="K357" t="s">
        <v>357</v>
      </c>
      <c r="L357" t="s">
        <v>358</v>
      </c>
      <c r="N357" t="s">
        <v>359</v>
      </c>
      <c r="O357" t="s">
        <v>134</v>
      </c>
      <c r="Q357" t="s">
        <v>207</v>
      </c>
      <c r="R357" t="s">
        <v>145</v>
      </c>
      <c r="S357" t="s">
        <v>128</v>
      </c>
      <c r="T357" t="s">
        <v>181</v>
      </c>
      <c r="U357" t="s">
        <v>129</v>
      </c>
      <c r="V357" t="s">
        <v>75</v>
      </c>
      <c r="W357" s="58">
        <v>43335</v>
      </c>
      <c r="X357" s="59">
        <v>0.54166666666666663</v>
      </c>
      <c r="Y357" s="59">
        <v>0.58333333333333337</v>
      </c>
      <c r="Z357" s="59">
        <v>4.1666666666666664E-2</v>
      </c>
      <c r="AA357">
        <v>0</v>
      </c>
      <c r="AB357">
        <v>10.896599999999999</v>
      </c>
      <c r="AC357">
        <v>23</v>
      </c>
      <c r="AD357">
        <v>9.5</v>
      </c>
      <c r="AE357" s="59">
        <v>0.54166666666666663</v>
      </c>
      <c r="AF357" s="59">
        <v>0.58263888888888882</v>
      </c>
      <c r="AG357">
        <v>14</v>
      </c>
    </row>
    <row r="358" spans="1:33" x14ac:dyDescent="0.25">
      <c r="A358" t="s">
        <v>258</v>
      </c>
      <c r="B358" t="s">
        <v>342</v>
      </c>
      <c r="C358" t="s">
        <v>343</v>
      </c>
      <c r="E358" t="s">
        <v>344</v>
      </c>
      <c r="F358" t="s">
        <v>134</v>
      </c>
      <c r="H358" t="s">
        <v>197</v>
      </c>
      <c r="I358" t="s">
        <v>198</v>
      </c>
      <c r="J358" t="s">
        <v>266</v>
      </c>
      <c r="K358" t="s">
        <v>357</v>
      </c>
      <c r="L358" t="s">
        <v>358</v>
      </c>
      <c r="N358" t="s">
        <v>359</v>
      </c>
      <c r="O358" t="s">
        <v>134</v>
      </c>
      <c r="Q358" t="s">
        <v>207</v>
      </c>
      <c r="R358" t="s">
        <v>199</v>
      </c>
      <c r="S358" t="s">
        <v>128</v>
      </c>
      <c r="T358" t="s">
        <v>181</v>
      </c>
      <c r="U358" t="s">
        <v>151</v>
      </c>
      <c r="V358" t="s">
        <v>77</v>
      </c>
      <c r="W358" s="58">
        <v>43337</v>
      </c>
      <c r="X358" s="59">
        <v>0.33333333333333331</v>
      </c>
      <c r="Y358" s="59">
        <v>0.375</v>
      </c>
      <c r="Z358" s="59">
        <v>4.1666666666666664E-2</v>
      </c>
      <c r="AA358">
        <v>0</v>
      </c>
      <c r="AC358">
        <v>20</v>
      </c>
      <c r="AD358">
        <v>10.5</v>
      </c>
      <c r="AE358" s="59">
        <v>0.33333333333333331</v>
      </c>
      <c r="AF358" s="59">
        <v>0.3743055555555555</v>
      </c>
      <c r="AG358">
        <v>14</v>
      </c>
    </row>
    <row r="359" spans="1:33" x14ac:dyDescent="0.25">
      <c r="A359" t="s">
        <v>274</v>
      </c>
      <c r="B359" t="s">
        <v>334</v>
      </c>
      <c r="C359" t="s">
        <v>285</v>
      </c>
      <c r="E359" t="s">
        <v>335</v>
      </c>
      <c r="F359" t="s">
        <v>134</v>
      </c>
      <c r="H359" t="s">
        <v>192</v>
      </c>
      <c r="I359" t="s">
        <v>155</v>
      </c>
      <c r="J359" t="s">
        <v>266</v>
      </c>
      <c r="K359" t="s">
        <v>357</v>
      </c>
      <c r="L359" t="s">
        <v>358</v>
      </c>
      <c r="N359" t="s">
        <v>359</v>
      </c>
      <c r="O359" t="s">
        <v>134</v>
      </c>
      <c r="Q359" t="s">
        <v>207</v>
      </c>
      <c r="R359" t="s">
        <v>193</v>
      </c>
      <c r="S359" t="s">
        <v>128</v>
      </c>
      <c r="T359" t="s">
        <v>181</v>
      </c>
      <c r="U359" t="s">
        <v>129</v>
      </c>
      <c r="V359" t="s">
        <v>77</v>
      </c>
      <c r="W359" s="58">
        <v>43337</v>
      </c>
      <c r="X359" s="59">
        <v>0.39097222222222222</v>
      </c>
      <c r="Y359" s="59">
        <v>0.43263888888888885</v>
      </c>
      <c r="Z359" s="59">
        <v>4.1666666666666664E-2</v>
      </c>
      <c r="AA359">
        <v>0</v>
      </c>
      <c r="AB359">
        <v>2.1818</v>
      </c>
      <c r="AC359">
        <v>23</v>
      </c>
      <c r="AD359">
        <v>10.5</v>
      </c>
      <c r="AE359" s="59">
        <v>0.39097222222222222</v>
      </c>
      <c r="AF359" s="59">
        <v>0.43194444444444446</v>
      </c>
      <c r="AG359">
        <v>14</v>
      </c>
    </row>
    <row r="360" spans="1:33" x14ac:dyDescent="0.25">
      <c r="A360" t="s">
        <v>258</v>
      </c>
      <c r="B360" t="s">
        <v>284</v>
      </c>
      <c r="C360" t="s">
        <v>285</v>
      </c>
      <c r="E360" t="s">
        <v>286</v>
      </c>
      <c r="F360" t="s">
        <v>134</v>
      </c>
      <c r="H360" t="s">
        <v>149</v>
      </c>
      <c r="I360" t="s">
        <v>127</v>
      </c>
      <c r="J360" t="s">
        <v>266</v>
      </c>
      <c r="K360" t="s">
        <v>357</v>
      </c>
      <c r="L360" t="s">
        <v>358</v>
      </c>
      <c r="N360" t="s">
        <v>359</v>
      </c>
      <c r="O360" t="s">
        <v>134</v>
      </c>
      <c r="Q360" t="s">
        <v>207</v>
      </c>
      <c r="R360" t="s">
        <v>150</v>
      </c>
      <c r="S360" t="s">
        <v>128</v>
      </c>
      <c r="T360" t="s">
        <v>181</v>
      </c>
      <c r="U360" t="s">
        <v>151</v>
      </c>
      <c r="V360" t="s">
        <v>72</v>
      </c>
      <c r="W360" s="58">
        <v>43339</v>
      </c>
      <c r="X360" s="59">
        <v>0.35416666666666669</v>
      </c>
      <c r="Y360" s="59">
        <v>0.39583333333333331</v>
      </c>
      <c r="Z360" s="59">
        <v>4.1666666666666664E-2</v>
      </c>
      <c r="AA360">
        <v>0</v>
      </c>
      <c r="AC360">
        <v>20</v>
      </c>
      <c r="AD360">
        <v>9.5</v>
      </c>
      <c r="AE360" s="59">
        <v>0.35416666666666669</v>
      </c>
      <c r="AF360" s="59">
        <v>0.39513888888888887</v>
      </c>
      <c r="AG360">
        <v>14</v>
      </c>
    </row>
    <row r="361" spans="1:33" x14ac:dyDescent="0.25">
      <c r="A361" t="s">
        <v>258</v>
      </c>
      <c r="B361" t="s">
        <v>287</v>
      </c>
      <c r="C361" t="s">
        <v>288</v>
      </c>
      <c r="E361" t="s">
        <v>289</v>
      </c>
      <c r="F361" t="s">
        <v>134</v>
      </c>
      <c r="H361" t="s">
        <v>152</v>
      </c>
      <c r="I361" t="s">
        <v>127</v>
      </c>
      <c r="J361" t="s">
        <v>266</v>
      </c>
      <c r="K361" t="s">
        <v>357</v>
      </c>
      <c r="L361" t="s">
        <v>358</v>
      </c>
      <c r="N361" t="s">
        <v>359</v>
      </c>
      <c r="O361" t="s">
        <v>134</v>
      </c>
      <c r="Q361" t="s">
        <v>207</v>
      </c>
      <c r="R361" t="s">
        <v>153</v>
      </c>
      <c r="S361" t="s">
        <v>128</v>
      </c>
      <c r="T361" t="s">
        <v>181</v>
      </c>
      <c r="U361" t="s">
        <v>151</v>
      </c>
      <c r="V361" t="s">
        <v>72</v>
      </c>
      <c r="W361" s="58">
        <v>43339</v>
      </c>
      <c r="X361" s="59">
        <v>0.39583333333333331</v>
      </c>
      <c r="Y361" s="59">
        <v>0.4375</v>
      </c>
      <c r="Z361" s="59">
        <v>4.1666666666666664E-2</v>
      </c>
      <c r="AA361">
        <v>0</v>
      </c>
      <c r="AB361">
        <v>0.27279999999999999</v>
      </c>
      <c r="AC361">
        <v>20</v>
      </c>
      <c r="AD361">
        <v>9.5</v>
      </c>
      <c r="AE361" s="59">
        <v>0.39583333333333331</v>
      </c>
      <c r="AF361" s="59">
        <v>0.4368055555555555</v>
      </c>
      <c r="AG361">
        <v>14</v>
      </c>
    </row>
    <row r="362" spans="1:33" x14ac:dyDescent="0.25">
      <c r="B362" t="s">
        <v>307</v>
      </c>
      <c r="C362" t="s">
        <v>308</v>
      </c>
      <c r="D362" t="s">
        <v>309</v>
      </c>
      <c r="E362" t="s">
        <v>134</v>
      </c>
      <c r="H362" t="s">
        <v>171</v>
      </c>
      <c r="I362" t="s">
        <v>169</v>
      </c>
      <c r="J362" t="s">
        <v>266</v>
      </c>
      <c r="K362" t="s">
        <v>357</v>
      </c>
      <c r="L362" t="s">
        <v>358</v>
      </c>
      <c r="N362" t="s">
        <v>359</v>
      </c>
      <c r="O362" t="s">
        <v>134</v>
      </c>
      <c r="Q362" t="s">
        <v>207</v>
      </c>
      <c r="R362" t="s">
        <v>172</v>
      </c>
      <c r="S362" t="s">
        <v>128</v>
      </c>
      <c r="T362" t="s">
        <v>181</v>
      </c>
      <c r="U362" t="s">
        <v>129</v>
      </c>
      <c r="V362" t="s">
        <v>72</v>
      </c>
      <c r="W362" s="58">
        <v>43339</v>
      </c>
      <c r="X362" s="59">
        <v>0.64583333333333337</v>
      </c>
      <c r="Y362" s="59">
        <v>0.6875</v>
      </c>
      <c r="Z362" s="59">
        <v>4.1666666666666664E-2</v>
      </c>
      <c r="AA362">
        <v>0</v>
      </c>
      <c r="AC362">
        <v>23</v>
      </c>
      <c r="AD362">
        <v>9.5</v>
      </c>
      <c r="AE362" s="59">
        <v>0.64583333333333337</v>
      </c>
      <c r="AF362" s="59">
        <v>0.68680555555555556</v>
      </c>
      <c r="AG362">
        <v>14</v>
      </c>
    </row>
    <row r="363" spans="1:33" x14ac:dyDescent="0.25">
      <c r="A363" t="s">
        <v>258</v>
      </c>
      <c r="B363" t="s">
        <v>314</v>
      </c>
      <c r="C363" t="s">
        <v>315</v>
      </c>
      <c r="D363">
        <v>72</v>
      </c>
      <c r="E363" t="s">
        <v>316</v>
      </c>
      <c r="F363" t="s">
        <v>317</v>
      </c>
      <c r="G363" t="s">
        <v>218</v>
      </c>
      <c r="H363" t="s">
        <v>168</v>
      </c>
      <c r="I363" t="s">
        <v>169</v>
      </c>
      <c r="J363" t="s">
        <v>266</v>
      </c>
      <c r="K363" t="s">
        <v>357</v>
      </c>
      <c r="L363" t="s">
        <v>358</v>
      </c>
      <c r="N363" t="s">
        <v>359</v>
      </c>
      <c r="O363" t="s">
        <v>134</v>
      </c>
      <c r="Q363" t="s">
        <v>207</v>
      </c>
      <c r="R363" t="s">
        <v>170</v>
      </c>
      <c r="S363" t="s">
        <v>128</v>
      </c>
      <c r="T363" t="s">
        <v>181</v>
      </c>
      <c r="U363" t="s">
        <v>129</v>
      </c>
      <c r="V363" t="s">
        <v>72</v>
      </c>
      <c r="W363" s="58">
        <v>43339</v>
      </c>
      <c r="X363" s="59">
        <v>0.69791666666666663</v>
      </c>
      <c r="Y363" s="59">
        <v>0.73958333333333337</v>
      </c>
      <c r="Z363" s="59">
        <v>4.1666666666666664E-2</v>
      </c>
      <c r="AA363">
        <v>3</v>
      </c>
      <c r="AB363">
        <v>0.62839999999999996</v>
      </c>
      <c r="AC363">
        <v>23</v>
      </c>
      <c r="AD363">
        <v>9.5</v>
      </c>
      <c r="AE363" s="59">
        <v>0.69791666666666663</v>
      </c>
      <c r="AF363" s="59">
        <v>0.73888888888888893</v>
      </c>
      <c r="AG363">
        <v>14</v>
      </c>
    </row>
    <row r="364" spans="1:33" x14ac:dyDescent="0.25">
      <c r="A364" t="s">
        <v>258</v>
      </c>
      <c r="B364" t="s">
        <v>281</v>
      </c>
      <c r="C364" t="s">
        <v>282</v>
      </c>
      <c r="E364" t="s">
        <v>283</v>
      </c>
      <c r="F364" t="s">
        <v>134</v>
      </c>
      <c r="G364" t="s">
        <v>218</v>
      </c>
      <c r="H364" t="s">
        <v>146</v>
      </c>
      <c r="I364" t="s">
        <v>147</v>
      </c>
      <c r="J364" t="s">
        <v>266</v>
      </c>
      <c r="K364" t="s">
        <v>357</v>
      </c>
      <c r="L364" t="s">
        <v>358</v>
      </c>
      <c r="N364" t="s">
        <v>359</v>
      </c>
      <c r="O364" t="s">
        <v>134</v>
      </c>
      <c r="Q364" t="s">
        <v>207</v>
      </c>
      <c r="R364" t="s">
        <v>148</v>
      </c>
      <c r="S364" t="s">
        <v>128</v>
      </c>
      <c r="T364" t="s">
        <v>181</v>
      </c>
      <c r="U364" t="s">
        <v>129</v>
      </c>
      <c r="V364" t="s">
        <v>72</v>
      </c>
      <c r="W364" s="58">
        <v>43339</v>
      </c>
      <c r="X364" s="59">
        <v>0.75</v>
      </c>
      <c r="Y364" s="59">
        <v>0.79166666666666663</v>
      </c>
      <c r="Z364" s="59">
        <v>4.1666666666666664E-2</v>
      </c>
      <c r="AA364">
        <v>0</v>
      </c>
      <c r="AB364">
        <v>3.6886000000000001</v>
      </c>
      <c r="AD364">
        <v>9.5</v>
      </c>
      <c r="AE364" s="59">
        <v>0.75</v>
      </c>
      <c r="AF364" s="59">
        <v>0.7909722222222223</v>
      </c>
      <c r="AG364">
        <v>14</v>
      </c>
    </row>
    <row r="365" spans="1:33" x14ac:dyDescent="0.25">
      <c r="A365" t="s">
        <v>258</v>
      </c>
      <c r="B365" t="s">
        <v>314</v>
      </c>
      <c r="C365" t="s">
        <v>315</v>
      </c>
      <c r="D365">
        <v>72</v>
      </c>
      <c r="E365" t="s">
        <v>316</v>
      </c>
      <c r="F365" t="s">
        <v>317</v>
      </c>
      <c r="G365" t="s">
        <v>218</v>
      </c>
      <c r="H365" t="s">
        <v>168</v>
      </c>
      <c r="I365" t="s">
        <v>169</v>
      </c>
      <c r="J365" t="s">
        <v>266</v>
      </c>
      <c r="K365" t="s">
        <v>357</v>
      </c>
      <c r="L365" t="s">
        <v>358</v>
      </c>
      <c r="N365" t="s">
        <v>359</v>
      </c>
      <c r="O365" t="s">
        <v>134</v>
      </c>
      <c r="Q365" t="s">
        <v>207</v>
      </c>
      <c r="R365" t="s">
        <v>170</v>
      </c>
      <c r="S365" t="s">
        <v>128</v>
      </c>
      <c r="T365" t="s">
        <v>181</v>
      </c>
      <c r="U365" t="s">
        <v>129</v>
      </c>
      <c r="V365" t="s">
        <v>74</v>
      </c>
      <c r="W365" s="58">
        <v>43341</v>
      </c>
      <c r="X365" s="59">
        <v>0.33333333333333331</v>
      </c>
      <c r="Y365" s="59">
        <v>0.35416666666666669</v>
      </c>
      <c r="Z365" s="59">
        <v>2.0833333333333332E-2</v>
      </c>
      <c r="AA365">
        <v>9</v>
      </c>
      <c r="AC365">
        <v>11.5</v>
      </c>
      <c r="AD365">
        <v>4.75</v>
      </c>
      <c r="AE365" s="59">
        <v>0.33333333333333331</v>
      </c>
      <c r="AF365" s="59">
        <v>0.35347222222222219</v>
      </c>
      <c r="AG365">
        <v>14</v>
      </c>
    </row>
    <row r="366" spans="1:33" x14ac:dyDescent="0.25">
      <c r="A366" t="s">
        <v>266</v>
      </c>
      <c r="B366" t="s">
        <v>293</v>
      </c>
      <c r="C366" t="s">
        <v>294</v>
      </c>
      <c r="E366" t="s">
        <v>295</v>
      </c>
      <c r="F366" t="s">
        <v>134</v>
      </c>
      <c r="H366" t="s">
        <v>157</v>
      </c>
      <c r="I366" t="s">
        <v>158</v>
      </c>
      <c r="J366" t="s">
        <v>266</v>
      </c>
      <c r="K366" t="s">
        <v>357</v>
      </c>
      <c r="L366" t="s">
        <v>358</v>
      </c>
      <c r="N366" t="s">
        <v>359</v>
      </c>
      <c r="O366" t="s">
        <v>134</v>
      </c>
      <c r="Q366" t="s">
        <v>207</v>
      </c>
      <c r="R366" t="s">
        <v>161</v>
      </c>
      <c r="S366" t="s">
        <v>128</v>
      </c>
      <c r="T366" t="s">
        <v>181</v>
      </c>
      <c r="U366" t="s">
        <v>163</v>
      </c>
      <c r="V366" t="s">
        <v>74</v>
      </c>
      <c r="W366" s="58">
        <v>43341</v>
      </c>
      <c r="X366" s="59">
        <v>0.42708333333333331</v>
      </c>
      <c r="Y366" s="59">
        <v>0.67708333333333337</v>
      </c>
      <c r="Z366" s="59">
        <v>0.25</v>
      </c>
      <c r="AA366">
        <v>0</v>
      </c>
      <c r="AB366">
        <v>10.0204</v>
      </c>
      <c r="AC366">
        <v>108</v>
      </c>
      <c r="AD366">
        <v>57</v>
      </c>
      <c r="AE366" s="59">
        <v>0.42708333333333331</v>
      </c>
      <c r="AF366" s="59">
        <v>0.67638888888888893</v>
      </c>
      <c r="AG366">
        <v>14</v>
      </c>
    </row>
    <row r="367" spans="1:33" x14ac:dyDescent="0.25">
      <c r="A367" t="s">
        <v>266</v>
      </c>
      <c r="B367" t="s">
        <v>293</v>
      </c>
      <c r="C367" t="s">
        <v>294</v>
      </c>
      <c r="E367" t="s">
        <v>295</v>
      </c>
      <c r="F367" t="s">
        <v>134</v>
      </c>
      <c r="H367" t="s">
        <v>157</v>
      </c>
      <c r="I367" t="s">
        <v>158</v>
      </c>
      <c r="J367" t="s">
        <v>266</v>
      </c>
      <c r="K367" t="s">
        <v>357</v>
      </c>
      <c r="L367" t="s">
        <v>358</v>
      </c>
      <c r="N367" t="s">
        <v>359</v>
      </c>
      <c r="O367" t="s">
        <v>134</v>
      </c>
      <c r="Q367" t="s">
        <v>207</v>
      </c>
      <c r="R367" t="s">
        <v>161</v>
      </c>
      <c r="S367" t="s">
        <v>128</v>
      </c>
      <c r="T367" t="s">
        <v>181</v>
      </c>
      <c r="U367" t="s">
        <v>163</v>
      </c>
      <c r="V367" t="s">
        <v>75</v>
      </c>
      <c r="W367" s="58">
        <v>43342</v>
      </c>
      <c r="X367" s="59">
        <v>0.39583333333333331</v>
      </c>
      <c r="Y367" s="59">
        <v>0.4375</v>
      </c>
      <c r="Z367" s="59">
        <v>4.1666666666666664E-2</v>
      </c>
      <c r="AA367">
        <v>0</v>
      </c>
      <c r="AC367">
        <v>18</v>
      </c>
      <c r="AD367">
        <v>9.5</v>
      </c>
      <c r="AE367" s="59">
        <v>0.39583333333333331</v>
      </c>
      <c r="AF367" s="59">
        <v>0.4368055555555555</v>
      </c>
      <c r="AG367">
        <v>14</v>
      </c>
    </row>
    <row r="368" spans="1:33" x14ac:dyDescent="0.25">
      <c r="A368" t="s">
        <v>258</v>
      </c>
      <c r="B368" t="s">
        <v>290</v>
      </c>
      <c r="C368" t="s">
        <v>291</v>
      </c>
      <c r="E368" t="s">
        <v>292</v>
      </c>
      <c r="F368" t="s">
        <v>134</v>
      </c>
      <c r="H368" t="s">
        <v>154</v>
      </c>
      <c r="I368" t="s">
        <v>155</v>
      </c>
      <c r="J368" t="s">
        <v>266</v>
      </c>
      <c r="K368" t="s">
        <v>357</v>
      </c>
      <c r="L368" t="s">
        <v>358</v>
      </c>
      <c r="N368" t="s">
        <v>359</v>
      </c>
      <c r="O368" t="s">
        <v>134</v>
      </c>
      <c r="Q368" t="s">
        <v>207</v>
      </c>
      <c r="R368" t="s">
        <v>156</v>
      </c>
      <c r="S368" t="s">
        <v>128</v>
      </c>
      <c r="T368" t="s">
        <v>181</v>
      </c>
      <c r="U368" t="s">
        <v>151</v>
      </c>
      <c r="V368" t="s">
        <v>75</v>
      </c>
      <c r="W368" s="58">
        <v>43342</v>
      </c>
      <c r="X368" s="59">
        <v>0.45833333333333331</v>
      </c>
      <c r="Y368" s="59">
        <v>0.53125</v>
      </c>
      <c r="Z368" s="59">
        <v>7.2916666666666671E-2</v>
      </c>
      <c r="AA368">
        <v>0</v>
      </c>
      <c r="AB368">
        <v>10.235200000000001</v>
      </c>
      <c r="AC368">
        <v>35</v>
      </c>
      <c r="AD368">
        <v>16.625</v>
      </c>
      <c r="AE368" s="59">
        <v>0.45833333333333331</v>
      </c>
      <c r="AF368" s="59">
        <v>0.53055555555555556</v>
      </c>
      <c r="AG368">
        <v>14</v>
      </c>
    </row>
    <row r="369" spans="1:33" x14ac:dyDescent="0.25">
      <c r="A369" t="s">
        <v>274</v>
      </c>
      <c r="B369" t="s">
        <v>321</v>
      </c>
      <c r="C369" t="s">
        <v>322</v>
      </c>
      <c r="D369" t="s">
        <v>323</v>
      </c>
      <c r="E369" t="s">
        <v>324</v>
      </c>
      <c r="F369" t="s">
        <v>134</v>
      </c>
      <c r="H369" t="s">
        <v>184</v>
      </c>
      <c r="I369" t="s">
        <v>147</v>
      </c>
      <c r="J369" t="s">
        <v>266</v>
      </c>
      <c r="K369" t="s">
        <v>357</v>
      </c>
      <c r="L369" t="s">
        <v>358</v>
      </c>
      <c r="N369" t="s">
        <v>359</v>
      </c>
      <c r="O369" t="s">
        <v>134</v>
      </c>
      <c r="Q369" t="s">
        <v>207</v>
      </c>
      <c r="R369" t="s">
        <v>185</v>
      </c>
      <c r="S369" t="s">
        <v>128</v>
      </c>
      <c r="T369" t="s">
        <v>181</v>
      </c>
      <c r="U369" t="s">
        <v>151</v>
      </c>
      <c r="V369" t="s">
        <v>75</v>
      </c>
      <c r="W369" s="58">
        <v>43342</v>
      </c>
      <c r="X369" s="59">
        <v>0.8125</v>
      </c>
      <c r="Y369" s="59">
        <v>0.84375</v>
      </c>
      <c r="Z369" s="59">
        <v>3.125E-2</v>
      </c>
      <c r="AA369">
        <v>0</v>
      </c>
      <c r="AC369">
        <v>15</v>
      </c>
      <c r="AD369">
        <v>7.125</v>
      </c>
      <c r="AE369" s="59">
        <v>0.8125</v>
      </c>
      <c r="AF369" s="59">
        <v>0.84305555555555556</v>
      </c>
      <c r="AG369">
        <v>14</v>
      </c>
    </row>
    <row r="370" spans="1:33" x14ac:dyDescent="0.25">
      <c r="A370" t="s">
        <v>258</v>
      </c>
      <c r="B370" t="s">
        <v>314</v>
      </c>
      <c r="C370" t="s">
        <v>315</v>
      </c>
      <c r="D370">
        <v>72</v>
      </c>
      <c r="E370" t="s">
        <v>316</v>
      </c>
      <c r="F370" t="s">
        <v>317</v>
      </c>
      <c r="G370" t="s">
        <v>218</v>
      </c>
      <c r="H370" t="s">
        <v>168</v>
      </c>
      <c r="I370" t="s">
        <v>169</v>
      </c>
      <c r="J370" t="s">
        <v>266</v>
      </c>
      <c r="K370" t="s">
        <v>357</v>
      </c>
      <c r="L370" t="s">
        <v>358</v>
      </c>
      <c r="N370" t="s">
        <v>359</v>
      </c>
      <c r="O370" t="s">
        <v>134</v>
      </c>
      <c r="Q370" t="s">
        <v>207</v>
      </c>
      <c r="R370" t="s">
        <v>170</v>
      </c>
      <c r="S370" t="s">
        <v>128</v>
      </c>
      <c r="T370" t="s">
        <v>181</v>
      </c>
      <c r="U370" t="s">
        <v>129</v>
      </c>
      <c r="V370" t="s">
        <v>77</v>
      </c>
      <c r="W370" s="58">
        <v>43344</v>
      </c>
      <c r="X370" s="59">
        <v>0.33333333333333331</v>
      </c>
      <c r="Y370" s="59">
        <v>0.35416666666666669</v>
      </c>
      <c r="Z370" s="59">
        <v>2.0833333333333332E-2</v>
      </c>
      <c r="AA370">
        <v>0</v>
      </c>
      <c r="AC370">
        <v>11.5</v>
      </c>
      <c r="AD370">
        <v>5.25</v>
      </c>
      <c r="AE370" s="59">
        <v>0.33333333333333331</v>
      </c>
      <c r="AF370" s="59">
        <v>0.35347222222222219</v>
      </c>
      <c r="AG370">
        <v>14</v>
      </c>
    </row>
    <row r="371" spans="1:33" x14ac:dyDescent="0.25">
      <c r="A371" t="s">
        <v>258</v>
      </c>
      <c r="B371" t="s">
        <v>325</v>
      </c>
      <c r="C371" t="s">
        <v>326</v>
      </c>
      <c r="E371" t="s">
        <v>327</v>
      </c>
      <c r="F371" t="s">
        <v>134</v>
      </c>
      <c r="H371" t="s">
        <v>182</v>
      </c>
      <c r="I371" t="s">
        <v>147</v>
      </c>
      <c r="J371" t="s">
        <v>266</v>
      </c>
      <c r="K371" t="s">
        <v>357</v>
      </c>
      <c r="L371" t="s">
        <v>358</v>
      </c>
      <c r="N371" t="s">
        <v>359</v>
      </c>
      <c r="O371" t="s">
        <v>134</v>
      </c>
      <c r="Q371" t="s">
        <v>207</v>
      </c>
      <c r="R371" t="s">
        <v>183</v>
      </c>
      <c r="S371" t="s">
        <v>128</v>
      </c>
      <c r="T371" t="s">
        <v>181</v>
      </c>
      <c r="U371" t="s">
        <v>129</v>
      </c>
      <c r="V371" t="s">
        <v>77</v>
      </c>
      <c r="W371" s="58">
        <v>43344</v>
      </c>
      <c r="X371" s="59">
        <v>0.36458333333333331</v>
      </c>
      <c r="Y371" s="59">
        <v>0.40625</v>
      </c>
      <c r="Z371" s="59">
        <v>4.1666666666666664E-2</v>
      </c>
      <c r="AA371">
        <v>6</v>
      </c>
      <c r="AB371">
        <v>3.7126000000000001</v>
      </c>
      <c r="AC371">
        <v>23</v>
      </c>
      <c r="AD371">
        <v>10.5</v>
      </c>
      <c r="AE371" s="59">
        <v>0.36458333333333331</v>
      </c>
      <c r="AF371" s="59">
        <v>0.4055555555555555</v>
      </c>
      <c r="AG371">
        <v>14</v>
      </c>
    </row>
    <row r="372" spans="1:33" x14ac:dyDescent="0.25">
      <c r="A372" t="s">
        <v>274</v>
      </c>
      <c r="B372" t="s">
        <v>321</v>
      </c>
      <c r="C372" t="s">
        <v>322</v>
      </c>
      <c r="D372" t="s">
        <v>323</v>
      </c>
      <c r="E372" t="s">
        <v>324</v>
      </c>
      <c r="F372" t="s">
        <v>134</v>
      </c>
      <c r="H372" t="s">
        <v>184</v>
      </c>
      <c r="I372" t="s">
        <v>147</v>
      </c>
      <c r="J372" t="s">
        <v>266</v>
      </c>
      <c r="K372" t="s">
        <v>357</v>
      </c>
      <c r="L372" t="s">
        <v>358</v>
      </c>
      <c r="N372" t="s">
        <v>359</v>
      </c>
      <c r="O372" t="s">
        <v>134</v>
      </c>
      <c r="Q372" t="s">
        <v>207</v>
      </c>
      <c r="R372" t="s">
        <v>185</v>
      </c>
      <c r="S372" t="s">
        <v>128</v>
      </c>
      <c r="T372" t="s">
        <v>181</v>
      </c>
      <c r="U372" t="s">
        <v>151</v>
      </c>
      <c r="V372" t="s">
        <v>77</v>
      </c>
      <c r="W372" s="58">
        <v>43344</v>
      </c>
      <c r="X372" s="59">
        <v>0.41666666666666669</v>
      </c>
      <c r="Y372" s="59">
        <v>0.45833333333333331</v>
      </c>
      <c r="Z372" s="59">
        <v>4.1666666666666664E-2</v>
      </c>
      <c r="AA372">
        <v>4</v>
      </c>
      <c r="AB372">
        <v>2.2181999999999999</v>
      </c>
      <c r="AC372">
        <v>20</v>
      </c>
      <c r="AD372">
        <v>10.5</v>
      </c>
      <c r="AE372" s="59">
        <v>0.41666666666666669</v>
      </c>
      <c r="AF372" s="59">
        <v>0.45763888888888887</v>
      </c>
      <c r="AG372">
        <v>14</v>
      </c>
    </row>
    <row r="373" spans="1:33" x14ac:dyDescent="0.25">
      <c r="A373" t="s">
        <v>258</v>
      </c>
      <c r="B373" t="s">
        <v>278</v>
      </c>
      <c r="C373" t="s">
        <v>279</v>
      </c>
      <c r="E373" t="s">
        <v>280</v>
      </c>
      <c r="F373" t="s">
        <v>134</v>
      </c>
      <c r="H373" t="s">
        <v>144</v>
      </c>
      <c r="I373" t="s">
        <v>133</v>
      </c>
      <c r="J373" t="s">
        <v>266</v>
      </c>
      <c r="K373" t="s">
        <v>357</v>
      </c>
      <c r="L373" t="s">
        <v>358</v>
      </c>
      <c r="N373" t="s">
        <v>359</v>
      </c>
      <c r="O373" t="s">
        <v>134</v>
      </c>
      <c r="Q373" t="s">
        <v>207</v>
      </c>
      <c r="R373" t="s">
        <v>145</v>
      </c>
      <c r="S373" t="s">
        <v>128</v>
      </c>
      <c r="T373" t="s">
        <v>181</v>
      </c>
      <c r="U373" t="s">
        <v>129</v>
      </c>
      <c r="V373" t="s">
        <v>77</v>
      </c>
      <c r="W373" s="58">
        <v>43344</v>
      </c>
      <c r="X373" s="59">
        <v>0.54166666666666663</v>
      </c>
      <c r="Y373" s="59">
        <v>0.58333333333333337</v>
      </c>
      <c r="Z373" s="59">
        <v>4.1666666666666664E-2</v>
      </c>
      <c r="AA373">
        <v>14</v>
      </c>
      <c r="AB373">
        <v>11.010199999999999</v>
      </c>
      <c r="AC373">
        <v>23</v>
      </c>
      <c r="AD373">
        <v>10.5</v>
      </c>
      <c r="AE373" s="59">
        <v>0.54166666666666663</v>
      </c>
      <c r="AF373" s="59">
        <v>0.58263888888888882</v>
      </c>
      <c r="AG373">
        <v>14</v>
      </c>
    </row>
    <row r="374" spans="1:33" x14ac:dyDescent="0.25">
      <c r="A374" t="s">
        <v>258</v>
      </c>
      <c r="B374" t="s">
        <v>342</v>
      </c>
      <c r="C374" t="s">
        <v>343</v>
      </c>
      <c r="E374" t="s">
        <v>344</v>
      </c>
      <c r="F374" t="s">
        <v>134</v>
      </c>
      <c r="H374" t="s">
        <v>197</v>
      </c>
      <c r="I374" t="s">
        <v>198</v>
      </c>
      <c r="J374" t="s">
        <v>266</v>
      </c>
      <c r="K374" t="s">
        <v>357</v>
      </c>
      <c r="L374" t="s">
        <v>358</v>
      </c>
      <c r="N374" t="s">
        <v>359</v>
      </c>
      <c r="O374" t="s">
        <v>134</v>
      </c>
      <c r="Q374" t="s">
        <v>207</v>
      </c>
      <c r="R374" t="s">
        <v>199</v>
      </c>
      <c r="S374" t="s">
        <v>128</v>
      </c>
      <c r="T374" t="s">
        <v>181</v>
      </c>
      <c r="U374" t="s">
        <v>151</v>
      </c>
      <c r="V374" t="s">
        <v>72</v>
      </c>
      <c r="W374" s="58">
        <v>43346</v>
      </c>
      <c r="X374" s="59">
        <v>0.33333333333333331</v>
      </c>
      <c r="Y374" s="59">
        <v>0.375</v>
      </c>
      <c r="Z374" s="59">
        <v>4.1666666666666664E-2</v>
      </c>
      <c r="AA374">
        <v>0</v>
      </c>
      <c r="AC374">
        <v>20</v>
      </c>
      <c r="AD374">
        <v>9.5</v>
      </c>
      <c r="AE374" s="59">
        <v>0.33333333333333331</v>
      </c>
      <c r="AF374" s="59">
        <v>0.3743055555555555</v>
      </c>
      <c r="AG374">
        <v>14</v>
      </c>
    </row>
    <row r="375" spans="1:33" x14ac:dyDescent="0.25">
      <c r="A375" t="s">
        <v>274</v>
      </c>
      <c r="B375" t="s">
        <v>334</v>
      </c>
      <c r="C375" t="s">
        <v>285</v>
      </c>
      <c r="E375" t="s">
        <v>335</v>
      </c>
      <c r="F375" t="s">
        <v>134</v>
      </c>
      <c r="H375" t="s">
        <v>192</v>
      </c>
      <c r="I375" t="s">
        <v>155</v>
      </c>
      <c r="J375" t="s">
        <v>266</v>
      </c>
      <c r="K375" t="s">
        <v>357</v>
      </c>
      <c r="L375" t="s">
        <v>358</v>
      </c>
      <c r="N375" t="s">
        <v>359</v>
      </c>
      <c r="O375" t="s">
        <v>134</v>
      </c>
      <c r="Q375" t="s">
        <v>207</v>
      </c>
      <c r="R375" t="s">
        <v>193</v>
      </c>
      <c r="S375" t="s">
        <v>128</v>
      </c>
      <c r="T375" t="s">
        <v>181</v>
      </c>
      <c r="U375" t="s">
        <v>129</v>
      </c>
      <c r="V375" t="s">
        <v>72</v>
      </c>
      <c r="W375" s="58">
        <v>43346</v>
      </c>
      <c r="X375" s="59">
        <v>0.39513888888888887</v>
      </c>
      <c r="Y375" s="59">
        <v>0.4368055555555555</v>
      </c>
      <c r="Z375" s="59">
        <v>4.1666666666666664E-2</v>
      </c>
      <c r="AA375">
        <v>4</v>
      </c>
      <c r="AB375">
        <v>2.1818</v>
      </c>
      <c r="AC375">
        <v>23</v>
      </c>
      <c r="AD375">
        <v>9.5</v>
      </c>
      <c r="AE375" s="59">
        <v>0.39513888888888887</v>
      </c>
      <c r="AF375" s="59">
        <v>0.43611111111111112</v>
      </c>
      <c r="AG375">
        <v>14</v>
      </c>
    </row>
    <row r="376" spans="1:33" x14ac:dyDescent="0.25">
      <c r="A376" t="s">
        <v>258</v>
      </c>
      <c r="B376" t="s">
        <v>290</v>
      </c>
      <c r="C376" t="s">
        <v>291</v>
      </c>
      <c r="E376" t="s">
        <v>292</v>
      </c>
      <c r="F376" t="s">
        <v>134</v>
      </c>
      <c r="H376" t="s">
        <v>154</v>
      </c>
      <c r="I376" t="s">
        <v>155</v>
      </c>
      <c r="J376" t="s">
        <v>266</v>
      </c>
      <c r="K376" t="s">
        <v>357</v>
      </c>
      <c r="L376" t="s">
        <v>358</v>
      </c>
      <c r="N376" t="s">
        <v>359</v>
      </c>
      <c r="O376" t="s">
        <v>134</v>
      </c>
      <c r="Q376" t="s">
        <v>207</v>
      </c>
      <c r="R376" t="s">
        <v>156</v>
      </c>
      <c r="S376" t="s">
        <v>128</v>
      </c>
      <c r="T376" t="s">
        <v>181</v>
      </c>
      <c r="U376" t="s">
        <v>151</v>
      </c>
      <c r="V376" t="s">
        <v>72</v>
      </c>
      <c r="W376" s="58">
        <v>43346</v>
      </c>
      <c r="X376" s="59">
        <v>0.44791666666666669</v>
      </c>
      <c r="Y376" s="59">
        <v>0.5</v>
      </c>
      <c r="Z376" s="59">
        <v>5.2083333333333336E-2</v>
      </c>
      <c r="AA376">
        <v>6</v>
      </c>
      <c r="AB376">
        <v>2.9318</v>
      </c>
      <c r="AC376">
        <v>25</v>
      </c>
      <c r="AD376">
        <v>11.875</v>
      </c>
      <c r="AE376" s="59">
        <v>0.44791666666666669</v>
      </c>
      <c r="AF376" s="59">
        <v>0.4993055555555555</v>
      </c>
      <c r="AG376">
        <v>14</v>
      </c>
    </row>
    <row r="377" spans="1:33" x14ac:dyDescent="0.25">
      <c r="A377" t="s">
        <v>258</v>
      </c>
      <c r="B377" t="s">
        <v>281</v>
      </c>
      <c r="C377" t="s">
        <v>282</v>
      </c>
      <c r="E377" t="s">
        <v>283</v>
      </c>
      <c r="F377" t="s">
        <v>134</v>
      </c>
      <c r="G377" t="s">
        <v>218</v>
      </c>
      <c r="H377" t="s">
        <v>146</v>
      </c>
      <c r="I377" t="s">
        <v>147</v>
      </c>
      <c r="J377" t="s">
        <v>266</v>
      </c>
      <c r="K377" t="s">
        <v>357</v>
      </c>
      <c r="L377" t="s">
        <v>358</v>
      </c>
      <c r="N377" t="s">
        <v>359</v>
      </c>
      <c r="O377" t="s">
        <v>134</v>
      </c>
      <c r="Q377" t="s">
        <v>207</v>
      </c>
      <c r="R377" t="s">
        <v>148</v>
      </c>
      <c r="S377" t="s">
        <v>128</v>
      </c>
      <c r="T377" t="s">
        <v>181</v>
      </c>
      <c r="U377" t="s">
        <v>129</v>
      </c>
      <c r="V377" t="s">
        <v>72</v>
      </c>
      <c r="W377" s="58">
        <v>43346</v>
      </c>
      <c r="X377" s="59">
        <v>0.75</v>
      </c>
      <c r="Y377" s="59">
        <v>0.79166666666666663</v>
      </c>
      <c r="Z377" s="59">
        <v>4.1666666666666664E-2</v>
      </c>
      <c r="AA377">
        <v>0</v>
      </c>
      <c r="AC377">
        <v>23</v>
      </c>
      <c r="AD377">
        <v>9.5</v>
      </c>
      <c r="AE377" s="59">
        <v>0.75</v>
      </c>
      <c r="AF377" s="59">
        <v>0.7909722222222223</v>
      </c>
      <c r="AG377">
        <v>14</v>
      </c>
    </row>
    <row r="378" spans="1:33" x14ac:dyDescent="0.25">
      <c r="A378" t="s">
        <v>274</v>
      </c>
      <c r="B378" t="s">
        <v>321</v>
      </c>
      <c r="C378" t="s">
        <v>322</v>
      </c>
      <c r="D378" t="s">
        <v>323</v>
      </c>
      <c r="E378" t="s">
        <v>324</v>
      </c>
      <c r="F378" t="s">
        <v>134</v>
      </c>
      <c r="H378" t="s">
        <v>184</v>
      </c>
      <c r="I378" t="s">
        <v>147</v>
      </c>
      <c r="J378" t="s">
        <v>266</v>
      </c>
      <c r="K378" t="s">
        <v>357</v>
      </c>
      <c r="L378" t="s">
        <v>358</v>
      </c>
      <c r="N378" t="s">
        <v>359</v>
      </c>
      <c r="O378" t="s">
        <v>134</v>
      </c>
      <c r="Q378" t="s">
        <v>207</v>
      </c>
      <c r="R378" t="s">
        <v>185</v>
      </c>
      <c r="S378" t="s">
        <v>128</v>
      </c>
      <c r="T378" t="s">
        <v>181</v>
      </c>
      <c r="U378" t="s">
        <v>151</v>
      </c>
      <c r="V378" t="s">
        <v>72</v>
      </c>
      <c r="W378" s="58">
        <v>43346</v>
      </c>
      <c r="X378" s="59">
        <v>0.83472222222222225</v>
      </c>
      <c r="Y378" s="59">
        <v>0.86597222222222225</v>
      </c>
      <c r="Z378" s="59">
        <v>3.125E-2</v>
      </c>
      <c r="AA378">
        <v>3</v>
      </c>
      <c r="AB378">
        <v>1.9272</v>
      </c>
      <c r="AC378">
        <v>15</v>
      </c>
      <c r="AD378">
        <v>7.125</v>
      </c>
      <c r="AE378" s="59">
        <v>0.83472222222222225</v>
      </c>
      <c r="AF378" s="59">
        <v>0.8652777777777777</v>
      </c>
      <c r="AG378">
        <v>14</v>
      </c>
    </row>
    <row r="379" spans="1:33" x14ac:dyDescent="0.25">
      <c r="A379" t="s">
        <v>258</v>
      </c>
      <c r="B379" t="s">
        <v>342</v>
      </c>
      <c r="C379" t="s">
        <v>343</v>
      </c>
      <c r="E379" t="s">
        <v>344</v>
      </c>
      <c r="F379" t="s">
        <v>134</v>
      </c>
      <c r="H379" t="s">
        <v>197</v>
      </c>
      <c r="I379" t="s">
        <v>198</v>
      </c>
      <c r="J379" t="s">
        <v>266</v>
      </c>
      <c r="K379" t="s">
        <v>357</v>
      </c>
      <c r="L379" t="s">
        <v>358</v>
      </c>
      <c r="N379" t="s">
        <v>359</v>
      </c>
      <c r="O379" t="s">
        <v>134</v>
      </c>
      <c r="Q379" t="s">
        <v>207</v>
      </c>
      <c r="R379" t="s">
        <v>199</v>
      </c>
      <c r="S379" t="s">
        <v>128</v>
      </c>
      <c r="T379" t="s">
        <v>181</v>
      </c>
      <c r="U379" t="s">
        <v>151</v>
      </c>
      <c r="V379" t="s">
        <v>74</v>
      </c>
      <c r="W379" s="58">
        <v>43348</v>
      </c>
      <c r="X379" s="59">
        <v>0.33333333333333331</v>
      </c>
      <c r="Y379" s="59">
        <v>0.375</v>
      </c>
      <c r="Z379" s="59">
        <v>4.1666666666666664E-2</v>
      </c>
      <c r="AA379">
        <v>0</v>
      </c>
      <c r="AC379">
        <v>20</v>
      </c>
      <c r="AD379">
        <v>9.5</v>
      </c>
      <c r="AE379" s="59">
        <v>0.33333333333333331</v>
      </c>
      <c r="AF379" s="59">
        <v>0.3743055555555555</v>
      </c>
      <c r="AG379">
        <v>14</v>
      </c>
    </row>
    <row r="380" spans="1:33" x14ac:dyDescent="0.25">
      <c r="A380" t="s">
        <v>258</v>
      </c>
      <c r="B380" t="s">
        <v>310</v>
      </c>
      <c r="C380" t="s">
        <v>311</v>
      </c>
      <c r="D380" t="s">
        <v>312</v>
      </c>
      <c r="E380" t="s">
        <v>313</v>
      </c>
      <c r="F380" t="s">
        <v>134</v>
      </c>
      <c r="H380" t="s">
        <v>175</v>
      </c>
      <c r="I380" t="s">
        <v>127</v>
      </c>
      <c r="J380" t="s">
        <v>266</v>
      </c>
      <c r="K380" t="s">
        <v>357</v>
      </c>
      <c r="L380" t="s">
        <v>358</v>
      </c>
      <c r="N380" t="s">
        <v>359</v>
      </c>
      <c r="O380" t="s">
        <v>134</v>
      </c>
      <c r="Q380" t="s">
        <v>207</v>
      </c>
      <c r="R380" t="s">
        <v>176</v>
      </c>
      <c r="S380" t="s">
        <v>128</v>
      </c>
      <c r="T380" t="s">
        <v>181</v>
      </c>
      <c r="U380" t="s">
        <v>151</v>
      </c>
      <c r="V380" t="s">
        <v>74</v>
      </c>
      <c r="W380" s="58">
        <v>43348</v>
      </c>
      <c r="X380" s="59">
        <v>0.3888888888888889</v>
      </c>
      <c r="Y380" s="59">
        <v>0.43055555555555558</v>
      </c>
      <c r="Z380" s="59">
        <v>4.1666666666666664E-2</v>
      </c>
      <c r="AA380">
        <v>12</v>
      </c>
      <c r="AB380">
        <v>5.3818000000000001</v>
      </c>
      <c r="AC380">
        <v>20</v>
      </c>
      <c r="AD380">
        <v>9.5</v>
      </c>
      <c r="AE380" s="59">
        <v>0.3888888888888889</v>
      </c>
      <c r="AF380" s="59">
        <v>0.42986111111111108</v>
      </c>
      <c r="AG380">
        <v>14</v>
      </c>
    </row>
    <row r="381" spans="1:33" x14ac:dyDescent="0.25">
      <c r="A381" t="s">
        <v>258</v>
      </c>
      <c r="B381" t="s">
        <v>325</v>
      </c>
      <c r="C381" t="s">
        <v>326</v>
      </c>
      <c r="E381" t="s">
        <v>327</v>
      </c>
      <c r="F381" t="s">
        <v>134</v>
      </c>
      <c r="H381" t="s">
        <v>182</v>
      </c>
      <c r="I381" t="s">
        <v>147</v>
      </c>
      <c r="J381" t="s">
        <v>266</v>
      </c>
      <c r="K381" t="s">
        <v>357</v>
      </c>
      <c r="L381" t="s">
        <v>358</v>
      </c>
      <c r="N381" t="s">
        <v>359</v>
      </c>
      <c r="O381" t="s">
        <v>134</v>
      </c>
      <c r="Q381" t="s">
        <v>207</v>
      </c>
      <c r="R381" t="s">
        <v>183</v>
      </c>
      <c r="S381" t="s">
        <v>128</v>
      </c>
      <c r="T381" t="s">
        <v>181</v>
      </c>
      <c r="U381" t="s">
        <v>129</v>
      </c>
      <c r="V381" t="s">
        <v>74</v>
      </c>
      <c r="W381" s="58">
        <v>43348</v>
      </c>
      <c r="X381" s="59">
        <v>0.50694444444444442</v>
      </c>
      <c r="Y381" s="59">
        <v>0.54861111111111105</v>
      </c>
      <c r="Z381" s="59">
        <v>4.1666666666666664E-2</v>
      </c>
      <c r="AA381">
        <v>5</v>
      </c>
      <c r="AB381">
        <v>3.2147999999999999</v>
      </c>
      <c r="AC381">
        <v>23</v>
      </c>
      <c r="AD381">
        <v>9.5</v>
      </c>
      <c r="AE381" s="59">
        <v>0.50694444444444442</v>
      </c>
      <c r="AF381" s="59">
        <v>0.54791666666666672</v>
      </c>
      <c r="AG381">
        <v>14</v>
      </c>
    </row>
    <row r="382" spans="1:33" x14ac:dyDescent="0.25">
      <c r="A382" t="s">
        <v>274</v>
      </c>
      <c r="B382" t="s">
        <v>321</v>
      </c>
      <c r="C382" t="s">
        <v>322</v>
      </c>
      <c r="D382" t="s">
        <v>323</v>
      </c>
      <c r="E382" t="s">
        <v>324</v>
      </c>
      <c r="F382" t="s">
        <v>134</v>
      </c>
      <c r="H382" t="s">
        <v>184</v>
      </c>
      <c r="I382" t="s">
        <v>147</v>
      </c>
      <c r="J382" t="s">
        <v>266</v>
      </c>
      <c r="K382" t="s">
        <v>357</v>
      </c>
      <c r="L382" t="s">
        <v>358</v>
      </c>
      <c r="N382" t="s">
        <v>359</v>
      </c>
      <c r="O382" t="s">
        <v>134</v>
      </c>
      <c r="Q382" t="s">
        <v>207</v>
      </c>
      <c r="R382" t="s">
        <v>185</v>
      </c>
      <c r="S382" t="s">
        <v>128</v>
      </c>
      <c r="T382" t="s">
        <v>181</v>
      </c>
      <c r="U382" t="s">
        <v>151</v>
      </c>
      <c r="V382" t="s">
        <v>75</v>
      </c>
      <c r="W382" s="58">
        <v>43349</v>
      </c>
      <c r="X382" s="59">
        <v>0.41666666666666669</v>
      </c>
      <c r="Y382" s="59">
        <v>0.45833333333333331</v>
      </c>
      <c r="Z382" s="59">
        <v>4.1666666666666664E-2</v>
      </c>
      <c r="AA382">
        <v>0</v>
      </c>
      <c r="AC382">
        <v>20</v>
      </c>
      <c r="AD382">
        <v>9.5</v>
      </c>
      <c r="AE382" s="59">
        <v>0.41666666666666669</v>
      </c>
      <c r="AF382" s="59">
        <v>0.45763888888888887</v>
      </c>
      <c r="AG382">
        <v>14</v>
      </c>
    </row>
    <row r="383" spans="1:33" x14ac:dyDescent="0.25">
      <c r="A383" t="s">
        <v>258</v>
      </c>
      <c r="B383" t="s">
        <v>278</v>
      </c>
      <c r="C383" t="s">
        <v>279</v>
      </c>
      <c r="E383" t="s">
        <v>280</v>
      </c>
      <c r="F383" t="s">
        <v>134</v>
      </c>
      <c r="H383" t="s">
        <v>144</v>
      </c>
      <c r="I383" t="s">
        <v>133</v>
      </c>
      <c r="J383" t="s">
        <v>266</v>
      </c>
      <c r="K383" t="s">
        <v>357</v>
      </c>
      <c r="L383" t="s">
        <v>358</v>
      </c>
      <c r="N383" t="s">
        <v>359</v>
      </c>
      <c r="O383" t="s">
        <v>134</v>
      </c>
      <c r="Q383" t="s">
        <v>207</v>
      </c>
      <c r="R383" t="s">
        <v>145</v>
      </c>
      <c r="S383" t="s">
        <v>128</v>
      </c>
      <c r="T383" t="s">
        <v>181</v>
      </c>
      <c r="U383" t="s">
        <v>129</v>
      </c>
      <c r="V383" t="s">
        <v>75</v>
      </c>
      <c r="W383" s="58">
        <v>43349</v>
      </c>
      <c r="X383" s="59">
        <v>0.54166666666666663</v>
      </c>
      <c r="Y383" s="59">
        <v>0.58333333333333337</v>
      </c>
      <c r="Z383" s="59">
        <v>4.1666666666666664E-2</v>
      </c>
      <c r="AA383">
        <v>14</v>
      </c>
      <c r="AB383">
        <v>11.010199999999999</v>
      </c>
      <c r="AC383">
        <v>23</v>
      </c>
      <c r="AD383">
        <v>9.5</v>
      </c>
      <c r="AE383" s="59">
        <v>0.54166666666666663</v>
      </c>
      <c r="AF383" s="59">
        <v>0.58263888888888882</v>
      </c>
      <c r="AG383">
        <v>14</v>
      </c>
    </row>
    <row r="384" spans="1:33" x14ac:dyDescent="0.25">
      <c r="A384" t="s">
        <v>258</v>
      </c>
      <c r="B384" t="s">
        <v>342</v>
      </c>
      <c r="C384" t="s">
        <v>343</v>
      </c>
      <c r="E384" t="s">
        <v>344</v>
      </c>
      <c r="F384" t="s">
        <v>134</v>
      </c>
      <c r="H384" t="s">
        <v>197</v>
      </c>
      <c r="I384" t="s">
        <v>198</v>
      </c>
      <c r="J384" t="s">
        <v>266</v>
      </c>
      <c r="K384" t="s">
        <v>357</v>
      </c>
      <c r="L384" t="s">
        <v>358</v>
      </c>
      <c r="N384" t="s">
        <v>359</v>
      </c>
      <c r="O384" t="s">
        <v>134</v>
      </c>
      <c r="Q384" t="s">
        <v>207</v>
      </c>
      <c r="R384" t="s">
        <v>199</v>
      </c>
      <c r="S384" t="s">
        <v>128</v>
      </c>
      <c r="T384" t="s">
        <v>181</v>
      </c>
      <c r="U384" t="s">
        <v>151</v>
      </c>
      <c r="V384" t="s">
        <v>72</v>
      </c>
      <c r="W384" s="58">
        <v>43353</v>
      </c>
      <c r="X384" s="59">
        <v>0.33333333333333331</v>
      </c>
      <c r="Y384" s="59">
        <v>0.375</v>
      </c>
      <c r="Z384" s="59">
        <v>4.1666666666666664E-2</v>
      </c>
      <c r="AA384">
        <v>0</v>
      </c>
      <c r="AC384">
        <v>20</v>
      </c>
      <c r="AD384">
        <v>9.5</v>
      </c>
      <c r="AE384" s="59">
        <v>0.33333333333333331</v>
      </c>
      <c r="AF384" s="59">
        <v>0.3743055555555555</v>
      </c>
      <c r="AG384">
        <v>14</v>
      </c>
    </row>
    <row r="385" spans="1:33" x14ac:dyDescent="0.25">
      <c r="A385" t="s">
        <v>274</v>
      </c>
      <c r="B385" t="s">
        <v>334</v>
      </c>
      <c r="C385" t="s">
        <v>285</v>
      </c>
      <c r="E385" t="s">
        <v>335</v>
      </c>
      <c r="F385" t="s">
        <v>134</v>
      </c>
      <c r="H385" t="s">
        <v>192</v>
      </c>
      <c r="I385" t="s">
        <v>155</v>
      </c>
      <c r="J385" t="s">
        <v>266</v>
      </c>
      <c r="K385" t="s">
        <v>357</v>
      </c>
      <c r="L385" t="s">
        <v>358</v>
      </c>
      <c r="N385" t="s">
        <v>359</v>
      </c>
      <c r="O385" t="s">
        <v>134</v>
      </c>
      <c r="Q385" t="s">
        <v>207</v>
      </c>
      <c r="R385" t="s">
        <v>193</v>
      </c>
      <c r="S385" t="s">
        <v>128</v>
      </c>
      <c r="T385" t="s">
        <v>181</v>
      </c>
      <c r="U385" t="s">
        <v>129</v>
      </c>
      <c r="V385" t="s">
        <v>72</v>
      </c>
      <c r="W385" s="58">
        <v>43353</v>
      </c>
      <c r="X385" s="59">
        <v>0.39583333333333331</v>
      </c>
      <c r="Y385" s="59">
        <v>0.4375</v>
      </c>
      <c r="Z385" s="59">
        <v>4.1666666666666664E-2</v>
      </c>
      <c r="AA385">
        <v>4</v>
      </c>
      <c r="AB385">
        <v>2.1818</v>
      </c>
      <c r="AC385">
        <v>23</v>
      </c>
      <c r="AD385">
        <v>9.5</v>
      </c>
      <c r="AE385" s="59">
        <v>0.39583333333333331</v>
      </c>
      <c r="AF385" s="59">
        <v>0.4368055555555555</v>
      </c>
      <c r="AG385">
        <v>14</v>
      </c>
    </row>
    <row r="386" spans="1:33" x14ac:dyDescent="0.25">
      <c r="A386" t="s">
        <v>258</v>
      </c>
      <c r="B386" t="s">
        <v>290</v>
      </c>
      <c r="C386" t="s">
        <v>291</v>
      </c>
      <c r="E386" t="s">
        <v>292</v>
      </c>
      <c r="F386" t="s">
        <v>134</v>
      </c>
      <c r="H386" t="s">
        <v>154</v>
      </c>
      <c r="I386" t="s">
        <v>155</v>
      </c>
      <c r="J386" t="s">
        <v>266</v>
      </c>
      <c r="K386" t="s">
        <v>357</v>
      </c>
      <c r="L386" t="s">
        <v>358</v>
      </c>
      <c r="N386" t="s">
        <v>359</v>
      </c>
      <c r="O386" t="s">
        <v>134</v>
      </c>
      <c r="Q386" t="s">
        <v>207</v>
      </c>
      <c r="R386" t="s">
        <v>156</v>
      </c>
      <c r="S386" t="s">
        <v>128</v>
      </c>
      <c r="T386" t="s">
        <v>181</v>
      </c>
      <c r="U386" t="s">
        <v>151</v>
      </c>
      <c r="V386" t="s">
        <v>72</v>
      </c>
      <c r="W386" s="58">
        <v>43353</v>
      </c>
      <c r="X386" s="59">
        <v>0.44791666666666669</v>
      </c>
      <c r="Y386" s="59">
        <v>0.5</v>
      </c>
      <c r="Z386" s="59">
        <v>5.2083333333333336E-2</v>
      </c>
      <c r="AA386">
        <v>6</v>
      </c>
      <c r="AB386">
        <v>2.9318</v>
      </c>
      <c r="AC386">
        <v>25</v>
      </c>
      <c r="AD386">
        <v>11.875</v>
      </c>
      <c r="AE386" s="59">
        <v>0.44791666666666669</v>
      </c>
      <c r="AF386" s="59">
        <v>0.4993055555555555</v>
      </c>
      <c r="AG386">
        <v>14</v>
      </c>
    </row>
    <row r="387" spans="1:33" x14ac:dyDescent="0.25">
      <c r="A387" t="s">
        <v>258</v>
      </c>
      <c r="B387" t="s">
        <v>310</v>
      </c>
      <c r="C387" t="s">
        <v>311</v>
      </c>
      <c r="D387" t="s">
        <v>312</v>
      </c>
      <c r="E387" t="s">
        <v>313</v>
      </c>
      <c r="F387" t="s">
        <v>134</v>
      </c>
      <c r="H387" t="s">
        <v>175</v>
      </c>
      <c r="I387" t="s">
        <v>127</v>
      </c>
      <c r="J387" t="s">
        <v>266</v>
      </c>
      <c r="K387" t="s">
        <v>357</v>
      </c>
      <c r="L387" t="s">
        <v>358</v>
      </c>
      <c r="N387" t="s">
        <v>359</v>
      </c>
      <c r="O387" t="s">
        <v>134</v>
      </c>
      <c r="Q387" t="s">
        <v>207</v>
      </c>
      <c r="R387" t="s">
        <v>176</v>
      </c>
      <c r="S387" t="s">
        <v>128</v>
      </c>
      <c r="T387" t="s">
        <v>181</v>
      </c>
      <c r="U387" t="s">
        <v>151</v>
      </c>
      <c r="V387" t="s">
        <v>72</v>
      </c>
      <c r="W387" s="58">
        <v>43353</v>
      </c>
      <c r="X387" s="59">
        <v>0.51041666666666663</v>
      </c>
      <c r="Y387" s="59">
        <v>0.63541666666666663</v>
      </c>
      <c r="Z387" s="59">
        <v>0.125</v>
      </c>
      <c r="AA387">
        <v>8</v>
      </c>
      <c r="AB387">
        <v>4.7805999999999997</v>
      </c>
      <c r="AC387">
        <v>60</v>
      </c>
      <c r="AD387">
        <v>28.5</v>
      </c>
      <c r="AE387" s="59">
        <v>0.51041666666666663</v>
      </c>
      <c r="AF387" s="59">
        <v>0.63472222222222219</v>
      </c>
      <c r="AG387">
        <v>14</v>
      </c>
    </row>
    <row r="388" spans="1:33" x14ac:dyDescent="0.25">
      <c r="A388" t="s">
        <v>258</v>
      </c>
      <c r="B388" t="s">
        <v>281</v>
      </c>
      <c r="C388" t="s">
        <v>282</v>
      </c>
      <c r="E388" t="s">
        <v>283</v>
      </c>
      <c r="F388" t="s">
        <v>134</v>
      </c>
      <c r="G388" t="s">
        <v>218</v>
      </c>
      <c r="H388" t="s">
        <v>146</v>
      </c>
      <c r="I388" t="s">
        <v>147</v>
      </c>
      <c r="J388" t="s">
        <v>266</v>
      </c>
      <c r="K388" t="s">
        <v>357</v>
      </c>
      <c r="L388" t="s">
        <v>358</v>
      </c>
      <c r="N388" t="s">
        <v>359</v>
      </c>
      <c r="O388" t="s">
        <v>134</v>
      </c>
      <c r="Q388" t="s">
        <v>207</v>
      </c>
      <c r="R388" t="s">
        <v>148</v>
      </c>
      <c r="S388" t="s">
        <v>128</v>
      </c>
      <c r="T388" t="s">
        <v>181</v>
      </c>
      <c r="U388" t="s">
        <v>129</v>
      </c>
      <c r="V388" t="s">
        <v>72</v>
      </c>
      <c r="W388" s="58">
        <v>43353</v>
      </c>
      <c r="X388" s="59">
        <v>0.75</v>
      </c>
      <c r="Y388" s="59">
        <v>0.79166666666666663</v>
      </c>
      <c r="Z388" s="59">
        <v>4.1666666666666664E-2</v>
      </c>
      <c r="AA388">
        <v>4</v>
      </c>
      <c r="AB388">
        <v>3.1909999999999998</v>
      </c>
      <c r="AC388">
        <v>23</v>
      </c>
      <c r="AD388">
        <v>9.5</v>
      </c>
      <c r="AE388" s="59">
        <v>0.75</v>
      </c>
      <c r="AF388" s="59">
        <v>0.7909722222222223</v>
      </c>
      <c r="AG388">
        <v>14</v>
      </c>
    </row>
    <row r="389" spans="1:33" x14ac:dyDescent="0.25">
      <c r="A389" t="s">
        <v>274</v>
      </c>
      <c r="B389" t="s">
        <v>321</v>
      </c>
      <c r="C389" t="s">
        <v>322</v>
      </c>
      <c r="D389" t="s">
        <v>323</v>
      </c>
      <c r="E389" t="s">
        <v>324</v>
      </c>
      <c r="F389" t="s">
        <v>134</v>
      </c>
      <c r="H389" t="s">
        <v>184</v>
      </c>
      <c r="I389" t="s">
        <v>147</v>
      </c>
      <c r="J389" t="s">
        <v>266</v>
      </c>
      <c r="K389" t="s">
        <v>357</v>
      </c>
      <c r="L389" t="s">
        <v>358</v>
      </c>
      <c r="N389" t="s">
        <v>359</v>
      </c>
      <c r="O389" t="s">
        <v>134</v>
      </c>
      <c r="Q389" t="s">
        <v>207</v>
      </c>
      <c r="R389" t="s">
        <v>185</v>
      </c>
      <c r="S389" t="s">
        <v>128</v>
      </c>
      <c r="T389" t="s">
        <v>181</v>
      </c>
      <c r="U389" t="s">
        <v>151</v>
      </c>
      <c r="V389" t="s">
        <v>72</v>
      </c>
      <c r="W389" s="58">
        <v>43353</v>
      </c>
      <c r="X389" s="59">
        <v>0.8125</v>
      </c>
      <c r="Y389" s="59">
        <v>0.84375</v>
      </c>
      <c r="Z389" s="59">
        <v>3.125E-2</v>
      </c>
      <c r="AA389">
        <v>3</v>
      </c>
      <c r="AB389">
        <v>1.9272</v>
      </c>
      <c r="AC389">
        <v>15</v>
      </c>
      <c r="AD389">
        <v>7.125</v>
      </c>
      <c r="AE389" s="59">
        <v>0.8125</v>
      </c>
      <c r="AF389" s="59">
        <v>0.84305555555555556</v>
      </c>
      <c r="AG389">
        <v>14</v>
      </c>
    </row>
    <row r="390" spans="1:33" x14ac:dyDescent="0.25">
      <c r="A390" t="s">
        <v>258</v>
      </c>
      <c r="B390" t="s">
        <v>325</v>
      </c>
      <c r="C390" t="s">
        <v>326</v>
      </c>
      <c r="E390" t="s">
        <v>327</v>
      </c>
      <c r="F390" t="s">
        <v>134</v>
      </c>
      <c r="H390" t="s">
        <v>182</v>
      </c>
      <c r="I390" t="s">
        <v>147</v>
      </c>
      <c r="J390" t="s">
        <v>266</v>
      </c>
      <c r="K390" t="s">
        <v>357</v>
      </c>
      <c r="L390" t="s">
        <v>358</v>
      </c>
      <c r="N390" t="s">
        <v>359</v>
      </c>
      <c r="O390" t="s">
        <v>134</v>
      </c>
      <c r="Q390" t="s">
        <v>207</v>
      </c>
      <c r="R390" t="s">
        <v>183</v>
      </c>
      <c r="S390" t="s">
        <v>128</v>
      </c>
      <c r="T390" t="s">
        <v>181</v>
      </c>
      <c r="U390" t="s">
        <v>129</v>
      </c>
      <c r="V390" t="s">
        <v>74</v>
      </c>
      <c r="W390" s="58">
        <v>43355</v>
      </c>
      <c r="X390" s="59">
        <v>0.36458333333333331</v>
      </c>
      <c r="Y390" s="59">
        <v>0.40625</v>
      </c>
      <c r="Z390" s="59">
        <v>4.1666666666666664E-2</v>
      </c>
      <c r="AA390">
        <v>0</v>
      </c>
      <c r="AC390">
        <v>23</v>
      </c>
      <c r="AD390">
        <v>9.5</v>
      </c>
      <c r="AE390" s="59">
        <v>0.36458333333333331</v>
      </c>
      <c r="AF390" s="59">
        <v>0.4055555555555555</v>
      </c>
      <c r="AG390">
        <v>14</v>
      </c>
    </row>
    <row r="391" spans="1:33" x14ac:dyDescent="0.25">
      <c r="A391" t="s">
        <v>274</v>
      </c>
      <c r="B391" t="s">
        <v>321</v>
      </c>
      <c r="C391" t="s">
        <v>322</v>
      </c>
      <c r="D391" t="s">
        <v>323</v>
      </c>
      <c r="E391" t="s">
        <v>324</v>
      </c>
      <c r="F391" t="s">
        <v>134</v>
      </c>
      <c r="H391" t="s">
        <v>184</v>
      </c>
      <c r="I391" t="s">
        <v>147</v>
      </c>
      <c r="J391" t="s">
        <v>266</v>
      </c>
      <c r="K391" t="s">
        <v>357</v>
      </c>
      <c r="L391" t="s">
        <v>358</v>
      </c>
      <c r="N391" t="s">
        <v>359</v>
      </c>
      <c r="O391" t="s">
        <v>134</v>
      </c>
      <c r="Q391" t="s">
        <v>207</v>
      </c>
      <c r="R391" t="s">
        <v>185</v>
      </c>
      <c r="S391" t="s">
        <v>128</v>
      </c>
      <c r="T391" t="s">
        <v>181</v>
      </c>
      <c r="U391" t="s">
        <v>151</v>
      </c>
      <c r="V391" t="s">
        <v>74</v>
      </c>
      <c r="W391" s="58">
        <v>43355</v>
      </c>
      <c r="X391" s="59">
        <v>0.41666666666666669</v>
      </c>
      <c r="Y391" s="59">
        <v>0.45833333333333331</v>
      </c>
      <c r="Z391" s="59">
        <v>4.1666666666666664E-2</v>
      </c>
      <c r="AA391">
        <v>4</v>
      </c>
      <c r="AB391">
        <v>2.2181999999999999</v>
      </c>
      <c r="AC391">
        <v>20</v>
      </c>
      <c r="AD391">
        <v>9.5</v>
      </c>
      <c r="AE391" s="59">
        <v>0.41666666666666669</v>
      </c>
      <c r="AF391" s="59">
        <v>0.45763888888888887</v>
      </c>
      <c r="AG391">
        <v>14</v>
      </c>
    </row>
    <row r="392" spans="1:33" x14ac:dyDescent="0.25">
      <c r="A392" t="s">
        <v>258</v>
      </c>
      <c r="B392" t="s">
        <v>325</v>
      </c>
      <c r="C392" t="s">
        <v>326</v>
      </c>
      <c r="E392" t="s">
        <v>327</v>
      </c>
      <c r="F392" t="s">
        <v>134</v>
      </c>
      <c r="H392" t="s">
        <v>182</v>
      </c>
      <c r="I392" t="s">
        <v>147</v>
      </c>
      <c r="J392" t="s">
        <v>266</v>
      </c>
      <c r="K392" t="s">
        <v>357</v>
      </c>
      <c r="L392" t="s">
        <v>358</v>
      </c>
      <c r="N392" t="s">
        <v>359</v>
      </c>
      <c r="O392" t="s">
        <v>134</v>
      </c>
      <c r="Q392" t="s">
        <v>207</v>
      </c>
      <c r="R392" t="s">
        <v>183</v>
      </c>
      <c r="S392" t="s">
        <v>128</v>
      </c>
      <c r="T392" t="s">
        <v>181</v>
      </c>
      <c r="U392" t="s">
        <v>129</v>
      </c>
      <c r="V392" t="s">
        <v>74</v>
      </c>
      <c r="W392" s="58">
        <v>43355</v>
      </c>
      <c r="X392" s="59">
        <v>0.5</v>
      </c>
      <c r="Y392" s="59">
        <v>0.54166666666666663</v>
      </c>
      <c r="Z392" s="59">
        <v>4.1666666666666664E-2</v>
      </c>
      <c r="AA392">
        <v>4</v>
      </c>
      <c r="AB392">
        <v>2.2181999999999999</v>
      </c>
      <c r="AC392">
        <v>23</v>
      </c>
      <c r="AD392">
        <v>9.5</v>
      </c>
      <c r="AE392" s="59">
        <v>0.5</v>
      </c>
      <c r="AF392" s="59">
        <v>0.54097222222222219</v>
      </c>
      <c r="AG392">
        <v>14</v>
      </c>
    </row>
    <row r="393" spans="1:33" x14ac:dyDescent="0.25">
      <c r="B393" t="s">
        <v>307</v>
      </c>
      <c r="C393" t="s">
        <v>308</v>
      </c>
      <c r="D393" t="s">
        <v>309</v>
      </c>
      <c r="E393" t="s">
        <v>134</v>
      </c>
      <c r="H393" t="s">
        <v>171</v>
      </c>
      <c r="I393" t="s">
        <v>169</v>
      </c>
      <c r="J393" t="s">
        <v>266</v>
      </c>
      <c r="K393" t="s">
        <v>357</v>
      </c>
      <c r="L393" t="s">
        <v>358</v>
      </c>
      <c r="N393" t="s">
        <v>359</v>
      </c>
      <c r="O393" t="s">
        <v>134</v>
      </c>
      <c r="Q393" t="s">
        <v>207</v>
      </c>
      <c r="R393" t="s">
        <v>172</v>
      </c>
      <c r="S393" t="s">
        <v>128</v>
      </c>
      <c r="T393" t="s">
        <v>181</v>
      </c>
      <c r="U393" t="s">
        <v>129</v>
      </c>
      <c r="V393" t="s">
        <v>74</v>
      </c>
      <c r="W393" s="58">
        <v>43355</v>
      </c>
      <c r="X393" s="59">
        <v>0.66666666666666663</v>
      </c>
      <c r="Y393" s="59">
        <v>0.70833333333333337</v>
      </c>
      <c r="Z393" s="59">
        <v>4.1666666666666664E-2</v>
      </c>
      <c r="AA393">
        <v>0</v>
      </c>
      <c r="AC393">
        <v>23</v>
      </c>
      <c r="AD393">
        <v>9.5</v>
      </c>
      <c r="AE393" s="59">
        <v>0.66666666666666663</v>
      </c>
      <c r="AF393" s="59">
        <v>0.70763888888888893</v>
      </c>
      <c r="AG393">
        <v>14</v>
      </c>
    </row>
    <row r="394" spans="1:33" x14ac:dyDescent="0.25">
      <c r="A394" t="s">
        <v>258</v>
      </c>
      <c r="B394" t="s">
        <v>278</v>
      </c>
      <c r="C394" t="s">
        <v>279</v>
      </c>
      <c r="E394" t="s">
        <v>280</v>
      </c>
      <c r="F394" t="s">
        <v>134</v>
      </c>
      <c r="H394" t="s">
        <v>144</v>
      </c>
      <c r="I394" t="s">
        <v>133</v>
      </c>
      <c r="J394" t="s">
        <v>266</v>
      </c>
      <c r="K394" t="s">
        <v>357</v>
      </c>
      <c r="L394" t="s">
        <v>358</v>
      </c>
      <c r="N394" t="s">
        <v>359</v>
      </c>
      <c r="O394" t="s">
        <v>134</v>
      </c>
      <c r="Q394" t="s">
        <v>207</v>
      </c>
      <c r="R394" t="s">
        <v>145</v>
      </c>
      <c r="S394" t="s">
        <v>128</v>
      </c>
      <c r="T394" t="s">
        <v>181</v>
      </c>
      <c r="U394" t="s">
        <v>129</v>
      </c>
      <c r="V394" t="s">
        <v>75</v>
      </c>
      <c r="W394" s="58">
        <v>43356</v>
      </c>
      <c r="X394" s="59">
        <v>0.39583333333333331</v>
      </c>
      <c r="Y394" s="59">
        <v>0.4375</v>
      </c>
      <c r="Z394" s="59">
        <v>4.1666666666666664E-2</v>
      </c>
      <c r="AA394">
        <v>0</v>
      </c>
      <c r="AC394">
        <v>23</v>
      </c>
      <c r="AD394">
        <v>9.5</v>
      </c>
      <c r="AE394" s="59">
        <v>0.39583333333333331</v>
      </c>
      <c r="AF394" s="59">
        <v>0.4368055555555555</v>
      </c>
      <c r="AG394">
        <v>14</v>
      </c>
    </row>
    <row r="395" spans="1:33" x14ac:dyDescent="0.25">
      <c r="A395" t="s">
        <v>258</v>
      </c>
      <c r="B395" t="s">
        <v>278</v>
      </c>
      <c r="C395" t="s">
        <v>279</v>
      </c>
      <c r="E395" t="s">
        <v>280</v>
      </c>
      <c r="F395" t="s">
        <v>134</v>
      </c>
      <c r="H395" t="s">
        <v>144</v>
      </c>
      <c r="I395" t="s">
        <v>133</v>
      </c>
      <c r="J395" t="s">
        <v>266</v>
      </c>
      <c r="K395" t="s">
        <v>357</v>
      </c>
      <c r="L395" t="s">
        <v>358</v>
      </c>
      <c r="N395" t="s">
        <v>359</v>
      </c>
      <c r="O395" t="s">
        <v>134</v>
      </c>
      <c r="Q395" t="s">
        <v>207</v>
      </c>
      <c r="R395" t="s">
        <v>145</v>
      </c>
      <c r="S395" t="s">
        <v>128</v>
      </c>
      <c r="T395" t="s">
        <v>181</v>
      </c>
      <c r="U395" t="s">
        <v>129</v>
      </c>
      <c r="V395" t="s">
        <v>75</v>
      </c>
      <c r="W395" s="58">
        <v>43356</v>
      </c>
      <c r="X395" s="59">
        <v>0.52083333333333337</v>
      </c>
      <c r="Y395" s="59">
        <v>0.5625</v>
      </c>
      <c r="Z395" s="59">
        <v>4.1666666666666664E-2</v>
      </c>
      <c r="AA395">
        <v>0</v>
      </c>
      <c r="AB395">
        <v>0</v>
      </c>
      <c r="AC395">
        <v>23</v>
      </c>
      <c r="AD395">
        <v>9.5</v>
      </c>
      <c r="AE395" s="59">
        <v>0.52083333333333337</v>
      </c>
      <c r="AF395" s="59">
        <v>0.56180555555555556</v>
      </c>
      <c r="AG395">
        <v>14</v>
      </c>
    </row>
    <row r="396" spans="1:33" x14ac:dyDescent="0.25">
      <c r="A396" t="s">
        <v>274</v>
      </c>
      <c r="B396" t="s">
        <v>321</v>
      </c>
      <c r="C396" t="s">
        <v>322</v>
      </c>
      <c r="D396" t="s">
        <v>323</v>
      </c>
      <c r="E396" t="s">
        <v>324</v>
      </c>
      <c r="F396" t="s">
        <v>134</v>
      </c>
      <c r="H396" t="s">
        <v>184</v>
      </c>
      <c r="I396" t="s">
        <v>147</v>
      </c>
      <c r="J396" t="s">
        <v>266</v>
      </c>
      <c r="K396" t="s">
        <v>357</v>
      </c>
      <c r="L396" t="s">
        <v>358</v>
      </c>
      <c r="N396" t="s">
        <v>359</v>
      </c>
      <c r="O396" t="s">
        <v>134</v>
      </c>
      <c r="Q396" t="s">
        <v>207</v>
      </c>
      <c r="R396" t="s">
        <v>185</v>
      </c>
      <c r="S396" t="s">
        <v>128</v>
      </c>
      <c r="T396" t="s">
        <v>181</v>
      </c>
      <c r="U396" t="s">
        <v>151</v>
      </c>
      <c r="V396" t="s">
        <v>75</v>
      </c>
      <c r="W396" s="58">
        <v>43356</v>
      </c>
      <c r="X396" s="59">
        <v>0.8125</v>
      </c>
      <c r="Y396" s="59">
        <v>0.84375</v>
      </c>
      <c r="Z396" s="59">
        <v>3.125E-2</v>
      </c>
      <c r="AA396">
        <v>0</v>
      </c>
      <c r="AC396">
        <v>15</v>
      </c>
      <c r="AD396">
        <v>7.125</v>
      </c>
      <c r="AE396" s="59">
        <v>0.8125</v>
      </c>
      <c r="AF396" s="59">
        <v>0.84305555555555556</v>
      </c>
      <c r="AG396">
        <v>14</v>
      </c>
    </row>
    <row r="397" spans="1:33" x14ac:dyDescent="0.25">
      <c r="B397" t="s">
        <v>307</v>
      </c>
      <c r="C397" t="s">
        <v>308</v>
      </c>
      <c r="D397" t="s">
        <v>309</v>
      </c>
      <c r="E397" t="s">
        <v>134</v>
      </c>
      <c r="H397" t="s">
        <v>171</v>
      </c>
      <c r="I397" t="s">
        <v>169</v>
      </c>
      <c r="J397" t="s">
        <v>258</v>
      </c>
      <c r="K397" t="s">
        <v>360</v>
      </c>
      <c r="L397" t="s">
        <v>358</v>
      </c>
      <c r="N397" t="s">
        <v>361</v>
      </c>
      <c r="O397" t="s">
        <v>134</v>
      </c>
      <c r="Q397" t="s">
        <v>208</v>
      </c>
      <c r="R397" t="s">
        <v>172</v>
      </c>
      <c r="S397" t="s">
        <v>128</v>
      </c>
      <c r="T397" t="s">
        <v>181</v>
      </c>
      <c r="U397" t="s">
        <v>129</v>
      </c>
      <c r="V397" t="s">
        <v>72</v>
      </c>
      <c r="W397" s="58">
        <v>43311</v>
      </c>
      <c r="X397" s="59">
        <v>0.32777777777777778</v>
      </c>
      <c r="Y397" s="59">
        <v>0.36944444444444446</v>
      </c>
      <c r="Z397" s="59">
        <v>4.1666666666666664E-2</v>
      </c>
      <c r="AA397">
        <v>0</v>
      </c>
      <c r="AC397">
        <v>23</v>
      </c>
      <c r="AD397">
        <v>9</v>
      </c>
      <c r="AE397" s="59">
        <v>0.32777777777777778</v>
      </c>
      <c r="AF397" s="59">
        <v>0.36874999999999997</v>
      </c>
      <c r="AG397">
        <v>37.5</v>
      </c>
    </row>
    <row r="398" spans="1:33" x14ac:dyDescent="0.25">
      <c r="A398" t="s">
        <v>274</v>
      </c>
      <c r="B398" t="s">
        <v>336</v>
      </c>
      <c r="C398" t="s">
        <v>337</v>
      </c>
      <c r="E398" t="s">
        <v>338</v>
      </c>
      <c r="F398" t="s">
        <v>134</v>
      </c>
      <c r="H398" t="s">
        <v>186</v>
      </c>
      <c r="I398" t="s">
        <v>147</v>
      </c>
      <c r="J398" t="s">
        <v>258</v>
      </c>
      <c r="K398" t="s">
        <v>360</v>
      </c>
      <c r="L398" t="s">
        <v>358</v>
      </c>
      <c r="N398" t="s">
        <v>361</v>
      </c>
      <c r="O398" t="s">
        <v>134</v>
      </c>
      <c r="Q398" t="s">
        <v>208</v>
      </c>
      <c r="R398" t="s">
        <v>187</v>
      </c>
      <c r="S398" t="s">
        <v>128</v>
      </c>
      <c r="T398" t="s">
        <v>181</v>
      </c>
      <c r="U398" t="s">
        <v>151</v>
      </c>
      <c r="V398" t="s">
        <v>72</v>
      </c>
      <c r="W398" s="58">
        <v>43311</v>
      </c>
      <c r="X398" s="59">
        <v>0.38194444444444442</v>
      </c>
      <c r="Y398" s="59">
        <v>0.4236111111111111</v>
      </c>
      <c r="Z398" s="59">
        <v>4.1666666666666664E-2</v>
      </c>
      <c r="AA398">
        <v>0</v>
      </c>
      <c r="AB398">
        <v>3.9363999999999999</v>
      </c>
      <c r="AC398">
        <v>20</v>
      </c>
      <c r="AD398">
        <v>9</v>
      </c>
      <c r="AE398" s="59">
        <v>0.38194444444444442</v>
      </c>
      <c r="AF398" s="59">
        <v>0.42291666666666666</v>
      </c>
      <c r="AG398">
        <v>37.5</v>
      </c>
    </row>
    <row r="399" spans="1:33" x14ac:dyDescent="0.25">
      <c r="B399" t="s">
        <v>307</v>
      </c>
      <c r="C399" t="s">
        <v>308</v>
      </c>
      <c r="D399" t="s">
        <v>309</v>
      </c>
      <c r="E399" t="s">
        <v>134</v>
      </c>
      <c r="H399" t="s">
        <v>171</v>
      </c>
      <c r="I399" t="s">
        <v>169</v>
      </c>
      <c r="J399" t="s">
        <v>258</v>
      </c>
      <c r="K399" t="s">
        <v>360</v>
      </c>
      <c r="L399" t="s">
        <v>358</v>
      </c>
      <c r="N399" t="s">
        <v>361</v>
      </c>
      <c r="O399" t="s">
        <v>134</v>
      </c>
      <c r="Q399" t="s">
        <v>208</v>
      </c>
      <c r="R399" t="s">
        <v>172</v>
      </c>
      <c r="S399" t="s">
        <v>128</v>
      </c>
      <c r="T399" t="s">
        <v>181</v>
      </c>
      <c r="U399" t="s">
        <v>129</v>
      </c>
      <c r="V399" t="s">
        <v>72</v>
      </c>
      <c r="W399" s="58">
        <v>43311</v>
      </c>
      <c r="X399" s="59">
        <v>0.4375</v>
      </c>
      <c r="Y399" s="59">
        <v>0.52083333333333337</v>
      </c>
      <c r="Z399" s="59">
        <v>8.3333333333333329E-2</v>
      </c>
      <c r="AA399">
        <v>0</v>
      </c>
      <c r="AB399">
        <v>4.6454000000000004</v>
      </c>
      <c r="AC399">
        <v>46</v>
      </c>
      <c r="AD399">
        <v>18</v>
      </c>
      <c r="AE399" s="59">
        <v>0.4375</v>
      </c>
      <c r="AF399" s="59">
        <v>0.52013888888888882</v>
      </c>
      <c r="AG399">
        <v>37.5</v>
      </c>
    </row>
    <row r="400" spans="1:33" x14ac:dyDescent="0.25">
      <c r="A400" t="s">
        <v>258</v>
      </c>
      <c r="B400" t="s">
        <v>270</v>
      </c>
      <c r="C400" t="s">
        <v>271</v>
      </c>
      <c r="D400" t="s">
        <v>272</v>
      </c>
      <c r="E400" t="s">
        <v>273</v>
      </c>
      <c r="F400" t="s">
        <v>134</v>
      </c>
      <c r="H400" t="s">
        <v>138</v>
      </c>
      <c r="I400" t="s">
        <v>139</v>
      </c>
      <c r="J400" t="s">
        <v>258</v>
      </c>
      <c r="K400" t="s">
        <v>360</v>
      </c>
      <c r="L400" t="s">
        <v>358</v>
      </c>
      <c r="N400" t="s">
        <v>361</v>
      </c>
      <c r="O400" t="s">
        <v>134</v>
      </c>
      <c r="Q400" t="s">
        <v>208</v>
      </c>
      <c r="R400" t="s">
        <v>140</v>
      </c>
      <c r="S400" t="s">
        <v>128</v>
      </c>
      <c r="T400" t="s">
        <v>181</v>
      </c>
      <c r="U400" t="s">
        <v>129</v>
      </c>
      <c r="V400" t="s">
        <v>73</v>
      </c>
      <c r="W400" s="58">
        <v>43312</v>
      </c>
      <c r="X400" s="59">
        <v>0.33333333333333331</v>
      </c>
      <c r="Y400" s="59">
        <v>0.375</v>
      </c>
      <c r="Z400" s="59">
        <v>4.1666666666666664E-2</v>
      </c>
      <c r="AA400">
        <v>0</v>
      </c>
      <c r="AC400">
        <v>23</v>
      </c>
      <c r="AD400">
        <v>9</v>
      </c>
      <c r="AE400" s="59">
        <v>0.33333333333333331</v>
      </c>
      <c r="AF400" s="59">
        <v>0.3743055555555555</v>
      </c>
      <c r="AG400">
        <v>37.5</v>
      </c>
    </row>
    <row r="401" spans="1:33" x14ac:dyDescent="0.25">
      <c r="A401" t="s">
        <v>274</v>
      </c>
      <c r="B401" t="s">
        <v>275</v>
      </c>
      <c r="C401" t="s">
        <v>276</v>
      </c>
      <c r="E401" t="s">
        <v>277</v>
      </c>
      <c r="F401" t="s">
        <v>134</v>
      </c>
      <c r="H401" t="s">
        <v>141</v>
      </c>
      <c r="I401" t="s">
        <v>142</v>
      </c>
      <c r="J401" t="s">
        <v>258</v>
      </c>
      <c r="K401" t="s">
        <v>360</v>
      </c>
      <c r="L401" t="s">
        <v>358</v>
      </c>
      <c r="N401" t="s">
        <v>361</v>
      </c>
      <c r="O401" t="s">
        <v>134</v>
      </c>
      <c r="Q401" t="s">
        <v>208</v>
      </c>
      <c r="R401" t="s">
        <v>143</v>
      </c>
      <c r="S401" t="s">
        <v>128</v>
      </c>
      <c r="T401" t="s">
        <v>181</v>
      </c>
      <c r="U401" t="s">
        <v>129</v>
      </c>
      <c r="V401" t="s">
        <v>73</v>
      </c>
      <c r="W401" s="58">
        <v>43312</v>
      </c>
      <c r="X401" s="59">
        <v>0.3888888888888889</v>
      </c>
      <c r="Y401" s="59">
        <v>0.43055555555555558</v>
      </c>
      <c r="Z401" s="59">
        <v>4.1666666666666664E-2</v>
      </c>
      <c r="AA401">
        <v>0</v>
      </c>
      <c r="AB401">
        <v>0.9</v>
      </c>
      <c r="AC401">
        <v>23</v>
      </c>
      <c r="AD401">
        <v>9</v>
      </c>
      <c r="AE401" s="59">
        <v>0.3888888888888889</v>
      </c>
      <c r="AF401" s="59">
        <v>0.42986111111111108</v>
      </c>
      <c r="AG401">
        <v>37.5</v>
      </c>
    </row>
    <row r="402" spans="1:33" x14ac:dyDescent="0.25">
      <c r="A402" t="s">
        <v>274</v>
      </c>
      <c r="B402" t="s">
        <v>336</v>
      </c>
      <c r="C402" t="s">
        <v>337</v>
      </c>
      <c r="E402" t="s">
        <v>338</v>
      </c>
      <c r="F402" t="s">
        <v>134</v>
      </c>
      <c r="H402" t="s">
        <v>186</v>
      </c>
      <c r="I402" t="s">
        <v>147</v>
      </c>
      <c r="J402" t="s">
        <v>258</v>
      </c>
      <c r="K402" t="s">
        <v>360</v>
      </c>
      <c r="L402" t="s">
        <v>358</v>
      </c>
      <c r="N402" t="s">
        <v>361</v>
      </c>
      <c r="O402" t="s">
        <v>134</v>
      </c>
      <c r="Q402" t="s">
        <v>208</v>
      </c>
      <c r="R402" t="s">
        <v>187</v>
      </c>
      <c r="S402" t="s">
        <v>128</v>
      </c>
      <c r="T402" t="s">
        <v>181</v>
      </c>
      <c r="U402" t="s">
        <v>151</v>
      </c>
      <c r="V402" t="s">
        <v>73</v>
      </c>
      <c r="W402" s="58">
        <v>43312</v>
      </c>
      <c r="X402" s="59">
        <v>0.46875</v>
      </c>
      <c r="Y402" s="59">
        <v>0.55208333333333337</v>
      </c>
      <c r="Z402" s="59">
        <v>8.3333333333333329E-2</v>
      </c>
      <c r="AA402">
        <v>0</v>
      </c>
      <c r="AB402">
        <v>9.141</v>
      </c>
      <c r="AC402">
        <v>40</v>
      </c>
      <c r="AD402">
        <v>18</v>
      </c>
      <c r="AE402" s="59">
        <v>0.46875</v>
      </c>
      <c r="AF402" s="59">
        <v>0.55138888888888882</v>
      </c>
      <c r="AG402">
        <v>37.5</v>
      </c>
    </row>
    <row r="403" spans="1:33" x14ac:dyDescent="0.25">
      <c r="A403" t="s">
        <v>274</v>
      </c>
      <c r="B403" t="s">
        <v>275</v>
      </c>
      <c r="C403" t="s">
        <v>276</v>
      </c>
      <c r="E403" t="s">
        <v>277</v>
      </c>
      <c r="F403" t="s">
        <v>134</v>
      </c>
      <c r="H403" t="s">
        <v>141</v>
      </c>
      <c r="I403" t="s">
        <v>142</v>
      </c>
      <c r="J403" t="s">
        <v>258</v>
      </c>
      <c r="K403" t="s">
        <v>360</v>
      </c>
      <c r="L403" t="s">
        <v>358</v>
      </c>
      <c r="N403" t="s">
        <v>361</v>
      </c>
      <c r="O403" t="s">
        <v>134</v>
      </c>
      <c r="Q403" t="s">
        <v>208</v>
      </c>
      <c r="R403" t="s">
        <v>143</v>
      </c>
      <c r="S403" t="s">
        <v>128</v>
      </c>
      <c r="T403" t="s">
        <v>181</v>
      </c>
      <c r="U403" t="s">
        <v>129</v>
      </c>
      <c r="V403" t="s">
        <v>73</v>
      </c>
      <c r="W403" s="58">
        <v>43312</v>
      </c>
      <c r="X403" s="59">
        <v>0.65625</v>
      </c>
      <c r="Y403" s="59">
        <v>0.73958333333333337</v>
      </c>
      <c r="Z403" s="59">
        <v>8.3333333333333329E-2</v>
      </c>
      <c r="AA403">
        <v>0</v>
      </c>
      <c r="AB403">
        <v>9.1522000000000006</v>
      </c>
      <c r="AC403">
        <v>46</v>
      </c>
      <c r="AD403">
        <v>18</v>
      </c>
      <c r="AE403" s="59">
        <v>0.65625</v>
      </c>
      <c r="AF403" s="59">
        <v>0.73888888888888893</v>
      </c>
      <c r="AG403">
        <v>37.5</v>
      </c>
    </row>
    <row r="404" spans="1:33" x14ac:dyDescent="0.25">
      <c r="A404" t="s">
        <v>258</v>
      </c>
      <c r="B404" t="s">
        <v>270</v>
      </c>
      <c r="C404" t="s">
        <v>271</v>
      </c>
      <c r="D404" t="s">
        <v>272</v>
      </c>
      <c r="E404" t="s">
        <v>273</v>
      </c>
      <c r="F404" t="s">
        <v>134</v>
      </c>
      <c r="H404" t="s">
        <v>138</v>
      </c>
      <c r="I404" t="s">
        <v>139</v>
      </c>
      <c r="J404" t="s">
        <v>258</v>
      </c>
      <c r="K404" t="s">
        <v>360</v>
      </c>
      <c r="L404" t="s">
        <v>358</v>
      </c>
      <c r="N404" t="s">
        <v>361</v>
      </c>
      <c r="O404" t="s">
        <v>134</v>
      </c>
      <c r="Q404" t="s">
        <v>208</v>
      </c>
      <c r="R404" t="s">
        <v>140</v>
      </c>
      <c r="S404" t="s">
        <v>128</v>
      </c>
      <c r="T404" t="s">
        <v>181</v>
      </c>
      <c r="U404" t="s">
        <v>129</v>
      </c>
      <c r="V404" t="s">
        <v>73</v>
      </c>
      <c r="W404" s="58">
        <v>43312</v>
      </c>
      <c r="X404" s="59">
        <v>0.76041666666666663</v>
      </c>
      <c r="Y404" s="59">
        <v>0.80208333333333337</v>
      </c>
      <c r="Z404" s="59">
        <v>4.1666666666666664E-2</v>
      </c>
      <c r="AA404">
        <v>0</v>
      </c>
      <c r="AB404">
        <v>0.9</v>
      </c>
      <c r="AC404">
        <v>23</v>
      </c>
      <c r="AD404">
        <v>9</v>
      </c>
      <c r="AE404" s="59">
        <v>0.76041666666666663</v>
      </c>
      <c r="AF404" s="59">
        <v>0.80138888888888893</v>
      </c>
      <c r="AG404">
        <v>37.5</v>
      </c>
    </row>
    <row r="405" spans="1:33" x14ac:dyDescent="0.25">
      <c r="A405" t="s">
        <v>274</v>
      </c>
      <c r="B405" t="s">
        <v>321</v>
      </c>
      <c r="C405" t="s">
        <v>322</v>
      </c>
      <c r="D405" t="s">
        <v>323</v>
      </c>
      <c r="E405" t="s">
        <v>324</v>
      </c>
      <c r="F405" t="s">
        <v>134</v>
      </c>
      <c r="H405" t="s">
        <v>184</v>
      </c>
      <c r="I405" t="s">
        <v>147</v>
      </c>
      <c r="J405" t="s">
        <v>258</v>
      </c>
      <c r="K405" t="s">
        <v>360</v>
      </c>
      <c r="L405" t="s">
        <v>358</v>
      </c>
      <c r="N405" t="s">
        <v>361</v>
      </c>
      <c r="O405" t="s">
        <v>134</v>
      </c>
      <c r="Q405" t="s">
        <v>208</v>
      </c>
      <c r="R405" t="s">
        <v>185</v>
      </c>
      <c r="S405" t="s">
        <v>128</v>
      </c>
      <c r="T405" t="s">
        <v>181</v>
      </c>
      <c r="U405" t="s">
        <v>151</v>
      </c>
      <c r="V405" t="s">
        <v>73</v>
      </c>
      <c r="W405" s="58">
        <v>43312</v>
      </c>
      <c r="X405" s="59">
        <v>0.82013888888888886</v>
      </c>
      <c r="Y405" s="59">
        <v>0.85138888888888886</v>
      </c>
      <c r="Z405" s="59">
        <v>3.125E-2</v>
      </c>
      <c r="AA405">
        <v>0</v>
      </c>
      <c r="AB405">
        <v>10.6806</v>
      </c>
      <c r="AC405">
        <v>15</v>
      </c>
      <c r="AD405">
        <v>6.75</v>
      </c>
      <c r="AE405" s="59">
        <v>0.82013888888888886</v>
      </c>
      <c r="AF405" s="59">
        <v>0.85069444444444453</v>
      </c>
      <c r="AG405">
        <v>37.5</v>
      </c>
    </row>
    <row r="406" spans="1:33" x14ac:dyDescent="0.25">
      <c r="A406" t="s">
        <v>258</v>
      </c>
      <c r="B406" t="s">
        <v>270</v>
      </c>
      <c r="C406" t="s">
        <v>271</v>
      </c>
      <c r="D406" t="s">
        <v>272</v>
      </c>
      <c r="E406" t="s">
        <v>273</v>
      </c>
      <c r="F406" t="s">
        <v>134</v>
      </c>
      <c r="H406" t="s">
        <v>138</v>
      </c>
      <c r="I406" t="s">
        <v>139</v>
      </c>
      <c r="J406" t="s">
        <v>258</v>
      </c>
      <c r="K406" t="s">
        <v>360</v>
      </c>
      <c r="L406" t="s">
        <v>358</v>
      </c>
      <c r="N406" t="s">
        <v>361</v>
      </c>
      <c r="O406" t="s">
        <v>134</v>
      </c>
      <c r="Q406" t="s">
        <v>208</v>
      </c>
      <c r="R406" t="s">
        <v>140</v>
      </c>
      <c r="S406" t="s">
        <v>128</v>
      </c>
      <c r="T406" t="s">
        <v>181</v>
      </c>
      <c r="U406" t="s">
        <v>174</v>
      </c>
      <c r="V406" t="s">
        <v>74</v>
      </c>
      <c r="W406" s="58">
        <v>43313</v>
      </c>
      <c r="X406" s="59">
        <v>0.3263888888888889</v>
      </c>
      <c r="Y406" s="59">
        <v>0.34375</v>
      </c>
      <c r="Z406" s="59">
        <v>1.7361111111111112E-2</v>
      </c>
      <c r="AA406">
        <v>0</v>
      </c>
      <c r="AD406">
        <v>3.75</v>
      </c>
      <c r="AE406" s="59">
        <v>0.3263888888888889</v>
      </c>
      <c r="AF406" s="59">
        <v>0.3430555555555555</v>
      </c>
      <c r="AG406">
        <v>37.5</v>
      </c>
    </row>
    <row r="407" spans="1:33" x14ac:dyDescent="0.25">
      <c r="A407" t="s">
        <v>258</v>
      </c>
      <c r="B407" t="s">
        <v>284</v>
      </c>
      <c r="C407" t="s">
        <v>285</v>
      </c>
      <c r="E407" t="s">
        <v>286</v>
      </c>
      <c r="F407" t="s">
        <v>134</v>
      </c>
      <c r="H407" t="s">
        <v>149</v>
      </c>
      <c r="I407" t="s">
        <v>127</v>
      </c>
      <c r="J407" t="s">
        <v>258</v>
      </c>
      <c r="K407" t="s">
        <v>360</v>
      </c>
      <c r="L407" t="s">
        <v>358</v>
      </c>
      <c r="N407" t="s">
        <v>361</v>
      </c>
      <c r="O407" t="s">
        <v>134</v>
      </c>
      <c r="Q407" t="s">
        <v>208</v>
      </c>
      <c r="R407" t="s">
        <v>150</v>
      </c>
      <c r="S407" t="s">
        <v>128</v>
      </c>
      <c r="T407" t="s">
        <v>181</v>
      </c>
      <c r="U407" t="s">
        <v>151</v>
      </c>
      <c r="V407" t="s">
        <v>74</v>
      </c>
      <c r="W407" s="58">
        <v>43313</v>
      </c>
      <c r="X407" s="59">
        <v>0.35416666666666669</v>
      </c>
      <c r="Y407" s="59">
        <v>0.39583333333333331</v>
      </c>
      <c r="Z407" s="59">
        <v>4.1666666666666664E-2</v>
      </c>
      <c r="AA407">
        <v>0</v>
      </c>
      <c r="AB407">
        <v>6.7784000000000004</v>
      </c>
      <c r="AC407">
        <v>20</v>
      </c>
      <c r="AD407">
        <v>9</v>
      </c>
      <c r="AE407" s="59">
        <v>0.35416666666666669</v>
      </c>
      <c r="AF407" s="59">
        <v>0.39513888888888887</v>
      </c>
      <c r="AG407">
        <v>37.5</v>
      </c>
    </row>
    <row r="408" spans="1:33" x14ac:dyDescent="0.25">
      <c r="A408" t="s">
        <v>258</v>
      </c>
      <c r="B408" t="s">
        <v>287</v>
      </c>
      <c r="C408" t="s">
        <v>288</v>
      </c>
      <c r="E408" t="s">
        <v>289</v>
      </c>
      <c r="F408" t="s">
        <v>134</v>
      </c>
      <c r="H408" t="s">
        <v>152</v>
      </c>
      <c r="I408" t="s">
        <v>127</v>
      </c>
      <c r="J408" t="s">
        <v>258</v>
      </c>
      <c r="K408" t="s">
        <v>360</v>
      </c>
      <c r="L408" t="s">
        <v>358</v>
      </c>
      <c r="N408" t="s">
        <v>361</v>
      </c>
      <c r="O408" t="s">
        <v>134</v>
      </c>
      <c r="Q408" t="s">
        <v>208</v>
      </c>
      <c r="R408" t="s">
        <v>153</v>
      </c>
      <c r="S408" t="s">
        <v>128</v>
      </c>
      <c r="T408" t="s">
        <v>181</v>
      </c>
      <c r="U408" t="s">
        <v>151</v>
      </c>
      <c r="V408" t="s">
        <v>74</v>
      </c>
      <c r="W408" s="58">
        <v>43313</v>
      </c>
      <c r="X408" s="59">
        <v>0.39583333333333331</v>
      </c>
      <c r="Y408" s="59">
        <v>0.4375</v>
      </c>
      <c r="Z408" s="59">
        <v>4.1666666666666664E-2</v>
      </c>
      <c r="AA408">
        <v>0</v>
      </c>
      <c r="AB408">
        <v>0.27279999999999999</v>
      </c>
      <c r="AC408">
        <v>20</v>
      </c>
      <c r="AD408">
        <v>9</v>
      </c>
      <c r="AE408" s="59">
        <v>0.39583333333333331</v>
      </c>
      <c r="AF408" s="59">
        <v>0.4368055555555555</v>
      </c>
      <c r="AG408">
        <v>37.5</v>
      </c>
    </row>
    <row r="409" spans="1:33" x14ac:dyDescent="0.25">
      <c r="A409" t="s">
        <v>258</v>
      </c>
      <c r="B409" t="s">
        <v>325</v>
      </c>
      <c r="C409" t="s">
        <v>326</v>
      </c>
      <c r="E409" t="s">
        <v>327</v>
      </c>
      <c r="F409" t="s">
        <v>134</v>
      </c>
      <c r="H409" t="s">
        <v>182</v>
      </c>
      <c r="I409" t="s">
        <v>147</v>
      </c>
      <c r="J409" t="s">
        <v>258</v>
      </c>
      <c r="K409" t="s">
        <v>360</v>
      </c>
      <c r="L409" t="s">
        <v>358</v>
      </c>
      <c r="N409" t="s">
        <v>361</v>
      </c>
      <c r="O409" t="s">
        <v>134</v>
      </c>
      <c r="Q409" t="s">
        <v>208</v>
      </c>
      <c r="R409" t="s">
        <v>183</v>
      </c>
      <c r="S409" t="s">
        <v>128</v>
      </c>
      <c r="T409" t="s">
        <v>181</v>
      </c>
      <c r="U409" t="s">
        <v>129</v>
      </c>
      <c r="V409" t="s">
        <v>74</v>
      </c>
      <c r="W409" s="58">
        <v>43313</v>
      </c>
      <c r="X409" s="59">
        <v>0.5</v>
      </c>
      <c r="Y409" s="59">
        <v>0.54166666666666663</v>
      </c>
      <c r="Z409" s="59">
        <v>4.1666666666666664E-2</v>
      </c>
      <c r="AA409">
        <v>0</v>
      </c>
      <c r="AB409">
        <v>2.8090000000000002</v>
      </c>
      <c r="AC409">
        <v>23</v>
      </c>
      <c r="AD409">
        <v>9</v>
      </c>
      <c r="AE409" s="59">
        <v>0.5</v>
      </c>
      <c r="AF409" s="59">
        <v>0.54097222222222219</v>
      </c>
      <c r="AG409">
        <v>37.5</v>
      </c>
    </row>
    <row r="410" spans="1:33" x14ac:dyDescent="0.25">
      <c r="A410" t="s">
        <v>274</v>
      </c>
      <c r="B410" t="s">
        <v>275</v>
      </c>
      <c r="C410" t="s">
        <v>276</v>
      </c>
      <c r="E410" t="s">
        <v>277</v>
      </c>
      <c r="F410" t="s">
        <v>134</v>
      </c>
      <c r="H410" t="s">
        <v>141</v>
      </c>
      <c r="I410" t="s">
        <v>142</v>
      </c>
      <c r="J410" t="s">
        <v>258</v>
      </c>
      <c r="K410" t="s">
        <v>360</v>
      </c>
      <c r="L410" t="s">
        <v>358</v>
      </c>
      <c r="N410" t="s">
        <v>361</v>
      </c>
      <c r="O410" t="s">
        <v>134</v>
      </c>
      <c r="Q410" t="s">
        <v>208</v>
      </c>
      <c r="R410" t="s">
        <v>143</v>
      </c>
      <c r="S410" t="s">
        <v>128</v>
      </c>
      <c r="T410" t="s">
        <v>181</v>
      </c>
      <c r="U410" t="s">
        <v>129</v>
      </c>
      <c r="V410" t="s">
        <v>74</v>
      </c>
      <c r="W410" s="58">
        <v>43313</v>
      </c>
      <c r="X410" s="59">
        <v>0.66666666666666663</v>
      </c>
      <c r="Y410" s="59">
        <v>0.75</v>
      </c>
      <c r="Z410" s="59">
        <v>8.3333333333333329E-2</v>
      </c>
      <c r="AA410">
        <v>0</v>
      </c>
      <c r="AC410">
        <v>46</v>
      </c>
      <c r="AD410">
        <v>18</v>
      </c>
      <c r="AE410" s="59">
        <v>0.66666666666666663</v>
      </c>
      <c r="AF410" s="59">
        <v>0.74930555555555556</v>
      </c>
      <c r="AG410">
        <v>37.5</v>
      </c>
    </row>
    <row r="411" spans="1:33" x14ac:dyDescent="0.25">
      <c r="A411" t="s">
        <v>258</v>
      </c>
      <c r="B411" t="s">
        <v>270</v>
      </c>
      <c r="C411" t="s">
        <v>271</v>
      </c>
      <c r="D411" t="s">
        <v>272</v>
      </c>
      <c r="E411" t="s">
        <v>273</v>
      </c>
      <c r="F411" t="s">
        <v>134</v>
      </c>
      <c r="H411" t="s">
        <v>138</v>
      </c>
      <c r="I411" t="s">
        <v>139</v>
      </c>
      <c r="J411" t="s">
        <v>258</v>
      </c>
      <c r="K411" t="s">
        <v>360</v>
      </c>
      <c r="L411" t="s">
        <v>358</v>
      </c>
      <c r="N411" t="s">
        <v>361</v>
      </c>
      <c r="O411" t="s">
        <v>134</v>
      </c>
      <c r="Q411" t="s">
        <v>208</v>
      </c>
      <c r="R411" t="s">
        <v>140</v>
      </c>
      <c r="S411" t="s">
        <v>128</v>
      </c>
      <c r="T411" t="s">
        <v>181</v>
      </c>
      <c r="U411" t="s">
        <v>129</v>
      </c>
      <c r="V411" t="s">
        <v>74</v>
      </c>
      <c r="W411" s="58">
        <v>43313</v>
      </c>
      <c r="X411" s="59">
        <v>0.76041666666666663</v>
      </c>
      <c r="Y411" s="59">
        <v>0.79166666666666663</v>
      </c>
      <c r="Z411" s="59">
        <v>3.125E-2</v>
      </c>
      <c r="AA411">
        <v>0</v>
      </c>
      <c r="AB411">
        <v>0.9</v>
      </c>
      <c r="AC411">
        <v>17.25</v>
      </c>
      <c r="AD411">
        <v>6.75</v>
      </c>
      <c r="AE411" s="59">
        <v>0.76041666666666663</v>
      </c>
      <c r="AF411" s="59">
        <v>0.7909722222222223</v>
      </c>
      <c r="AG411">
        <v>37.5</v>
      </c>
    </row>
    <row r="412" spans="1:33" x14ac:dyDescent="0.25">
      <c r="A412" t="s">
        <v>274</v>
      </c>
      <c r="B412" t="s">
        <v>275</v>
      </c>
      <c r="C412" t="s">
        <v>276</v>
      </c>
      <c r="E412" t="s">
        <v>277</v>
      </c>
      <c r="F412" t="s">
        <v>134</v>
      </c>
      <c r="H412" t="s">
        <v>141</v>
      </c>
      <c r="I412" t="s">
        <v>142</v>
      </c>
      <c r="J412" t="s">
        <v>258</v>
      </c>
      <c r="K412" t="s">
        <v>360</v>
      </c>
      <c r="L412" t="s">
        <v>358</v>
      </c>
      <c r="N412" t="s">
        <v>361</v>
      </c>
      <c r="O412" t="s">
        <v>134</v>
      </c>
      <c r="Q412" t="s">
        <v>208</v>
      </c>
      <c r="R412" t="s">
        <v>143</v>
      </c>
      <c r="S412" t="s">
        <v>128</v>
      </c>
      <c r="T412" t="s">
        <v>181</v>
      </c>
      <c r="U412" t="s">
        <v>129</v>
      </c>
      <c r="V412" t="s">
        <v>74</v>
      </c>
      <c r="W412" s="58">
        <v>43313</v>
      </c>
      <c r="X412" s="59">
        <v>0.8125</v>
      </c>
      <c r="Y412" s="59">
        <v>0.83333333333333337</v>
      </c>
      <c r="Z412" s="59">
        <v>2.0833333333333332E-2</v>
      </c>
      <c r="AA412">
        <v>0</v>
      </c>
      <c r="AB412">
        <v>0.9</v>
      </c>
      <c r="AC412">
        <v>11.5</v>
      </c>
      <c r="AD412">
        <v>4.5</v>
      </c>
      <c r="AE412" s="59">
        <v>0.8125</v>
      </c>
      <c r="AF412" s="59">
        <v>0.83263888888888893</v>
      </c>
      <c r="AG412">
        <v>37.5</v>
      </c>
    </row>
    <row r="413" spans="1:33" x14ac:dyDescent="0.25">
      <c r="A413" t="s">
        <v>274</v>
      </c>
      <c r="B413" t="s">
        <v>321</v>
      </c>
      <c r="C413" t="s">
        <v>322</v>
      </c>
      <c r="D413" t="s">
        <v>323</v>
      </c>
      <c r="E413" t="s">
        <v>324</v>
      </c>
      <c r="F413" t="s">
        <v>134</v>
      </c>
      <c r="H413" t="s">
        <v>184</v>
      </c>
      <c r="I413" t="s">
        <v>147</v>
      </c>
      <c r="J413" t="s">
        <v>258</v>
      </c>
      <c r="K413" t="s">
        <v>360</v>
      </c>
      <c r="L413" t="s">
        <v>358</v>
      </c>
      <c r="N413" t="s">
        <v>361</v>
      </c>
      <c r="O413" t="s">
        <v>134</v>
      </c>
      <c r="Q413" t="s">
        <v>208</v>
      </c>
      <c r="R413" t="s">
        <v>185</v>
      </c>
      <c r="S413" t="s">
        <v>128</v>
      </c>
      <c r="T413" t="s">
        <v>181</v>
      </c>
      <c r="U413" t="s">
        <v>151</v>
      </c>
      <c r="V413" t="s">
        <v>74</v>
      </c>
      <c r="W413" s="58">
        <v>43313</v>
      </c>
      <c r="X413" s="59">
        <v>0.84375</v>
      </c>
      <c r="Y413" s="59">
        <v>0.875</v>
      </c>
      <c r="Z413" s="59">
        <v>3.125E-2</v>
      </c>
      <c r="AA413">
        <v>0</v>
      </c>
      <c r="AB413">
        <v>9.7805999999999997</v>
      </c>
      <c r="AC413">
        <v>15</v>
      </c>
      <c r="AD413">
        <v>6.75</v>
      </c>
      <c r="AE413" s="59">
        <v>0.84375</v>
      </c>
      <c r="AF413" s="59">
        <v>0.87430555555555556</v>
      </c>
      <c r="AG413">
        <v>37.5</v>
      </c>
    </row>
    <row r="414" spans="1:33" x14ac:dyDescent="0.25">
      <c r="A414" t="s">
        <v>258</v>
      </c>
      <c r="B414" t="s">
        <v>270</v>
      </c>
      <c r="C414" t="s">
        <v>271</v>
      </c>
      <c r="D414" t="s">
        <v>272</v>
      </c>
      <c r="E414" t="s">
        <v>273</v>
      </c>
      <c r="F414" t="s">
        <v>134</v>
      </c>
      <c r="H414" t="s">
        <v>138</v>
      </c>
      <c r="I414" t="s">
        <v>139</v>
      </c>
      <c r="J414" t="s">
        <v>258</v>
      </c>
      <c r="K414" t="s">
        <v>360</v>
      </c>
      <c r="L414" t="s">
        <v>358</v>
      </c>
      <c r="N414" t="s">
        <v>361</v>
      </c>
      <c r="O414" t="s">
        <v>134</v>
      </c>
      <c r="Q414" t="s">
        <v>208</v>
      </c>
      <c r="R414" t="s">
        <v>140</v>
      </c>
      <c r="S414" t="s">
        <v>128</v>
      </c>
      <c r="T414" t="s">
        <v>181</v>
      </c>
      <c r="U414" t="s">
        <v>129</v>
      </c>
      <c r="V414" t="s">
        <v>75</v>
      </c>
      <c r="W414" s="58">
        <v>43314</v>
      </c>
      <c r="X414" s="59">
        <v>0.33333333333333331</v>
      </c>
      <c r="Y414" s="59">
        <v>0.375</v>
      </c>
      <c r="Z414" s="59">
        <v>4.1666666666666664E-2</v>
      </c>
      <c r="AA414">
        <v>0</v>
      </c>
      <c r="AC414">
        <v>23</v>
      </c>
      <c r="AD414">
        <v>9</v>
      </c>
      <c r="AE414" s="59">
        <v>0.33333333333333331</v>
      </c>
      <c r="AF414" s="59">
        <v>0.3743055555555555</v>
      </c>
      <c r="AG414">
        <v>37.5</v>
      </c>
    </row>
    <row r="415" spans="1:33" x14ac:dyDescent="0.25">
      <c r="A415" t="s">
        <v>266</v>
      </c>
      <c r="B415" t="s">
        <v>293</v>
      </c>
      <c r="C415" t="s">
        <v>294</v>
      </c>
      <c r="E415" t="s">
        <v>295</v>
      </c>
      <c r="F415" t="s">
        <v>134</v>
      </c>
      <c r="H415" t="s">
        <v>157</v>
      </c>
      <c r="I415" t="s">
        <v>158</v>
      </c>
      <c r="J415" t="s">
        <v>258</v>
      </c>
      <c r="K415" t="s">
        <v>360</v>
      </c>
      <c r="L415" t="s">
        <v>358</v>
      </c>
      <c r="N415" t="s">
        <v>361</v>
      </c>
      <c r="O415" t="s">
        <v>134</v>
      </c>
      <c r="Q415" t="s">
        <v>208</v>
      </c>
      <c r="R415" t="s">
        <v>161</v>
      </c>
      <c r="S415" t="s">
        <v>128</v>
      </c>
      <c r="T415" t="s">
        <v>181</v>
      </c>
      <c r="U415" t="s">
        <v>163</v>
      </c>
      <c r="V415" t="s">
        <v>75</v>
      </c>
      <c r="W415" s="58">
        <v>43314</v>
      </c>
      <c r="X415" s="59">
        <v>0.39583333333333331</v>
      </c>
      <c r="Y415" s="59">
        <v>0.4375</v>
      </c>
      <c r="Z415" s="59">
        <v>4.1666666666666664E-2</v>
      </c>
      <c r="AA415">
        <v>0</v>
      </c>
      <c r="AB415">
        <v>4.1420000000000003</v>
      </c>
      <c r="AC415">
        <v>18</v>
      </c>
      <c r="AD415">
        <v>9</v>
      </c>
      <c r="AE415" s="59">
        <v>0.39583333333333331</v>
      </c>
      <c r="AF415" s="59">
        <v>0.4368055555555555</v>
      </c>
      <c r="AG415">
        <v>37.5</v>
      </c>
    </row>
    <row r="416" spans="1:33" x14ac:dyDescent="0.25">
      <c r="A416" t="s">
        <v>258</v>
      </c>
      <c r="B416" t="s">
        <v>325</v>
      </c>
      <c r="C416" t="s">
        <v>326</v>
      </c>
      <c r="E416" t="s">
        <v>327</v>
      </c>
      <c r="F416" t="s">
        <v>134</v>
      </c>
      <c r="H416" t="s">
        <v>182</v>
      </c>
      <c r="I416" t="s">
        <v>147</v>
      </c>
      <c r="J416" t="s">
        <v>258</v>
      </c>
      <c r="K416" t="s">
        <v>360</v>
      </c>
      <c r="L416" t="s">
        <v>358</v>
      </c>
      <c r="N416" t="s">
        <v>361</v>
      </c>
      <c r="O416" t="s">
        <v>134</v>
      </c>
      <c r="Q416" t="s">
        <v>208</v>
      </c>
      <c r="R416" t="s">
        <v>183</v>
      </c>
      <c r="S416" t="s">
        <v>128</v>
      </c>
      <c r="T416" t="s">
        <v>181</v>
      </c>
      <c r="U416" t="s">
        <v>129</v>
      </c>
      <c r="V416" t="s">
        <v>75</v>
      </c>
      <c r="W416" s="58">
        <v>43314</v>
      </c>
      <c r="X416" s="59">
        <v>0.52083333333333337</v>
      </c>
      <c r="Y416" s="59">
        <v>0.5625</v>
      </c>
      <c r="Z416" s="59">
        <v>4.1666666666666664E-2</v>
      </c>
      <c r="AA416">
        <v>0</v>
      </c>
      <c r="AB416">
        <v>11.739800000000001</v>
      </c>
      <c r="AC416">
        <v>23</v>
      </c>
      <c r="AD416">
        <v>9</v>
      </c>
      <c r="AE416" s="59">
        <v>0.52083333333333337</v>
      </c>
      <c r="AF416" s="59">
        <v>0.56180555555555556</v>
      </c>
      <c r="AG416">
        <v>37.5</v>
      </c>
    </row>
    <row r="417" spans="1:33" x14ac:dyDescent="0.25">
      <c r="A417" t="s">
        <v>258</v>
      </c>
      <c r="B417" t="s">
        <v>262</v>
      </c>
      <c r="C417" t="s">
        <v>263</v>
      </c>
      <c r="D417" t="s">
        <v>264</v>
      </c>
      <c r="E417" t="s">
        <v>265</v>
      </c>
      <c r="F417" t="s">
        <v>134</v>
      </c>
      <c r="H417" t="s">
        <v>132</v>
      </c>
      <c r="I417" t="s">
        <v>133</v>
      </c>
      <c r="J417" t="s">
        <v>258</v>
      </c>
      <c r="K417" t="s">
        <v>360</v>
      </c>
      <c r="L417" t="s">
        <v>358</v>
      </c>
      <c r="N417" t="s">
        <v>361</v>
      </c>
      <c r="O417" t="s">
        <v>134</v>
      </c>
      <c r="Q417" t="s">
        <v>208</v>
      </c>
      <c r="R417" t="s">
        <v>136</v>
      </c>
      <c r="S417" t="s">
        <v>128</v>
      </c>
      <c r="T417" t="s">
        <v>181</v>
      </c>
      <c r="U417" t="s">
        <v>129</v>
      </c>
      <c r="V417" t="s">
        <v>75</v>
      </c>
      <c r="W417" s="58">
        <v>43314</v>
      </c>
      <c r="X417" s="59">
        <v>0.70833333333333337</v>
      </c>
      <c r="Y417" s="59">
        <v>0.75</v>
      </c>
      <c r="Z417" s="59">
        <v>4.1666666666666664E-2</v>
      </c>
      <c r="AA417">
        <v>0</v>
      </c>
      <c r="AC417">
        <v>23</v>
      </c>
      <c r="AD417">
        <v>9</v>
      </c>
      <c r="AE417" s="59">
        <v>0.70833333333333337</v>
      </c>
      <c r="AF417" s="59">
        <v>0.74930555555555556</v>
      </c>
      <c r="AG417">
        <v>37.5</v>
      </c>
    </row>
    <row r="418" spans="1:33" x14ac:dyDescent="0.25">
      <c r="A418" t="s">
        <v>258</v>
      </c>
      <c r="B418" t="s">
        <v>270</v>
      </c>
      <c r="C418" t="s">
        <v>271</v>
      </c>
      <c r="D418" t="s">
        <v>272</v>
      </c>
      <c r="E418" t="s">
        <v>273</v>
      </c>
      <c r="F418" t="s">
        <v>134</v>
      </c>
      <c r="H418" t="s">
        <v>138</v>
      </c>
      <c r="I418" t="s">
        <v>139</v>
      </c>
      <c r="J418" t="s">
        <v>258</v>
      </c>
      <c r="K418" t="s">
        <v>360</v>
      </c>
      <c r="L418" t="s">
        <v>358</v>
      </c>
      <c r="N418" t="s">
        <v>361</v>
      </c>
      <c r="O418" t="s">
        <v>134</v>
      </c>
      <c r="Q418" t="s">
        <v>208</v>
      </c>
      <c r="R418" t="s">
        <v>140</v>
      </c>
      <c r="S418" t="s">
        <v>128</v>
      </c>
      <c r="T418" t="s">
        <v>181</v>
      </c>
      <c r="U418" t="s">
        <v>129</v>
      </c>
      <c r="V418" t="s">
        <v>75</v>
      </c>
      <c r="W418" s="58">
        <v>43314</v>
      </c>
      <c r="X418" s="59">
        <v>0.76041666666666663</v>
      </c>
      <c r="Y418" s="59">
        <v>0.80208333333333337</v>
      </c>
      <c r="Z418" s="59">
        <v>4.1666666666666664E-2</v>
      </c>
      <c r="AA418">
        <v>0</v>
      </c>
      <c r="AB418">
        <v>2.3694000000000002</v>
      </c>
      <c r="AC418">
        <v>23</v>
      </c>
      <c r="AD418">
        <v>9</v>
      </c>
      <c r="AE418" s="59">
        <v>0.76041666666666663</v>
      </c>
      <c r="AF418" s="59">
        <v>0.80138888888888893</v>
      </c>
      <c r="AG418">
        <v>37.5</v>
      </c>
    </row>
    <row r="419" spans="1:33" x14ac:dyDescent="0.25">
      <c r="A419" t="s">
        <v>274</v>
      </c>
      <c r="B419" t="s">
        <v>275</v>
      </c>
      <c r="C419" t="s">
        <v>276</v>
      </c>
      <c r="E419" t="s">
        <v>277</v>
      </c>
      <c r="F419" t="s">
        <v>134</v>
      </c>
      <c r="H419" t="s">
        <v>141</v>
      </c>
      <c r="I419" t="s">
        <v>142</v>
      </c>
      <c r="J419" t="s">
        <v>258</v>
      </c>
      <c r="K419" t="s">
        <v>360</v>
      </c>
      <c r="L419" t="s">
        <v>358</v>
      </c>
      <c r="N419" t="s">
        <v>361</v>
      </c>
      <c r="O419" t="s">
        <v>134</v>
      </c>
      <c r="Q419" t="s">
        <v>208</v>
      </c>
      <c r="R419" t="s">
        <v>143</v>
      </c>
      <c r="S419" t="s">
        <v>128</v>
      </c>
      <c r="T419" t="s">
        <v>181</v>
      </c>
      <c r="U419" t="s">
        <v>129</v>
      </c>
      <c r="V419" t="s">
        <v>75</v>
      </c>
      <c r="W419" s="58">
        <v>43314</v>
      </c>
      <c r="X419" s="59">
        <v>0.8125</v>
      </c>
      <c r="Y419" s="59">
        <v>0.83333333333333337</v>
      </c>
      <c r="Z419" s="59">
        <v>2.0833333333333332E-2</v>
      </c>
      <c r="AA419">
        <v>0</v>
      </c>
      <c r="AB419">
        <v>0.9</v>
      </c>
      <c r="AC419">
        <v>11.5</v>
      </c>
      <c r="AD419">
        <v>4.5</v>
      </c>
      <c r="AE419" s="59">
        <v>0.8125</v>
      </c>
      <c r="AF419" s="59">
        <v>0.83263888888888893</v>
      </c>
      <c r="AG419">
        <v>37.5</v>
      </c>
    </row>
    <row r="420" spans="1:33" x14ac:dyDescent="0.25">
      <c r="A420" t="s">
        <v>274</v>
      </c>
      <c r="B420" t="s">
        <v>321</v>
      </c>
      <c r="C420" t="s">
        <v>322</v>
      </c>
      <c r="D420" t="s">
        <v>323</v>
      </c>
      <c r="E420" t="s">
        <v>324</v>
      </c>
      <c r="F420" t="s">
        <v>134</v>
      </c>
      <c r="H420" t="s">
        <v>184</v>
      </c>
      <c r="I420" t="s">
        <v>147</v>
      </c>
      <c r="J420" t="s">
        <v>258</v>
      </c>
      <c r="K420" t="s">
        <v>360</v>
      </c>
      <c r="L420" t="s">
        <v>358</v>
      </c>
      <c r="N420" t="s">
        <v>361</v>
      </c>
      <c r="O420" t="s">
        <v>134</v>
      </c>
      <c r="Q420" t="s">
        <v>208</v>
      </c>
      <c r="R420" t="s">
        <v>185</v>
      </c>
      <c r="S420" t="s">
        <v>128</v>
      </c>
      <c r="T420" t="s">
        <v>181</v>
      </c>
      <c r="U420" t="s">
        <v>151</v>
      </c>
      <c r="V420" t="s">
        <v>75</v>
      </c>
      <c r="W420" s="58">
        <v>43314</v>
      </c>
      <c r="X420" s="59">
        <v>0.84375</v>
      </c>
      <c r="Y420" s="59">
        <v>0.875</v>
      </c>
      <c r="Z420" s="59">
        <v>3.125E-2</v>
      </c>
      <c r="AA420">
        <v>0</v>
      </c>
      <c r="AB420">
        <v>9.7805999999999997</v>
      </c>
      <c r="AC420">
        <v>15</v>
      </c>
      <c r="AD420">
        <v>6.75</v>
      </c>
      <c r="AE420" s="59">
        <v>0.84375</v>
      </c>
      <c r="AF420" s="59">
        <v>0.87430555555555556</v>
      </c>
      <c r="AG420">
        <v>37.5</v>
      </c>
    </row>
    <row r="421" spans="1:33" x14ac:dyDescent="0.25">
      <c r="A421" t="s">
        <v>258</v>
      </c>
      <c r="B421" t="s">
        <v>314</v>
      </c>
      <c r="C421" t="s">
        <v>315</v>
      </c>
      <c r="D421">
        <v>72</v>
      </c>
      <c r="E421" t="s">
        <v>316</v>
      </c>
      <c r="F421" t="s">
        <v>317</v>
      </c>
      <c r="G421" t="s">
        <v>218</v>
      </c>
      <c r="H421" t="s">
        <v>168</v>
      </c>
      <c r="I421" t="s">
        <v>169</v>
      </c>
      <c r="J421" t="s">
        <v>258</v>
      </c>
      <c r="K421" t="s">
        <v>360</v>
      </c>
      <c r="L421" t="s">
        <v>358</v>
      </c>
      <c r="N421" t="s">
        <v>361</v>
      </c>
      <c r="O421" t="s">
        <v>134</v>
      </c>
      <c r="Q421" t="s">
        <v>208</v>
      </c>
      <c r="R421" t="s">
        <v>170</v>
      </c>
      <c r="S421" t="s">
        <v>128</v>
      </c>
      <c r="T421" t="s">
        <v>181</v>
      </c>
      <c r="U421" t="s">
        <v>129</v>
      </c>
      <c r="V421" t="s">
        <v>71</v>
      </c>
      <c r="W421" s="58">
        <v>43317</v>
      </c>
      <c r="X421" s="59">
        <v>0.33333333333333331</v>
      </c>
      <c r="Y421" s="59">
        <v>0.35416666666666669</v>
      </c>
      <c r="Z421" s="59">
        <v>2.0833333333333332E-2</v>
      </c>
      <c r="AA421">
        <v>0</v>
      </c>
      <c r="AC421">
        <v>11.5</v>
      </c>
      <c r="AD421">
        <v>5</v>
      </c>
      <c r="AE421" s="59">
        <v>0.33333333333333331</v>
      </c>
      <c r="AF421" s="59">
        <v>0.35347222222222219</v>
      </c>
      <c r="AG421">
        <v>37.5</v>
      </c>
    </row>
    <row r="422" spans="1:33" x14ac:dyDescent="0.25">
      <c r="A422" t="s">
        <v>258</v>
      </c>
      <c r="B422" t="s">
        <v>262</v>
      </c>
      <c r="C422" t="s">
        <v>263</v>
      </c>
      <c r="D422" t="s">
        <v>264</v>
      </c>
      <c r="E422" t="s">
        <v>265</v>
      </c>
      <c r="F422" t="s">
        <v>134</v>
      </c>
      <c r="H422" t="s">
        <v>132</v>
      </c>
      <c r="I422" t="s">
        <v>133</v>
      </c>
      <c r="J422" t="s">
        <v>258</v>
      </c>
      <c r="K422" t="s">
        <v>360</v>
      </c>
      <c r="L422" t="s">
        <v>358</v>
      </c>
      <c r="N422" t="s">
        <v>361</v>
      </c>
      <c r="O422" t="s">
        <v>134</v>
      </c>
      <c r="Q422" t="s">
        <v>208</v>
      </c>
      <c r="R422" t="s">
        <v>136</v>
      </c>
      <c r="S422" t="s">
        <v>128</v>
      </c>
      <c r="T422" t="s">
        <v>181</v>
      </c>
      <c r="U422" t="s">
        <v>129</v>
      </c>
      <c r="V422" t="s">
        <v>71</v>
      </c>
      <c r="W422" s="58">
        <v>43317</v>
      </c>
      <c r="X422" s="59">
        <v>0.36458333333333331</v>
      </c>
      <c r="Y422" s="59">
        <v>0.40625</v>
      </c>
      <c r="Z422" s="59">
        <v>4.1666666666666664E-2</v>
      </c>
      <c r="AA422">
        <v>0</v>
      </c>
      <c r="AB422">
        <v>7.7614000000000001</v>
      </c>
      <c r="AC422">
        <v>23</v>
      </c>
      <c r="AD422">
        <v>10</v>
      </c>
      <c r="AE422" s="59">
        <v>0.36458333333333331</v>
      </c>
      <c r="AF422" s="59">
        <v>0.4055555555555555</v>
      </c>
      <c r="AG422">
        <v>37.5</v>
      </c>
    </row>
    <row r="423" spans="1:33" x14ac:dyDescent="0.25">
      <c r="A423" t="s">
        <v>274</v>
      </c>
      <c r="B423" t="s">
        <v>321</v>
      </c>
      <c r="C423" t="s">
        <v>322</v>
      </c>
      <c r="D423" t="s">
        <v>323</v>
      </c>
      <c r="E423" t="s">
        <v>324</v>
      </c>
      <c r="F423" t="s">
        <v>134</v>
      </c>
      <c r="H423" t="s">
        <v>184</v>
      </c>
      <c r="I423" t="s">
        <v>147</v>
      </c>
      <c r="J423" t="s">
        <v>258</v>
      </c>
      <c r="K423" t="s">
        <v>360</v>
      </c>
      <c r="L423" t="s">
        <v>358</v>
      </c>
      <c r="N423" t="s">
        <v>361</v>
      </c>
      <c r="O423" t="s">
        <v>134</v>
      </c>
      <c r="Q423" t="s">
        <v>208</v>
      </c>
      <c r="R423" t="s">
        <v>185</v>
      </c>
      <c r="S423" t="s">
        <v>128</v>
      </c>
      <c r="T423" t="s">
        <v>181</v>
      </c>
      <c r="U423" t="s">
        <v>151</v>
      </c>
      <c r="V423" t="s">
        <v>71</v>
      </c>
      <c r="W423" s="58">
        <v>43317</v>
      </c>
      <c r="X423" s="59">
        <v>0.41666666666666669</v>
      </c>
      <c r="Y423" s="59">
        <v>0.45833333333333331</v>
      </c>
      <c r="Z423" s="59">
        <v>4.1666666666666664E-2</v>
      </c>
      <c r="AA423">
        <v>0</v>
      </c>
      <c r="AB423">
        <v>13.225</v>
      </c>
      <c r="AC423">
        <v>20</v>
      </c>
      <c r="AD423">
        <v>10</v>
      </c>
      <c r="AE423" s="59">
        <v>0.41666666666666669</v>
      </c>
      <c r="AF423" s="59">
        <v>0.45763888888888887</v>
      </c>
      <c r="AG423">
        <v>37.5</v>
      </c>
    </row>
    <row r="424" spans="1:33" x14ac:dyDescent="0.25">
      <c r="A424" t="s">
        <v>258</v>
      </c>
      <c r="B424" t="s">
        <v>325</v>
      </c>
      <c r="C424" t="s">
        <v>326</v>
      </c>
      <c r="E424" t="s">
        <v>327</v>
      </c>
      <c r="F424" t="s">
        <v>134</v>
      </c>
      <c r="H424" t="s">
        <v>182</v>
      </c>
      <c r="I424" t="s">
        <v>147</v>
      </c>
      <c r="J424" t="s">
        <v>258</v>
      </c>
      <c r="K424" t="s">
        <v>360</v>
      </c>
      <c r="L424" t="s">
        <v>358</v>
      </c>
      <c r="N424" t="s">
        <v>361</v>
      </c>
      <c r="O424" t="s">
        <v>134</v>
      </c>
      <c r="Q424" t="s">
        <v>208</v>
      </c>
      <c r="R424" t="s">
        <v>183</v>
      </c>
      <c r="S424" t="s">
        <v>128</v>
      </c>
      <c r="T424" t="s">
        <v>181</v>
      </c>
      <c r="U424" t="s">
        <v>129</v>
      </c>
      <c r="V424" t="s">
        <v>71</v>
      </c>
      <c r="W424" s="58">
        <v>43317</v>
      </c>
      <c r="X424" s="59">
        <v>0.5</v>
      </c>
      <c r="Y424" s="59">
        <v>0.54166666666666663</v>
      </c>
      <c r="Z424" s="59">
        <v>4.1666666666666664E-2</v>
      </c>
      <c r="AA424">
        <v>0</v>
      </c>
      <c r="AB424">
        <v>2.2181999999999999</v>
      </c>
      <c r="AC424">
        <v>23</v>
      </c>
      <c r="AD424">
        <v>10</v>
      </c>
      <c r="AE424" s="59">
        <v>0.5</v>
      </c>
      <c r="AF424" s="59">
        <v>0.54097222222222219</v>
      </c>
      <c r="AG424">
        <v>37.5</v>
      </c>
    </row>
    <row r="425" spans="1:33" x14ac:dyDescent="0.25">
      <c r="B425" t="s">
        <v>307</v>
      </c>
      <c r="C425" t="s">
        <v>308</v>
      </c>
      <c r="D425" t="s">
        <v>309</v>
      </c>
      <c r="E425" t="s">
        <v>134</v>
      </c>
      <c r="H425" t="s">
        <v>171</v>
      </c>
      <c r="I425" t="s">
        <v>169</v>
      </c>
      <c r="J425" t="s">
        <v>258</v>
      </c>
      <c r="K425" t="s">
        <v>360</v>
      </c>
      <c r="L425" t="s">
        <v>358</v>
      </c>
      <c r="N425" t="s">
        <v>361</v>
      </c>
      <c r="O425" t="s">
        <v>134</v>
      </c>
      <c r="Q425" t="s">
        <v>208</v>
      </c>
      <c r="R425" t="s">
        <v>172</v>
      </c>
      <c r="S425" t="s">
        <v>128</v>
      </c>
      <c r="T425" t="s">
        <v>181</v>
      </c>
      <c r="U425" t="s">
        <v>129</v>
      </c>
      <c r="V425" t="s">
        <v>71</v>
      </c>
      <c r="W425" s="58">
        <v>43317</v>
      </c>
      <c r="X425" s="59">
        <v>0.66666666666666663</v>
      </c>
      <c r="Y425" s="59">
        <v>0.69791666666666663</v>
      </c>
      <c r="Z425" s="59">
        <v>3.125E-2</v>
      </c>
      <c r="AA425">
        <v>0</v>
      </c>
      <c r="AC425">
        <v>17.25</v>
      </c>
      <c r="AD425">
        <v>7.5</v>
      </c>
      <c r="AE425" s="59">
        <v>0.66666666666666663</v>
      </c>
      <c r="AF425" s="59">
        <v>0.6972222222222223</v>
      </c>
      <c r="AG425">
        <v>37.5</v>
      </c>
    </row>
    <row r="426" spans="1:33" x14ac:dyDescent="0.25">
      <c r="A426" t="s">
        <v>258</v>
      </c>
      <c r="B426" t="s">
        <v>262</v>
      </c>
      <c r="C426" t="s">
        <v>263</v>
      </c>
      <c r="D426" t="s">
        <v>264</v>
      </c>
      <c r="E426" t="s">
        <v>265</v>
      </c>
      <c r="F426" t="s">
        <v>134</v>
      </c>
      <c r="H426" t="s">
        <v>132</v>
      </c>
      <c r="I426" t="s">
        <v>133</v>
      </c>
      <c r="J426" t="s">
        <v>258</v>
      </c>
      <c r="K426" t="s">
        <v>360</v>
      </c>
      <c r="L426" t="s">
        <v>358</v>
      </c>
      <c r="N426" t="s">
        <v>361</v>
      </c>
      <c r="O426" t="s">
        <v>134</v>
      </c>
      <c r="Q426" t="s">
        <v>208</v>
      </c>
      <c r="R426" t="s">
        <v>136</v>
      </c>
      <c r="S426" t="s">
        <v>128</v>
      </c>
      <c r="T426" t="s">
        <v>181</v>
      </c>
      <c r="U426" t="s">
        <v>129</v>
      </c>
      <c r="V426" t="s">
        <v>71</v>
      </c>
      <c r="W426" s="58">
        <v>43317</v>
      </c>
      <c r="X426" s="59">
        <v>0.70833333333333337</v>
      </c>
      <c r="Y426" s="59">
        <v>0.75</v>
      </c>
      <c r="Z426" s="59">
        <v>4.1666666666666664E-2</v>
      </c>
      <c r="AA426">
        <v>0</v>
      </c>
      <c r="AB426">
        <v>8.5579999999999998</v>
      </c>
      <c r="AC426">
        <v>23</v>
      </c>
      <c r="AD426">
        <v>10</v>
      </c>
      <c r="AE426" s="59">
        <v>0.70833333333333337</v>
      </c>
      <c r="AF426" s="59">
        <v>0.74930555555555556</v>
      </c>
      <c r="AG426">
        <v>37.5</v>
      </c>
    </row>
    <row r="427" spans="1:33" x14ac:dyDescent="0.25">
      <c r="A427" t="s">
        <v>274</v>
      </c>
      <c r="B427" t="s">
        <v>321</v>
      </c>
      <c r="C427" t="s">
        <v>322</v>
      </c>
      <c r="D427" t="s">
        <v>323</v>
      </c>
      <c r="E427" t="s">
        <v>324</v>
      </c>
      <c r="F427" t="s">
        <v>134</v>
      </c>
      <c r="H427" t="s">
        <v>184</v>
      </c>
      <c r="I427" t="s">
        <v>147</v>
      </c>
      <c r="J427" t="s">
        <v>258</v>
      </c>
      <c r="K427" t="s">
        <v>360</v>
      </c>
      <c r="L427" t="s">
        <v>358</v>
      </c>
      <c r="N427" t="s">
        <v>361</v>
      </c>
      <c r="O427" t="s">
        <v>134</v>
      </c>
      <c r="Q427" t="s">
        <v>208</v>
      </c>
      <c r="R427" t="s">
        <v>185</v>
      </c>
      <c r="S427" t="s">
        <v>128</v>
      </c>
      <c r="T427" t="s">
        <v>181</v>
      </c>
      <c r="U427" t="s">
        <v>151</v>
      </c>
      <c r="V427" t="s">
        <v>71</v>
      </c>
      <c r="W427" s="58">
        <v>43317</v>
      </c>
      <c r="X427" s="59">
        <v>0.86458333333333337</v>
      </c>
      <c r="Y427" s="59">
        <v>0.89583333333333337</v>
      </c>
      <c r="Z427" s="59">
        <v>3.125E-2</v>
      </c>
      <c r="AA427">
        <v>0</v>
      </c>
      <c r="AB427">
        <v>13.225</v>
      </c>
      <c r="AC427">
        <v>15</v>
      </c>
      <c r="AD427">
        <v>7.5</v>
      </c>
      <c r="AE427" s="59">
        <v>0.86458333333333337</v>
      </c>
      <c r="AF427" s="59">
        <v>0.89513888888888893</v>
      </c>
      <c r="AG427">
        <v>37.5</v>
      </c>
    </row>
    <row r="428" spans="1:33" x14ac:dyDescent="0.25">
      <c r="B428" t="s">
        <v>307</v>
      </c>
      <c r="C428" t="s">
        <v>308</v>
      </c>
      <c r="D428" t="s">
        <v>309</v>
      </c>
      <c r="E428" t="s">
        <v>134</v>
      </c>
      <c r="H428" t="s">
        <v>171</v>
      </c>
      <c r="I428" t="s">
        <v>169</v>
      </c>
      <c r="J428" t="s">
        <v>258</v>
      </c>
      <c r="K428" t="s">
        <v>360</v>
      </c>
      <c r="L428" t="s">
        <v>358</v>
      </c>
      <c r="N428" t="s">
        <v>361</v>
      </c>
      <c r="O428" t="s">
        <v>134</v>
      </c>
      <c r="Q428" t="s">
        <v>208</v>
      </c>
      <c r="R428" t="s">
        <v>172</v>
      </c>
      <c r="S428" t="s">
        <v>128</v>
      </c>
      <c r="T428" t="s">
        <v>181</v>
      </c>
      <c r="U428" t="s">
        <v>129</v>
      </c>
      <c r="V428" t="s">
        <v>72</v>
      </c>
      <c r="W428" s="58">
        <v>43318</v>
      </c>
      <c r="X428" s="59">
        <v>0.32777777777777778</v>
      </c>
      <c r="Y428" s="59">
        <v>0.36944444444444446</v>
      </c>
      <c r="Z428" s="59">
        <v>4.1666666666666664E-2</v>
      </c>
      <c r="AA428">
        <v>0</v>
      </c>
      <c r="AC428">
        <v>23</v>
      </c>
      <c r="AD428">
        <v>9</v>
      </c>
      <c r="AE428" s="59">
        <v>0.32777777777777778</v>
      </c>
      <c r="AF428" s="59">
        <v>0.36874999999999997</v>
      </c>
      <c r="AG428">
        <v>37.5</v>
      </c>
    </row>
    <row r="429" spans="1:33" x14ac:dyDescent="0.25">
      <c r="A429" t="s">
        <v>274</v>
      </c>
      <c r="B429" t="s">
        <v>336</v>
      </c>
      <c r="C429" t="s">
        <v>337</v>
      </c>
      <c r="E429" t="s">
        <v>338</v>
      </c>
      <c r="F429" t="s">
        <v>134</v>
      </c>
      <c r="H429" t="s">
        <v>186</v>
      </c>
      <c r="I429" t="s">
        <v>147</v>
      </c>
      <c r="J429" t="s">
        <v>258</v>
      </c>
      <c r="K429" t="s">
        <v>360</v>
      </c>
      <c r="L429" t="s">
        <v>358</v>
      </c>
      <c r="N429" t="s">
        <v>361</v>
      </c>
      <c r="O429" t="s">
        <v>134</v>
      </c>
      <c r="Q429" t="s">
        <v>208</v>
      </c>
      <c r="R429" t="s">
        <v>187</v>
      </c>
      <c r="S429" t="s">
        <v>128</v>
      </c>
      <c r="T429" t="s">
        <v>181</v>
      </c>
      <c r="U429" t="s">
        <v>151</v>
      </c>
      <c r="V429" t="s">
        <v>72</v>
      </c>
      <c r="W429" s="58">
        <v>43318</v>
      </c>
      <c r="X429" s="59">
        <v>0.38194444444444442</v>
      </c>
      <c r="Y429" s="59">
        <v>0.4236111111111111</v>
      </c>
      <c r="Z429" s="59">
        <v>4.1666666666666664E-2</v>
      </c>
      <c r="AA429">
        <v>0</v>
      </c>
      <c r="AB429">
        <v>3.9363999999999999</v>
      </c>
      <c r="AC429">
        <v>20</v>
      </c>
      <c r="AD429">
        <v>9</v>
      </c>
      <c r="AE429" s="59">
        <v>0.38194444444444442</v>
      </c>
      <c r="AF429" s="59">
        <v>0.42291666666666666</v>
      </c>
      <c r="AG429">
        <v>37.5</v>
      </c>
    </row>
    <row r="430" spans="1:33" x14ac:dyDescent="0.25">
      <c r="B430" t="s">
        <v>307</v>
      </c>
      <c r="C430" t="s">
        <v>308</v>
      </c>
      <c r="D430" t="s">
        <v>309</v>
      </c>
      <c r="E430" t="s">
        <v>134</v>
      </c>
      <c r="H430" t="s">
        <v>171</v>
      </c>
      <c r="I430" t="s">
        <v>169</v>
      </c>
      <c r="J430" t="s">
        <v>258</v>
      </c>
      <c r="K430" t="s">
        <v>360</v>
      </c>
      <c r="L430" t="s">
        <v>358</v>
      </c>
      <c r="N430" t="s">
        <v>361</v>
      </c>
      <c r="O430" t="s">
        <v>134</v>
      </c>
      <c r="Q430" t="s">
        <v>208</v>
      </c>
      <c r="R430" t="s">
        <v>172</v>
      </c>
      <c r="S430" t="s">
        <v>128</v>
      </c>
      <c r="T430" t="s">
        <v>181</v>
      </c>
      <c r="U430" t="s">
        <v>129</v>
      </c>
      <c r="V430" t="s">
        <v>72</v>
      </c>
      <c r="W430" s="58">
        <v>43318</v>
      </c>
      <c r="X430" s="59">
        <v>0.4375</v>
      </c>
      <c r="Y430" s="59">
        <v>0.52083333333333337</v>
      </c>
      <c r="Z430" s="59">
        <v>8.3333333333333329E-2</v>
      </c>
      <c r="AA430">
        <v>0</v>
      </c>
      <c r="AB430">
        <v>4.6454000000000004</v>
      </c>
      <c r="AC430">
        <v>46</v>
      </c>
      <c r="AD430">
        <v>18</v>
      </c>
      <c r="AE430" s="59">
        <v>0.4375</v>
      </c>
      <c r="AF430" s="59">
        <v>0.52013888888888882</v>
      </c>
      <c r="AG430">
        <v>37.5</v>
      </c>
    </row>
    <row r="431" spans="1:33" x14ac:dyDescent="0.25">
      <c r="A431" t="s">
        <v>258</v>
      </c>
      <c r="B431" t="s">
        <v>314</v>
      </c>
      <c r="C431" t="s">
        <v>315</v>
      </c>
      <c r="D431">
        <v>72</v>
      </c>
      <c r="E431" t="s">
        <v>316</v>
      </c>
      <c r="F431" t="s">
        <v>317</v>
      </c>
      <c r="G431" t="s">
        <v>218</v>
      </c>
      <c r="H431" t="s">
        <v>168</v>
      </c>
      <c r="I431" t="s">
        <v>169</v>
      </c>
      <c r="J431" t="s">
        <v>258</v>
      </c>
      <c r="K431" t="s">
        <v>360</v>
      </c>
      <c r="L431" t="s">
        <v>358</v>
      </c>
      <c r="N431" t="s">
        <v>361</v>
      </c>
      <c r="O431" t="s">
        <v>134</v>
      </c>
      <c r="Q431" t="s">
        <v>208</v>
      </c>
      <c r="R431" t="s">
        <v>170</v>
      </c>
      <c r="S431" t="s">
        <v>128</v>
      </c>
      <c r="T431" t="s">
        <v>181</v>
      </c>
      <c r="U431" t="s">
        <v>129</v>
      </c>
      <c r="V431" t="s">
        <v>73</v>
      </c>
      <c r="W431" s="58">
        <v>43319</v>
      </c>
      <c r="X431" s="59">
        <v>0.33333333333333331</v>
      </c>
      <c r="Y431" s="59">
        <v>0.35416666666666669</v>
      </c>
      <c r="Z431" s="59">
        <v>2.0833333333333332E-2</v>
      </c>
      <c r="AA431">
        <v>0</v>
      </c>
      <c r="AC431">
        <v>11.5</v>
      </c>
      <c r="AD431">
        <v>4.5</v>
      </c>
      <c r="AE431" s="59">
        <v>0.33333333333333331</v>
      </c>
      <c r="AF431" s="59">
        <v>0.35347222222222219</v>
      </c>
      <c r="AG431">
        <v>37.5</v>
      </c>
    </row>
    <row r="432" spans="1:33" x14ac:dyDescent="0.25">
      <c r="A432" t="s">
        <v>258</v>
      </c>
      <c r="B432" t="s">
        <v>325</v>
      </c>
      <c r="C432" t="s">
        <v>326</v>
      </c>
      <c r="E432" t="s">
        <v>327</v>
      </c>
      <c r="F432" t="s">
        <v>134</v>
      </c>
      <c r="H432" t="s">
        <v>182</v>
      </c>
      <c r="I432" t="s">
        <v>147</v>
      </c>
      <c r="J432" t="s">
        <v>258</v>
      </c>
      <c r="K432" t="s">
        <v>360</v>
      </c>
      <c r="L432" t="s">
        <v>358</v>
      </c>
      <c r="N432" t="s">
        <v>361</v>
      </c>
      <c r="O432" t="s">
        <v>134</v>
      </c>
      <c r="Q432" t="s">
        <v>208</v>
      </c>
      <c r="R432" t="s">
        <v>183</v>
      </c>
      <c r="S432" t="s">
        <v>128</v>
      </c>
      <c r="T432" t="s">
        <v>181</v>
      </c>
      <c r="U432" t="s">
        <v>129</v>
      </c>
      <c r="V432" t="s">
        <v>73</v>
      </c>
      <c r="W432" s="58">
        <v>43319</v>
      </c>
      <c r="X432" s="59">
        <v>0.36458333333333331</v>
      </c>
      <c r="Y432" s="59">
        <v>0.40625</v>
      </c>
      <c r="Z432" s="59">
        <v>4.1666666666666664E-2</v>
      </c>
      <c r="AA432">
        <v>0</v>
      </c>
      <c r="AB432">
        <v>3.7126000000000001</v>
      </c>
      <c r="AC432">
        <v>23</v>
      </c>
      <c r="AD432">
        <v>9</v>
      </c>
      <c r="AE432" s="59">
        <v>0.36458333333333331</v>
      </c>
      <c r="AF432" s="59">
        <v>0.4055555555555555</v>
      </c>
      <c r="AG432">
        <v>37.5</v>
      </c>
    </row>
    <row r="433" spans="1:33" x14ac:dyDescent="0.25">
      <c r="A433" t="s">
        <v>266</v>
      </c>
      <c r="B433" t="s">
        <v>293</v>
      </c>
      <c r="C433" t="s">
        <v>294</v>
      </c>
      <c r="E433" t="s">
        <v>295</v>
      </c>
      <c r="F433" t="s">
        <v>134</v>
      </c>
      <c r="H433" t="s">
        <v>157</v>
      </c>
      <c r="I433" t="s">
        <v>158</v>
      </c>
      <c r="J433" t="s">
        <v>258</v>
      </c>
      <c r="K433" t="s">
        <v>360</v>
      </c>
      <c r="L433" t="s">
        <v>358</v>
      </c>
      <c r="N433" t="s">
        <v>361</v>
      </c>
      <c r="O433" t="s">
        <v>134</v>
      </c>
      <c r="Q433" t="s">
        <v>208</v>
      </c>
      <c r="R433" t="s">
        <v>161</v>
      </c>
      <c r="S433" t="s">
        <v>128</v>
      </c>
      <c r="T433" t="s">
        <v>181</v>
      </c>
      <c r="U433" t="s">
        <v>163</v>
      </c>
      <c r="V433" t="s">
        <v>73</v>
      </c>
      <c r="W433" s="58">
        <v>43319</v>
      </c>
      <c r="X433" s="59">
        <v>0.6875</v>
      </c>
      <c r="Y433" s="59">
        <v>0.85416666666666663</v>
      </c>
      <c r="Z433" s="59">
        <v>0.16666666666666666</v>
      </c>
      <c r="AA433">
        <v>0</v>
      </c>
      <c r="AC433">
        <v>72</v>
      </c>
      <c r="AD433">
        <v>36</v>
      </c>
      <c r="AE433" s="59">
        <v>0.6875</v>
      </c>
      <c r="AF433" s="59">
        <v>0.8534722222222223</v>
      </c>
      <c r="AG433">
        <v>37.5</v>
      </c>
    </row>
    <row r="434" spans="1:33" x14ac:dyDescent="0.25">
      <c r="A434" t="s">
        <v>258</v>
      </c>
      <c r="B434" t="s">
        <v>314</v>
      </c>
      <c r="C434" t="s">
        <v>315</v>
      </c>
      <c r="D434">
        <v>72</v>
      </c>
      <c r="E434" t="s">
        <v>316</v>
      </c>
      <c r="F434" t="s">
        <v>317</v>
      </c>
      <c r="G434" t="s">
        <v>218</v>
      </c>
      <c r="H434" t="s">
        <v>168</v>
      </c>
      <c r="I434" t="s">
        <v>169</v>
      </c>
      <c r="J434" t="s">
        <v>258</v>
      </c>
      <c r="K434" t="s">
        <v>360</v>
      </c>
      <c r="L434" t="s">
        <v>358</v>
      </c>
      <c r="N434" t="s">
        <v>361</v>
      </c>
      <c r="O434" t="s">
        <v>134</v>
      </c>
      <c r="Q434" t="s">
        <v>208</v>
      </c>
      <c r="R434" t="s">
        <v>170</v>
      </c>
      <c r="S434" t="s">
        <v>128</v>
      </c>
      <c r="T434" t="s">
        <v>181</v>
      </c>
      <c r="U434" t="s">
        <v>129</v>
      </c>
      <c r="V434" t="s">
        <v>74</v>
      </c>
      <c r="W434" s="58">
        <v>43320</v>
      </c>
      <c r="X434" s="59">
        <v>0.33333333333333331</v>
      </c>
      <c r="Y434" s="59">
        <v>0.35416666666666669</v>
      </c>
      <c r="Z434" s="59">
        <v>2.0833333333333332E-2</v>
      </c>
      <c r="AA434">
        <v>0</v>
      </c>
      <c r="AC434">
        <v>11.5</v>
      </c>
      <c r="AD434">
        <v>4.5</v>
      </c>
      <c r="AE434" s="59">
        <v>0.33333333333333331</v>
      </c>
      <c r="AF434" s="59">
        <v>0.35347222222222219</v>
      </c>
      <c r="AG434">
        <v>37.5</v>
      </c>
    </row>
    <row r="435" spans="1:33" x14ac:dyDescent="0.25">
      <c r="A435" t="s">
        <v>258</v>
      </c>
      <c r="B435" t="s">
        <v>259</v>
      </c>
      <c r="C435" t="s">
        <v>260</v>
      </c>
      <c r="E435" t="s">
        <v>261</v>
      </c>
      <c r="F435" t="s">
        <v>134</v>
      </c>
      <c r="H435" t="s">
        <v>130</v>
      </c>
      <c r="I435" t="s">
        <v>127</v>
      </c>
      <c r="J435" t="s">
        <v>258</v>
      </c>
      <c r="K435" t="s">
        <v>360</v>
      </c>
      <c r="L435" t="s">
        <v>358</v>
      </c>
      <c r="N435" t="s">
        <v>361</v>
      </c>
      <c r="O435" t="s">
        <v>134</v>
      </c>
      <c r="Q435" t="s">
        <v>208</v>
      </c>
      <c r="R435" t="s">
        <v>131</v>
      </c>
      <c r="S435" t="s">
        <v>128</v>
      </c>
      <c r="T435" t="s">
        <v>181</v>
      </c>
      <c r="U435" t="s">
        <v>129</v>
      </c>
      <c r="V435" t="s">
        <v>74</v>
      </c>
      <c r="W435" s="58">
        <v>43320</v>
      </c>
      <c r="X435" s="59">
        <v>0.3576388888888889</v>
      </c>
      <c r="Y435" s="59">
        <v>0.39930555555555558</v>
      </c>
      <c r="Z435" s="59">
        <v>4.1666666666666664E-2</v>
      </c>
      <c r="AA435">
        <v>0</v>
      </c>
      <c r="AB435">
        <v>1.6512</v>
      </c>
      <c r="AC435">
        <v>23</v>
      </c>
      <c r="AD435">
        <v>9</v>
      </c>
      <c r="AE435" s="59">
        <v>0.3576388888888889</v>
      </c>
      <c r="AF435" s="59">
        <v>0.39861111111111108</v>
      </c>
      <c r="AG435">
        <v>37.5</v>
      </c>
    </row>
    <row r="436" spans="1:33" x14ac:dyDescent="0.25">
      <c r="A436" t="s">
        <v>258</v>
      </c>
      <c r="B436" t="s">
        <v>310</v>
      </c>
      <c r="C436" t="s">
        <v>311</v>
      </c>
      <c r="D436" t="s">
        <v>312</v>
      </c>
      <c r="E436" t="s">
        <v>313</v>
      </c>
      <c r="F436" t="s">
        <v>134</v>
      </c>
      <c r="H436" t="s">
        <v>175</v>
      </c>
      <c r="I436" t="s">
        <v>127</v>
      </c>
      <c r="J436" t="s">
        <v>258</v>
      </c>
      <c r="K436" t="s">
        <v>360</v>
      </c>
      <c r="L436" t="s">
        <v>358</v>
      </c>
      <c r="N436" t="s">
        <v>361</v>
      </c>
      <c r="O436" t="s">
        <v>134</v>
      </c>
      <c r="Q436" t="s">
        <v>208</v>
      </c>
      <c r="R436" t="s">
        <v>176</v>
      </c>
      <c r="S436" t="s">
        <v>128</v>
      </c>
      <c r="T436" t="s">
        <v>181</v>
      </c>
      <c r="U436" t="s">
        <v>151</v>
      </c>
      <c r="V436" t="s">
        <v>74</v>
      </c>
      <c r="W436" s="58">
        <v>43320</v>
      </c>
      <c r="X436" s="59">
        <v>0.40486111111111112</v>
      </c>
      <c r="Y436" s="59">
        <v>0.4465277777777778</v>
      </c>
      <c r="Z436" s="59">
        <v>4.1666666666666664E-2</v>
      </c>
      <c r="AA436">
        <v>0</v>
      </c>
      <c r="AB436">
        <v>0.3296</v>
      </c>
      <c r="AC436">
        <v>20</v>
      </c>
      <c r="AD436">
        <v>9</v>
      </c>
      <c r="AE436" s="59">
        <v>0.40486111111111112</v>
      </c>
      <c r="AF436" s="59">
        <v>0.4458333333333333</v>
      </c>
      <c r="AG436">
        <v>37.5</v>
      </c>
    </row>
    <row r="437" spans="1:33" x14ac:dyDescent="0.25">
      <c r="A437" t="s">
        <v>274</v>
      </c>
      <c r="B437" t="s">
        <v>328</v>
      </c>
      <c r="C437" t="s">
        <v>329</v>
      </c>
      <c r="D437">
        <v>5</v>
      </c>
      <c r="E437" t="s">
        <v>330</v>
      </c>
      <c r="F437" t="s">
        <v>134</v>
      </c>
      <c r="G437" t="s">
        <v>218</v>
      </c>
      <c r="H437" t="s">
        <v>188</v>
      </c>
      <c r="I437" t="s">
        <v>189</v>
      </c>
      <c r="J437" t="s">
        <v>258</v>
      </c>
      <c r="K437" t="s">
        <v>360</v>
      </c>
      <c r="L437" t="s">
        <v>358</v>
      </c>
      <c r="N437" t="s">
        <v>361</v>
      </c>
      <c r="O437" t="s">
        <v>134</v>
      </c>
      <c r="Q437" t="s">
        <v>208</v>
      </c>
      <c r="R437" t="s">
        <v>190</v>
      </c>
      <c r="S437" t="s">
        <v>128</v>
      </c>
      <c r="T437" t="s">
        <v>181</v>
      </c>
      <c r="U437" t="s">
        <v>174</v>
      </c>
      <c r="V437" t="s">
        <v>74</v>
      </c>
      <c r="W437" s="58">
        <v>43320</v>
      </c>
      <c r="X437" s="59">
        <v>0.45833333333333331</v>
      </c>
      <c r="Y437" s="59">
        <v>0.48958333333333331</v>
      </c>
      <c r="Z437" s="59">
        <v>3.125E-2</v>
      </c>
      <c r="AA437">
        <v>0</v>
      </c>
      <c r="AB437">
        <v>3.0886</v>
      </c>
      <c r="AD437">
        <v>6.75</v>
      </c>
      <c r="AE437" s="59">
        <v>0.45833333333333331</v>
      </c>
      <c r="AF437" s="59">
        <v>0.48888888888888887</v>
      </c>
      <c r="AG437">
        <v>37.5</v>
      </c>
    </row>
    <row r="438" spans="1:33" x14ac:dyDescent="0.25">
      <c r="A438" t="s">
        <v>274</v>
      </c>
      <c r="B438" t="s">
        <v>328</v>
      </c>
      <c r="C438" t="s">
        <v>329</v>
      </c>
      <c r="D438">
        <v>5</v>
      </c>
      <c r="E438" t="s">
        <v>330</v>
      </c>
      <c r="F438" t="s">
        <v>134</v>
      </c>
      <c r="G438" t="s">
        <v>218</v>
      </c>
      <c r="H438" t="s">
        <v>188</v>
      </c>
      <c r="I438" t="s">
        <v>189</v>
      </c>
      <c r="J438" t="s">
        <v>258</v>
      </c>
      <c r="K438" t="s">
        <v>360</v>
      </c>
      <c r="L438" t="s">
        <v>358</v>
      </c>
      <c r="N438" t="s">
        <v>361</v>
      </c>
      <c r="O438" t="s">
        <v>134</v>
      </c>
      <c r="Q438" t="s">
        <v>208</v>
      </c>
      <c r="R438" t="s">
        <v>190</v>
      </c>
      <c r="S438" t="s">
        <v>128</v>
      </c>
      <c r="T438" t="s">
        <v>181</v>
      </c>
      <c r="U438" t="s">
        <v>151</v>
      </c>
      <c r="V438" t="s">
        <v>74</v>
      </c>
      <c r="W438" s="58">
        <v>43320</v>
      </c>
      <c r="X438" s="59">
        <v>0.5</v>
      </c>
      <c r="Y438" s="59">
        <v>0.75</v>
      </c>
      <c r="Z438" s="59">
        <v>0.25</v>
      </c>
      <c r="AA438">
        <v>15</v>
      </c>
      <c r="AB438">
        <v>0</v>
      </c>
      <c r="AC438">
        <v>120</v>
      </c>
      <c r="AD438">
        <v>54</v>
      </c>
      <c r="AE438" s="59">
        <v>0.5</v>
      </c>
      <c r="AF438" s="59">
        <v>0.74930555555555556</v>
      </c>
      <c r="AG438">
        <v>37.5</v>
      </c>
    </row>
    <row r="439" spans="1:33" x14ac:dyDescent="0.25">
      <c r="A439" t="s">
        <v>274</v>
      </c>
      <c r="B439" t="s">
        <v>321</v>
      </c>
      <c r="C439" t="s">
        <v>322</v>
      </c>
      <c r="D439" t="s">
        <v>323</v>
      </c>
      <c r="E439" t="s">
        <v>324</v>
      </c>
      <c r="F439" t="s">
        <v>134</v>
      </c>
      <c r="H439" t="s">
        <v>184</v>
      </c>
      <c r="I439" t="s">
        <v>147</v>
      </c>
      <c r="J439" t="s">
        <v>258</v>
      </c>
      <c r="K439" t="s">
        <v>360</v>
      </c>
      <c r="L439" t="s">
        <v>358</v>
      </c>
      <c r="N439" t="s">
        <v>361</v>
      </c>
      <c r="O439" t="s">
        <v>134</v>
      </c>
      <c r="Q439" t="s">
        <v>208</v>
      </c>
      <c r="R439" t="s">
        <v>185</v>
      </c>
      <c r="S439" t="s">
        <v>128</v>
      </c>
      <c r="T439" t="s">
        <v>181</v>
      </c>
      <c r="U439" t="s">
        <v>151</v>
      </c>
      <c r="V439" t="s">
        <v>74</v>
      </c>
      <c r="W439" s="58">
        <v>43320</v>
      </c>
      <c r="X439" s="59">
        <v>0.8125</v>
      </c>
      <c r="Y439" s="59">
        <v>0.84375</v>
      </c>
      <c r="Z439" s="59">
        <v>3.125E-2</v>
      </c>
      <c r="AA439">
        <v>0</v>
      </c>
      <c r="AB439">
        <v>1.9068000000000001</v>
      </c>
      <c r="AC439">
        <v>15</v>
      </c>
      <c r="AD439">
        <v>6.75</v>
      </c>
      <c r="AE439" s="59">
        <v>0.8125</v>
      </c>
      <c r="AF439" s="59">
        <v>0.84305555555555556</v>
      </c>
      <c r="AG439">
        <v>37.5</v>
      </c>
    </row>
    <row r="440" spans="1:33" x14ac:dyDescent="0.25">
      <c r="A440" t="s">
        <v>266</v>
      </c>
      <c r="B440" t="s">
        <v>348</v>
      </c>
      <c r="C440" t="s">
        <v>349</v>
      </c>
      <c r="E440" t="s">
        <v>350</v>
      </c>
      <c r="F440" t="s">
        <v>134</v>
      </c>
      <c r="H440" t="s">
        <v>202</v>
      </c>
      <c r="I440" t="s">
        <v>139</v>
      </c>
      <c r="J440" t="s">
        <v>258</v>
      </c>
      <c r="K440" t="s">
        <v>360</v>
      </c>
      <c r="L440" t="s">
        <v>358</v>
      </c>
      <c r="N440" t="s">
        <v>361</v>
      </c>
      <c r="O440" t="s">
        <v>134</v>
      </c>
      <c r="Q440" t="s">
        <v>208</v>
      </c>
      <c r="R440" t="s">
        <v>203</v>
      </c>
      <c r="S440" t="s">
        <v>128</v>
      </c>
      <c r="T440" t="s">
        <v>181</v>
      </c>
      <c r="U440" t="s">
        <v>151</v>
      </c>
      <c r="V440" t="s">
        <v>75</v>
      </c>
      <c r="W440" s="58">
        <v>43321</v>
      </c>
      <c r="X440" s="59">
        <v>0.29166666666666669</v>
      </c>
      <c r="Y440" s="59">
        <v>0.33333333333333331</v>
      </c>
      <c r="Z440" s="59">
        <v>4.1666666666666664E-2</v>
      </c>
      <c r="AA440">
        <v>0</v>
      </c>
      <c r="AC440">
        <v>20</v>
      </c>
      <c r="AD440">
        <v>9</v>
      </c>
      <c r="AE440" s="59">
        <v>0.29166666666666669</v>
      </c>
      <c r="AF440" s="59">
        <v>0.33263888888888887</v>
      </c>
      <c r="AG440">
        <v>37.5</v>
      </c>
    </row>
    <row r="441" spans="1:33" x14ac:dyDescent="0.25">
      <c r="A441" t="s">
        <v>258</v>
      </c>
      <c r="B441" t="s">
        <v>325</v>
      </c>
      <c r="C441" t="s">
        <v>326</v>
      </c>
      <c r="E441" t="s">
        <v>327</v>
      </c>
      <c r="F441" t="s">
        <v>134</v>
      </c>
      <c r="H441" t="s">
        <v>182</v>
      </c>
      <c r="I441" t="s">
        <v>147</v>
      </c>
      <c r="J441" t="s">
        <v>258</v>
      </c>
      <c r="K441" t="s">
        <v>360</v>
      </c>
      <c r="L441" t="s">
        <v>358</v>
      </c>
      <c r="N441" t="s">
        <v>361</v>
      </c>
      <c r="O441" t="s">
        <v>134</v>
      </c>
      <c r="Q441" t="s">
        <v>208</v>
      </c>
      <c r="R441" t="s">
        <v>183</v>
      </c>
      <c r="S441" t="s">
        <v>128</v>
      </c>
      <c r="T441" t="s">
        <v>181</v>
      </c>
      <c r="U441" t="s">
        <v>129</v>
      </c>
      <c r="V441" t="s">
        <v>75</v>
      </c>
      <c r="W441" s="58">
        <v>43321</v>
      </c>
      <c r="X441" s="59">
        <v>0.36458333333333331</v>
      </c>
      <c r="Y441" s="59">
        <v>0.40625</v>
      </c>
      <c r="Z441" s="59">
        <v>4.1666666666666664E-2</v>
      </c>
      <c r="AA441">
        <v>13</v>
      </c>
      <c r="AB441">
        <v>10.433999999999999</v>
      </c>
      <c r="AC441">
        <v>23</v>
      </c>
      <c r="AD441">
        <v>9</v>
      </c>
      <c r="AE441" s="59">
        <v>0.36458333333333331</v>
      </c>
      <c r="AF441" s="59">
        <v>0.4055555555555555</v>
      </c>
      <c r="AG441">
        <v>37.5</v>
      </c>
    </row>
    <row r="442" spans="1:33" x14ac:dyDescent="0.25">
      <c r="A442" t="s">
        <v>274</v>
      </c>
      <c r="B442" t="s">
        <v>321</v>
      </c>
      <c r="C442" t="s">
        <v>322</v>
      </c>
      <c r="D442" t="s">
        <v>323</v>
      </c>
      <c r="E442" t="s">
        <v>324</v>
      </c>
      <c r="F442" t="s">
        <v>134</v>
      </c>
      <c r="H442" t="s">
        <v>184</v>
      </c>
      <c r="I442" t="s">
        <v>147</v>
      </c>
      <c r="J442" t="s">
        <v>258</v>
      </c>
      <c r="K442" t="s">
        <v>360</v>
      </c>
      <c r="L442" t="s">
        <v>358</v>
      </c>
      <c r="N442" t="s">
        <v>361</v>
      </c>
      <c r="O442" t="s">
        <v>134</v>
      </c>
      <c r="Q442" t="s">
        <v>208</v>
      </c>
      <c r="R442" t="s">
        <v>185</v>
      </c>
      <c r="S442" t="s">
        <v>128</v>
      </c>
      <c r="T442" t="s">
        <v>181</v>
      </c>
      <c r="U442" t="s">
        <v>151</v>
      </c>
      <c r="V442" t="s">
        <v>75</v>
      </c>
      <c r="W442" s="58">
        <v>43321</v>
      </c>
      <c r="X442" s="59">
        <v>0.41666666666666669</v>
      </c>
      <c r="Y442" s="59">
        <v>0.45833333333333331</v>
      </c>
      <c r="Z442" s="59">
        <v>4.1666666666666664E-2</v>
      </c>
      <c r="AA442">
        <v>4</v>
      </c>
      <c r="AB442">
        <v>2.2181999999999999</v>
      </c>
      <c r="AC442">
        <v>20</v>
      </c>
      <c r="AD442">
        <v>9</v>
      </c>
      <c r="AE442" s="59">
        <v>0.41666666666666669</v>
      </c>
      <c r="AF442" s="59">
        <v>0.45763888888888887</v>
      </c>
      <c r="AG442">
        <v>37.5</v>
      </c>
    </row>
    <row r="443" spans="1:33" x14ac:dyDescent="0.25">
      <c r="A443" t="s">
        <v>258</v>
      </c>
      <c r="B443" t="s">
        <v>325</v>
      </c>
      <c r="C443" t="s">
        <v>326</v>
      </c>
      <c r="E443" t="s">
        <v>327</v>
      </c>
      <c r="F443" t="s">
        <v>134</v>
      </c>
      <c r="H443" t="s">
        <v>182</v>
      </c>
      <c r="I443" t="s">
        <v>147</v>
      </c>
      <c r="J443" t="s">
        <v>258</v>
      </c>
      <c r="K443" t="s">
        <v>360</v>
      </c>
      <c r="L443" t="s">
        <v>358</v>
      </c>
      <c r="N443" t="s">
        <v>361</v>
      </c>
      <c r="O443" t="s">
        <v>134</v>
      </c>
      <c r="Q443" t="s">
        <v>208</v>
      </c>
      <c r="R443" t="s">
        <v>183</v>
      </c>
      <c r="S443" t="s">
        <v>128</v>
      </c>
      <c r="T443" t="s">
        <v>181</v>
      </c>
      <c r="U443" t="s">
        <v>129</v>
      </c>
      <c r="V443" t="s">
        <v>75</v>
      </c>
      <c r="W443" s="58">
        <v>43321</v>
      </c>
      <c r="X443" s="59">
        <v>0.52083333333333337</v>
      </c>
      <c r="Y443" s="59">
        <v>0.5625</v>
      </c>
      <c r="Z443" s="59">
        <v>4.1666666666666664E-2</v>
      </c>
      <c r="AA443">
        <v>0</v>
      </c>
      <c r="AB443">
        <v>2.2181999999999999</v>
      </c>
      <c r="AC443">
        <v>23</v>
      </c>
      <c r="AD443">
        <v>9</v>
      </c>
      <c r="AE443" s="59">
        <v>0.52083333333333337</v>
      </c>
      <c r="AF443" s="59">
        <v>0.56180555555555556</v>
      </c>
      <c r="AG443">
        <v>37.5</v>
      </c>
    </row>
    <row r="444" spans="1:33" x14ac:dyDescent="0.25">
      <c r="A444" t="s">
        <v>258</v>
      </c>
      <c r="B444" t="s">
        <v>299</v>
      </c>
      <c r="C444" t="s">
        <v>300</v>
      </c>
      <c r="D444" t="s">
        <v>301</v>
      </c>
      <c r="E444" t="s">
        <v>302</v>
      </c>
      <c r="F444" t="s">
        <v>303</v>
      </c>
      <c r="H444" t="s">
        <v>166</v>
      </c>
      <c r="I444" t="s">
        <v>142</v>
      </c>
      <c r="J444" t="s">
        <v>258</v>
      </c>
      <c r="K444" t="s">
        <v>360</v>
      </c>
      <c r="L444" t="s">
        <v>358</v>
      </c>
      <c r="N444" t="s">
        <v>361</v>
      </c>
      <c r="O444" t="s">
        <v>134</v>
      </c>
      <c r="Q444" t="s">
        <v>208</v>
      </c>
      <c r="R444" t="s">
        <v>167</v>
      </c>
      <c r="S444" t="s">
        <v>128</v>
      </c>
      <c r="T444" t="s">
        <v>181</v>
      </c>
      <c r="U444" t="s">
        <v>129</v>
      </c>
      <c r="V444" t="s">
        <v>76</v>
      </c>
      <c r="W444" s="58">
        <v>43322</v>
      </c>
      <c r="X444" s="59">
        <v>0.30694444444444441</v>
      </c>
      <c r="Y444" s="59">
        <v>0.34861111111111115</v>
      </c>
      <c r="Z444" s="59">
        <v>4.1666666666666664E-2</v>
      </c>
      <c r="AA444">
        <v>0</v>
      </c>
      <c r="AC444">
        <v>23</v>
      </c>
      <c r="AD444">
        <v>9</v>
      </c>
      <c r="AE444" s="59">
        <v>0.30694444444444441</v>
      </c>
      <c r="AF444" s="59">
        <v>0.34791666666666665</v>
      </c>
      <c r="AG444">
        <v>37.5</v>
      </c>
    </row>
    <row r="445" spans="1:33" x14ac:dyDescent="0.25">
      <c r="A445" t="s">
        <v>258</v>
      </c>
      <c r="B445" t="s">
        <v>259</v>
      </c>
      <c r="C445" t="s">
        <v>260</v>
      </c>
      <c r="E445" t="s">
        <v>261</v>
      </c>
      <c r="F445" t="s">
        <v>134</v>
      </c>
      <c r="H445" t="s">
        <v>130</v>
      </c>
      <c r="I445" t="s">
        <v>127</v>
      </c>
      <c r="J445" t="s">
        <v>258</v>
      </c>
      <c r="K445" t="s">
        <v>360</v>
      </c>
      <c r="L445" t="s">
        <v>358</v>
      </c>
      <c r="N445" t="s">
        <v>361</v>
      </c>
      <c r="O445" t="s">
        <v>134</v>
      </c>
      <c r="Q445" t="s">
        <v>208</v>
      </c>
      <c r="R445" t="s">
        <v>131</v>
      </c>
      <c r="S445" t="s">
        <v>128</v>
      </c>
      <c r="T445" t="s">
        <v>181</v>
      </c>
      <c r="U445" t="s">
        <v>129</v>
      </c>
      <c r="V445" t="s">
        <v>76</v>
      </c>
      <c r="W445" s="58">
        <v>43322</v>
      </c>
      <c r="X445" s="59">
        <v>0.36180555555555555</v>
      </c>
      <c r="Y445" s="59">
        <v>0.40347222222222223</v>
      </c>
      <c r="Z445" s="59">
        <v>4.1666666666666664E-2</v>
      </c>
      <c r="AA445">
        <v>0</v>
      </c>
      <c r="AB445">
        <v>4.9194000000000004</v>
      </c>
      <c r="AC445">
        <v>23</v>
      </c>
      <c r="AD445">
        <v>9</v>
      </c>
      <c r="AE445" s="59">
        <v>0.36180555555555555</v>
      </c>
      <c r="AF445" s="59">
        <v>0.40277777777777773</v>
      </c>
      <c r="AG445">
        <v>37.5</v>
      </c>
    </row>
    <row r="446" spans="1:33" x14ac:dyDescent="0.25">
      <c r="A446" t="s">
        <v>274</v>
      </c>
      <c r="B446" t="s">
        <v>321</v>
      </c>
      <c r="C446" t="s">
        <v>322</v>
      </c>
      <c r="D446" t="s">
        <v>323</v>
      </c>
      <c r="E446" t="s">
        <v>324</v>
      </c>
      <c r="F446" t="s">
        <v>134</v>
      </c>
      <c r="H446" t="s">
        <v>184</v>
      </c>
      <c r="I446" t="s">
        <v>147</v>
      </c>
      <c r="J446" t="s">
        <v>258</v>
      </c>
      <c r="K446" t="s">
        <v>360</v>
      </c>
      <c r="L446" t="s">
        <v>358</v>
      </c>
      <c r="N446" t="s">
        <v>361</v>
      </c>
      <c r="O446" t="s">
        <v>134</v>
      </c>
      <c r="Q446" t="s">
        <v>208</v>
      </c>
      <c r="R446" t="s">
        <v>185</v>
      </c>
      <c r="S446" t="s">
        <v>128</v>
      </c>
      <c r="T446" t="s">
        <v>181</v>
      </c>
      <c r="U446" t="s">
        <v>151</v>
      </c>
      <c r="V446" t="s">
        <v>76</v>
      </c>
      <c r="W446" s="58">
        <v>43322</v>
      </c>
      <c r="X446" s="59">
        <v>0.41666666666666669</v>
      </c>
      <c r="Y446" s="59">
        <v>0.45833333333333331</v>
      </c>
      <c r="Z446" s="59">
        <v>4.1666666666666664E-2</v>
      </c>
      <c r="AA446">
        <v>0</v>
      </c>
      <c r="AB446">
        <v>5.2215999999999996</v>
      </c>
      <c r="AC446">
        <v>20</v>
      </c>
      <c r="AD446">
        <v>9</v>
      </c>
      <c r="AE446" s="59">
        <v>0.41666666666666669</v>
      </c>
      <c r="AF446" s="59">
        <v>0.45763888888888887</v>
      </c>
      <c r="AG446">
        <v>37.5</v>
      </c>
    </row>
    <row r="447" spans="1:33" x14ac:dyDescent="0.25">
      <c r="A447" t="s">
        <v>274</v>
      </c>
      <c r="B447" t="s">
        <v>336</v>
      </c>
      <c r="C447" t="s">
        <v>337</v>
      </c>
      <c r="E447" t="s">
        <v>338</v>
      </c>
      <c r="F447" t="s">
        <v>134</v>
      </c>
      <c r="H447" t="s">
        <v>186</v>
      </c>
      <c r="I447" t="s">
        <v>147</v>
      </c>
      <c r="J447" t="s">
        <v>258</v>
      </c>
      <c r="K447" t="s">
        <v>360</v>
      </c>
      <c r="L447" t="s">
        <v>358</v>
      </c>
      <c r="N447" t="s">
        <v>361</v>
      </c>
      <c r="O447" t="s">
        <v>134</v>
      </c>
      <c r="Q447" t="s">
        <v>208</v>
      </c>
      <c r="R447" t="s">
        <v>187</v>
      </c>
      <c r="S447" t="s">
        <v>128</v>
      </c>
      <c r="T447" t="s">
        <v>181</v>
      </c>
      <c r="U447" t="s">
        <v>151</v>
      </c>
      <c r="V447" t="s">
        <v>76</v>
      </c>
      <c r="W447" s="58">
        <v>43322</v>
      </c>
      <c r="X447" s="59">
        <v>0.47916666666666669</v>
      </c>
      <c r="Y447" s="59">
        <v>0.5625</v>
      </c>
      <c r="Z447" s="59">
        <v>8.3333333333333329E-2</v>
      </c>
      <c r="AA447">
        <v>0</v>
      </c>
      <c r="AB447">
        <v>0.79659999999999997</v>
      </c>
      <c r="AC447">
        <v>40</v>
      </c>
      <c r="AD447">
        <v>18</v>
      </c>
      <c r="AE447" s="59">
        <v>0.47916666666666669</v>
      </c>
      <c r="AF447" s="59">
        <v>0.56180555555555556</v>
      </c>
      <c r="AG447">
        <v>37.5</v>
      </c>
    </row>
    <row r="448" spans="1:33" x14ac:dyDescent="0.25">
      <c r="A448" t="s">
        <v>258</v>
      </c>
      <c r="B448" t="s">
        <v>270</v>
      </c>
      <c r="C448" t="s">
        <v>271</v>
      </c>
      <c r="D448" t="s">
        <v>272</v>
      </c>
      <c r="E448" t="s">
        <v>273</v>
      </c>
      <c r="F448" t="s">
        <v>134</v>
      </c>
      <c r="H448" t="s">
        <v>138</v>
      </c>
      <c r="I448" t="s">
        <v>139</v>
      </c>
      <c r="J448" t="s">
        <v>258</v>
      </c>
      <c r="K448" t="s">
        <v>360</v>
      </c>
      <c r="L448" t="s">
        <v>358</v>
      </c>
      <c r="N448" t="s">
        <v>361</v>
      </c>
      <c r="O448" t="s">
        <v>134</v>
      </c>
      <c r="Q448" t="s">
        <v>208</v>
      </c>
      <c r="R448" t="s">
        <v>140</v>
      </c>
      <c r="S448" t="s">
        <v>128</v>
      </c>
      <c r="T448" t="s">
        <v>181</v>
      </c>
      <c r="U448" t="s">
        <v>129</v>
      </c>
      <c r="V448" t="s">
        <v>76</v>
      </c>
      <c r="W448" s="58">
        <v>43322</v>
      </c>
      <c r="X448" s="59">
        <v>0.76041666666666663</v>
      </c>
      <c r="Y448" s="59">
        <v>0.80208333333333337</v>
      </c>
      <c r="Z448" s="59">
        <v>4.1666666666666664E-2</v>
      </c>
      <c r="AA448">
        <v>0</v>
      </c>
      <c r="AC448">
        <v>23</v>
      </c>
      <c r="AD448">
        <v>9</v>
      </c>
      <c r="AE448" s="59">
        <v>0.76041666666666663</v>
      </c>
      <c r="AF448" s="59">
        <v>0.80138888888888893</v>
      </c>
      <c r="AG448">
        <v>37.5</v>
      </c>
    </row>
    <row r="449" spans="1:33" x14ac:dyDescent="0.25">
      <c r="A449" t="s">
        <v>274</v>
      </c>
      <c r="B449" t="s">
        <v>275</v>
      </c>
      <c r="C449" t="s">
        <v>276</v>
      </c>
      <c r="E449" t="s">
        <v>277</v>
      </c>
      <c r="F449" t="s">
        <v>134</v>
      </c>
      <c r="H449" t="s">
        <v>141</v>
      </c>
      <c r="I449" t="s">
        <v>142</v>
      </c>
      <c r="J449" t="s">
        <v>258</v>
      </c>
      <c r="K449" t="s">
        <v>360</v>
      </c>
      <c r="L449" t="s">
        <v>358</v>
      </c>
      <c r="N449" t="s">
        <v>361</v>
      </c>
      <c r="O449" t="s">
        <v>134</v>
      </c>
      <c r="Q449" t="s">
        <v>208</v>
      </c>
      <c r="R449" t="s">
        <v>143</v>
      </c>
      <c r="S449" t="s">
        <v>128</v>
      </c>
      <c r="T449" t="s">
        <v>181</v>
      </c>
      <c r="U449" t="s">
        <v>129</v>
      </c>
      <c r="V449" t="s">
        <v>76</v>
      </c>
      <c r="W449" s="58">
        <v>43322</v>
      </c>
      <c r="X449" s="59">
        <v>0.8125</v>
      </c>
      <c r="Y449" s="59">
        <v>0.83333333333333337</v>
      </c>
      <c r="Z449" s="59">
        <v>2.0833333333333332E-2</v>
      </c>
      <c r="AA449">
        <v>0</v>
      </c>
      <c r="AB449">
        <v>0.9</v>
      </c>
      <c r="AC449">
        <v>11.5</v>
      </c>
      <c r="AD449">
        <v>4.5</v>
      </c>
      <c r="AE449" s="59">
        <v>0.8125</v>
      </c>
      <c r="AF449" s="59">
        <v>0.83263888888888893</v>
      </c>
      <c r="AG449">
        <v>37.5</v>
      </c>
    </row>
    <row r="450" spans="1:33" x14ac:dyDescent="0.25">
      <c r="A450" t="s">
        <v>274</v>
      </c>
      <c r="B450" t="s">
        <v>321</v>
      </c>
      <c r="C450" t="s">
        <v>322</v>
      </c>
      <c r="D450" t="s">
        <v>323</v>
      </c>
      <c r="E450" t="s">
        <v>324</v>
      </c>
      <c r="F450" t="s">
        <v>134</v>
      </c>
      <c r="H450" t="s">
        <v>184</v>
      </c>
      <c r="I450" t="s">
        <v>147</v>
      </c>
      <c r="J450" t="s">
        <v>258</v>
      </c>
      <c r="K450" t="s">
        <v>360</v>
      </c>
      <c r="L450" t="s">
        <v>358</v>
      </c>
      <c r="N450" t="s">
        <v>361</v>
      </c>
      <c r="O450" t="s">
        <v>134</v>
      </c>
      <c r="Q450" t="s">
        <v>208</v>
      </c>
      <c r="R450" t="s">
        <v>185</v>
      </c>
      <c r="S450" t="s">
        <v>128</v>
      </c>
      <c r="T450" t="s">
        <v>181</v>
      </c>
      <c r="U450" t="s">
        <v>151</v>
      </c>
      <c r="V450" t="s">
        <v>76</v>
      </c>
      <c r="W450" s="58">
        <v>43322</v>
      </c>
      <c r="X450" s="59">
        <v>0.85</v>
      </c>
      <c r="Y450" s="59">
        <v>0.88124999999999998</v>
      </c>
      <c r="Z450" s="59">
        <v>3.125E-2</v>
      </c>
      <c r="AA450">
        <v>0</v>
      </c>
      <c r="AB450">
        <v>9.7805999999999997</v>
      </c>
      <c r="AC450">
        <v>15</v>
      </c>
      <c r="AD450">
        <v>6.75</v>
      </c>
      <c r="AE450" s="59">
        <v>0.85</v>
      </c>
      <c r="AF450" s="59">
        <v>0.88055555555555554</v>
      </c>
      <c r="AG450">
        <v>37.5</v>
      </c>
    </row>
    <row r="451" spans="1:33" x14ac:dyDescent="0.25">
      <c r="A451" t="s">
        <v>258</v>
      </c>
      <c r="B451" t="s">
        <v>270</v>
      </c>
      <c r="C451" t="s">
        <v>271</v>
      </c>
      <c r="D451" t="s">
        <v>272</v>
      </c>
      <c r="E451" t="s">
        <v>273</v>
      </c>
      <c r="F451" t="s">
        <v>134</v>
      </c>
      <c r="H451" t="s">
        <v>138</v>
      </c>
      <c r="I451" t="s">
        <v>139</v>
      </c>
      <c r="J451" t="s">
        <v>258</v>
      </c>
      <c r="K451" t="s">
        <v>360</v>
      </c>
      <c r="L451" t="s">
        <v>358</v>
      </c>
      <c r="N451" t="s">
        <v>361</v>
      </c>
      <c r="O451" t="s">
        <v>134</v>
      </c>
      <c r="Q451" t="s">
        <v>208</v>
      </c>
      <c r="R451" t="s">
        <v>140</v>
      </c>
      <c r="S451" t="s">
        <v>128</v>
      </c>
      <c r="T451" t="s">
        <v>181</v>
      </c>
      <c r="U451" t="s">
        <v>129</v>
      </c>
      <c r="V451" t="s">
        <v>77</v>
      </c>
      <c r="W451" s="58">
        <v>43323</v>
      </c>
      <c r="X451" s="59">
        <v>0.33333333333333331</v>
      </c>
      <c r="Y451" s="59">
        <v>0.375</v>
      </c>
      <c r="Z451" s="59">
        <v>4.1666666666666664E-2</v>
      </c>
      <c r="AA451">
        <v>0</v>
      </c>
      <c r="AC451">
        <v>23</v>
      </c>
      <c r="AD451">
        <v>10</v>
      </c>
      <c r="AE451" s="59">
        <v>0.33333333333333331</v>
      </c>
      <c r="AF451" s="59">
        <v>0.3743055555555555</v>
      </c>
      <c r="AG451">
        <v>37.5</v>
      </c>
    </row>
    <row r="452" spans="1:33" x14ac:dyDescent="0.25">
      <c r="A452" t="s">
        <v>266</v>
      </c>
      <c r="B452" t="s">
        <v>293</v>
      </c>
      <c r="C452" t="s">
        <v>294</v>
      </c>
      <c r="E452" t="s">
        <v>295</v>
      </c>
      <c r="F452" t="s">
        <v>134</v>
      </c>
      <c r="H452" t="s">
        <v>157</v>
      </c>
      <c r="I452" t="s">
        <v>158</v>
      </c>
      <c r="J452" t="s">
        <v>258</v>
      </c>
      <c r="K452" t="s">
        <v>360</v>
      </c>
      <c r="L452" t="s">
        <v>358</v>
      </c>
      <c r="N452" t="s">
        <v>361</v>
      </c>
      <c r="O452" t="s">
        <v>134</v>
      </c>
      <c r="Q452" t="s">
        <v>208</v>
      </c>
      <c r="R452" t="s">
        <v>161</v>
      </c>
      <c r="S452" t="s">
        <v>128</v>
      </c>
      <c r="T452" t="s">
        <v>181</v>
      </c>
      <c r="U452" t="s">
        <v>163</v>
      </c>
      <c r="V452" t="s">
        <v>77</v>
      </c>
      <c r="W452" s="58">
        <v>43323</v>
      </c>
      <c r="X452" s="59">
        <v>0.42708333333333331</v>
      </c>
      <c r="Y452" s="59">
        <v>0.63541666666666663</v>
      </c>
      <c r="Z452" s="59">
        <v>0.20833333333333334</v>
      </c>
      <c r="AA452">
        <v>0</v>
      </c>
      <c r="AB452">
        <v>4.1420000000000003</v>
      </c>
      <c r="AC452">
        <v>90</v>
      </c>
      <c r="AD452">
        <v>50</v>
      </c>
      <c r="AE452" s="59">
        <v>0.42708333333333331</v>
      </c>
      <c r="AF452" s="59">
        <v>0.63472222222222219</v>
      </c>
      <c r="AG452">
        <v>37.5</v>
      </c>
    </row>
    <row r="453" spans="1:33" x14ac:dyDescent="0.25">
      <c r="A453" t="s">
        <v>274</v>
      </c>
      <c r="B453" t="s">
        <v>328</v>
      </c>
      <c r="C453" t="s">
        <v>329</v>
      </c>
      <c r="D453">
        <v>5</v>
      </c>
      <c r="E453" t="s">
        <v>330</v>
      </c>
      <c r="F453" t="s">
        <v>134</v>
      </c>
      <c r="G453" t="s">
        <v>218</v>
      </c>
      <c r="H453" t="s">
        <v>188</v>
      </c>
      <c r="I453" t="s">
        <v>189</v>
      </c>
      <c r="J453" t="s">
        <v>258</v>
      </c>
      <c r="K453" t="s">
        <v>360</v>
      </c>
      <c r="L453" t="s">
        <v>358</v>
      </c>
      <c r="N453" t="s">
        <v>361</v>
      </c>
      <c r="O453" t="s">
        <v>134</v>
      </c>
      <c r="Q453" t="s">
        <v>208</v>
      </c>
      <c r="R453" t="s">
        <v>190</v>
      </c>
      <c r="S453" t="s">
        <v>128</v>
      </c>
      <c r="T453" t="s">
        <v>181</v>
      </c>
      <c r="U453" t="s">
        <v>151</v>
      </c>
      <c r="V453" t="s">
        <v>71</v>
      </c>
      <c r="W453" s="58">
        <v>43324</v>
      </c>
      <c r="X453" s="59">
        <v>0.375</v>
      </c>
      <c r="Y453" s="59">
        <v>0.45833333333333331</v>
      </c>
      <c r="Z453" s="59">
        <v>8.3333333333333329E-2</v>
      </c>
      <c r="AA453">
        <v>0</v>
      </c>
      <c r="AC453">
        <v>40</v>
      </c>
      <c r="AD453">
        <v>20</v>
      </c>
      <c r="AE453" s="59">
        <v>0.375</v>
      </c>
      <c r="AF453" s="59">
        <v>0.45763888888888887</v>
      </c>
      <c r="AG453">
        <v>37.5</v>
      </c>
    </row>
    <row r="454" spans="1:33" x14ac:dyDescent="0.25">
      <c r="A454" t="s">
        <v>266</v>
      </c>
      <c r="B454" t="s">
        <v>348</v>
      </c>
      <c r="C454" t="s">
        <v>349</v>
      </c>
      <c r="E454" t="s">
        <v>350</v>
      </c>
      <c r="F454" t="s">
        <v>134</v>
      </c>
      <c r="H454" t="s">
        <v>202</v>
      </c>
      <c r="I454" t="s">
        <v>139</v>
      </c>
      <c r="J454" t="s">
        <v>258</v>
      </c>
      <c r="K454" t="s">
        <v>360</v>
      </c>
      <c r="L454" t="s">
        <v>358</v>
      </c>
      <c r="N454" t="s">
        <v>361</v>
      </c>
      <c r="O454" t="s">
        <v>134</v>
      </c>
      <c r="Q454" t="s">
        <v>208</v>
      </c>
      <c r="R454" t="s">
        <v>203</v>
      </c>
      <c r="S454" t="s">
        <v>128</v>
      </c>
      <c r="T454" t="s">
        <v>181</v>
      </c>
      <c r="U454" t="s">
        <v>151</v>
      </c>
      <c r="V454" t="s">
        <v>73</v>
      </c>
      <c r="W454" s="58">
        <v>43326</v>
      </c>
      <c r="X454" s="59">
        <v>0.29166666666666669</v>
      </c>
      <c r="Y454" s="59">
        <v>0.33333333333333331</v>
      </c>
      <c r="Z454" s="59">
        <v>4.1666666666666664E-2</v>
      </c>
      <c r="AA454">
        <v>0</v>
      </c>
      <c r="AC454">
        <v>20</v>
      </c>
      <c r="AD454">
        <v>9</v>
      </c>
      <c r="AE454" s="59">
        <v>0.29166666666666669</v>
      </c>
      <c r="AF454" s="59">
        <v>0.33263888888888887</v>
      </c>
      <c r="AG454">
        <v>37.5</v>
      </c>
    </row>
    <row r="455" spans="1:33" x14ac:dyDescent="0.25">
      <c r="B455" t="s">
        <v>307</v>
      </c>
      <c r="C455" t="s">
        <v>308</v>
      </c>
      <c r="D455" t="s">
        <v>309</v>
      </c>
      <c r="E455" t="s">
        <v>134</v>
      </c>
      <c r="H455" t="s">
        <v>171</v>
      </c>
      <c r="I455" t="s">
        <v>169</v>
      </c>
      <c r="J455" t="s">
        <v>258</v>
      </c>
      <c r="K455" t="s">
        <v>360</v>
      </c>
      <c r="L455" t="s">
        <v>358</v>
      </c>
      <c r="N455" t="s">
        <v>361</v>
      </c>
      <c r="O455" t="s">
        <v>134</v>
      </c>
      <c r="Q455" t="s">
        <v>208</v>
      </c>
      <c r="R455" t="s">
        <v>172</v>
      </c>
      <c r="S455" t="s">
        <v>128</v>
      </c>
      <c r="T455" t="s">
        <v>181</v>
      </c>
      <c r="U455" t="s">
        <v>129</v>
      </c>
      <c r="V455" t="s">
        <v>73</v>
      </c>
      <c r="W455" s="58">
        <v>43326</v>
      </c>
      <c r="X455" s="59">
        <v>0.34375</v>
      </c>
      <c r="Y455" s="59">
        <v>0.38541666666666669</v>
      </c>
      <c r="Z455" s="59">
        <v>4.1666666666666664E-2</v>
      </c>
      <c r="AA455">
        <v>0</v>
      </c>
      <c r="AB455">
        <v>7.5885999999999996</v>
      </c>
      <c r="AC455">
        <v>23</v>
      </c>
      <c r="AD455">
        <v>9</v>
      </c>
      <c r="AE455" s="59">
        <v>0.34375</v>
      </c>
      <c r="AF455" s="59">
        <v>0.38472222222222219</v>
      </c>
      <c r="AG455">
        <v>37.5</v>
      </c>
    </row>
    <row r="456" spans="1:33" x14ac:dyDescent="0.25">
      <c r="A456" t="s">
        <v>258</v>
      </c>
      <c r="B456" t="s">
        <v>310</v>
      </c>
      <c r="C456" t="s">
        <v>311</v>
      </c>
      <c r="D456" t="s">
        <v>312</v>
      </c>
      <c r="E456" t="s">
        <v>313</v>
      </c>
      <c r="F456" t="s">
        <v>134</v>
      </c>
      <c r="H456" t="s">
        <v>175</v>
      </c>
      <c r="I456" t="s">
        <v>127</v>
      </c>
      <c r="J456" t="s">
        <v>258</v>
      </c>
      <c r="K456" t="s">
        <v>360</v>
      </c>
      <c r="L456" t="s">
        <v>358</v>
      </c>
      <c r="N456" t="s">
        <v>361</v>
      </c>
      <c r="O456" t="s">
        <v>134</v>
      </c>
      <c r="Q456" t="s">
        <v>208</v>
      </c>
      <c r="R456" t="s">
        <v>176</v>
      </c>
      <c r="S456" t="s">
        <v>128</v>
      </c>
      <c r="T456" t="s">
        <v>181</v>
      </c>
      <c r="U456" t="s">
        <v>151</v>
      </c>
      <c r="V456" t="s">
        <v>73</v>
      </c>
      <c r="W456" s="58">
        <v>43326</v>
      </c>
      <c r="X456" s="59">
        <v>0.40625</v>
      </c>
      <c r="Y456" s="59">
        <v>0.44791666666666669</v>
      </c>
      <c r="Z456" s="59">
        <v>4.1666666666666664E-2</v>
      </c>
      <c r="AA456">
        <v>0</v>
      </c>
      <c r="AB456">
        <v>1.3216000000000001</v>
      </c>
      <c r="AC456">
        <v>20</v>
      </c>
      <c r="AD456">
        <v>9</v>
      </c>
      <c r="AE456" s="59">
        <v>0.40625</v>
      </c>
      <c r="AF456" s="59">
        <v>0.44722222222222219</v>
      </c>
      <c r="AG456">
        <v>37.5</v>
      </c>
    </row>
    <row r="457" spans="1:33" x14ac:dyDescent="0.25">
      <c r="A457" t="s">
        <v>274</v>
      </c>
      <c r="B457" t="s">
        <v>275</v>
      </c>
      <c r="C457" t="s">
        <v>276</v>
      </c>
      <c r="E457" t="s">
        <v>277</v>
      </c>
      <c r="F457" t="s">
        <v>134</v>
      </c>
      <c r="H457" t="s">
        <v>141</v>
      </c>
      <c r="I457" t="s">
        <v>142</v>
      </c>
      <c r="J457" t="s">
        <v>258</v>
      </c>
      <c r="K457" t="s">
        <v>360</v>
      </c>
      <c r="L457" t="s">
        <v>358</v>
      </c>
      <c r="N457" t="s">
        <v>361</v>
      </c>
      <c r="O457" t="s">
        <v>134</v>
      </c>
      <c r="Q457" t="s">
        <v>208</v>
      </c>
      <c r="R457" t="s">
        <v>143</v>
      </c>
      <c r="S457" t="s">
        <v>128</v>
      </c>
      <c r="T457" t="s">
        <v>181</v>
      </c>
      <c r="U457" t="s">
        <v>129</v>
      </c>
      <c r="V457" t="s">
        <v>73</v>
      </c>
      <c r="W457" s="58">
        <v>43326</v>
      </c>
      <c r="X457" s="59">
        <v>0.65625</v>
      </c>
      <c r="Y457" s="59">
        <v>0.73958333333333337</v>
      </c>
      <c r="Z457" s="59">
        <v>8.3333333333333329E-2</v>
      </c>
      <c r="AA457">
        <v>0</v>
      </c>
      <c r="AC457">
        <v>46</v>
      </c>
      <c r="AD457">
        <v>18</v>
      </c>
      <c r="AE457" s="59">
        <v>0.65625</v>
      </c>
      <c r="AF457" s="59">
        <v>0.73888888888888893</v>
      </c>
      <c r="AG457">
        <v>37.5</v>
      </c>
    </row>
    <row r="458" spans="1:33" x14ac:dyDescent="0.25">
      <c r="A458" t="s">
        <v>258</v>
      </c>
      <c r="B458" t="s">
        <v>270</v>
      </c>
      <c r="C458" t="s">
        <v>271</v>
      </c>
      <c r="D458" t="s">
        <v>272</v>
      </c>
      <c r="E458" t="s">
        <v>273</v>
      </c>
      <c r="F458" t="s">
        <v>134</v>
      </c>
      <c r="H458" t="s">
        <v>138</v>
      </c>
      <c r="I458" t="s">
        <v>139</v>
      </c>
      <c r="J458" t="s">
        <v>258</v>
      </c>
      <c r="K458" t="s">
        <v>360</v>
      </c>
      <c r="L458" t="s">
        <v>358</v>
      </c>
      <c r="N458" t="s">
        <v>361</v>
      </c>
      <c r="O458" t="s">
        <v>134</v>
      </c>
      <c r="Q458" t="s">
        <v>208</v>
      </c>
      <c r="R458" t="s">
        <v>140</v>
      </c>
      <c r="S458" t="s">
        <v>128</v>
      </c>
      <c r="T458" t="s">
        <v>181</v>
      </c>
      <c r="U458" t="s">
        <v>129</v>
      </c>
      <c r="V458" t="s">
        <v>73</v>
      </c>
      <c r="W458" s="58">
        <v>43326</v>
      </c>
      <c r="X458" s="59">
        <v>0.76041666666666663</v>
      </c>
      <c r="Y458" s="59">
        <v>0.80208333333333337</v>
      </c>
      <c r="Z458" s="59">
        <v>4.1666666666666664E-2</v>
      </c>
      <c r="AA458">
        <v>0</v>
      </c>
      <c r="AB458">
        <v>0.9</v>
      </c>
      <c r="AC458">
        <v>23</v>
      </c>
      <c r="AD458">
        <v>9</v>
      </c>
      <c r="AE458" s="59">
        <v>0.76041666666666663</v>
      </c>
      <c r="AF458" s="59">
        <v>0.80138888888888893</v>
      </c>
      <c r="AG458">
        <v>37.5</v>
      </c>
    </row>
    <row r="459" spans="1:33" x14ac:dyDescent="0.25">
      <c r="A459" t="s">
        <v>274</v>
      </c>
      <c r="B459" t="s">
        <v>275</v>
      </c>
      <c r="C459" t="s">
        <v>276</v>
      </c>
      <c r="E459" t="s">
        <v>277</v>
      </c>
      <c r="F459" t="s">
        <v>134</v>
      </c>
      <c r="H459" t="s">
        <v>141</v>
      </c>
      <c r="I459" t="s">
        <v>142</v>
      </c>
      <c r="J459" t="s">
        <v>258</v>
      </c>
      <c r="K459" t="s">
        <v>360</v>
      </c>
      <c r="L459" t="s">
        <v>358</v>
      </c>
      <c r="N459" t="s">
        <v>361</v>
      </c>
      <c r="O459" t="s">
        <v>134</v>
      </c>
      <c r="Q459" t="s">
        <v>208</v>
      </c>
      <c r="R459" t="s">
        <v>143</v>
      </c>
      <c r="S459" t="s">
        <v>128</v>
      </c>
      <c r="T459" t="s">
        <v>181</v>
      </c>
      <c r="U459" t="s">
        <v>129</v>
      </c>
      <c r="V459" t="s">
        <v>73</v>
      </c>
      <c r="W459" s="58">
        <v>43326</v>
      </c>
      <c r="X459" s="59">
        <v>0.8125</v>
      </c>
      <c r="Y459" s="59">
        <v>0.83333333333333337</v>
      </c>
      <c r="Z459" s="59">
        <v>2.0833333333333332E-2</v>
      </c>
      <c r="AA459">
        <v>0</v>
      </c>
      <c r="AB459">
        <v>0.9</v>
      </c>
      <c r="AC459">
        <v>11.5</v>
      </c>
      <c r="AD459">
        <v>4.5</v>
      </c>
      <c r="AE459" s="59">
        <v>0.8125</v>
      </c>
      <c r="AF459" s="59">
        <v>0.83263888888888893</v>
      </c>
      <c r="AG459">
        <v>37.5</v>
      </c>
    </row>
    <row r="460" spans="1:33" x14ac:dyDescent="0.25">
      <c r="A460" t="s">
        <v>274</v>
      </c>
      <c r="B460" t="s">
        <v>321</v>
      </c>
      <c r="C460" t="s">
        <v>322</v>
      </c>
      <c r="D460" t="s">
        <v>323</v>
      </c>
      <c r="E460" t="s">
        <v>324</v>
      </c>
      <c r="F460" t="s">
        <v>134</v>
      </c>
      <c r="H460" t="s">
        <v>184</v>
      </c>
      <c r="I460" t="s">
        <v>147</v>
      </c>
      <c r="J460" t="s">
        <v>258</v>
      </c>
      <c r="K460" t="s">
        <v>360</v>
      </c>
      <c r="L460" t="s">
        <v>358</v>
      </c>
      <c r="N460" t="s">
        <v>361</v>
      </c>
      <c r="O460" t="s">
        <v>134</v>
      </c>
      <c r="Q460" t="s">
        <v>208</v>
      </c>
      <c r="R460" t="s">
        <v>185</v>
      </c>
      <c r="S460" t="s">
        <v>128</v>
      </c>
      <c r="T460" t="s">
        <v>181</v>
      </c>
      <c r="U460" t="s">
        <v>151</v>
      </c>
      <c r="V460" t="s">
        <v>73</v>
      </c>
      <c r="W460" s="58">
        <v>43326</v>
      </c>
      <c r="X460" s="59">
        <v>0.83333333333333337</v>
      </c>
      <c r="Y460" s="59">
        <v>0.86458333333333337</v>
      </c>
      <c r="Z460" s="59">
        <v>3.125E-2</v>
      </c>
      <c r="AA460">
        <v>0</v>
      </c>
      <c r="AB460">
        <v>9.7805999999999997</v>
      </c>
      <c r="AC460">
        <v>15</v>
      </c>
      <c r="AD460">
        <v>6.75</v>
      </c>
      <c r="AE460" s="59">
        <v>0.83333333333333337</v>
      </c>
      <c r="AF460" s="59">
        <v>0.86388888888888893</v>
      </c>
      <c r="AG460">
        <v>37.5</v>
      </c>
    </row>
    <row r="461" spans="1:33" x14ac:dyDescent="0.25">
      <c r="A461" t="s">
        <v>258</v>
      </c>
      <c r="B461" t="s">
        <v>270</v>
      </c>
      <c r="C461" t="s">
        <v>271</v>
      </c>
      <c r="D461" t="s">
        <v>272</v>
      </c>
      <c r="E461" t="s">
        <v>273</v>
      </c>
      <c r="F461" t="s">
        <v>134</v>
      </c>
      <c r="H461" t="s">
        <v>138</v>
      </c>
      <c r="I461" t="s">
        <v>139</v>
      </c>
      <c r="J461" t="s">
        <v>258</v>
      </c>
      <c r="K461" t="s">
        <v>360</v>
      </c>
      <c r="L461" t="s">
        <v>358</v>
      </c>
      <c r="N461" t="s">
        <v>361</v>
      </c>
      <c r="O461" t="s">
        <v>134</v>
      </c>
      <c r="Q461" t="s">
        <v>208</v>
      </c>
      <c r="R461" t="s">
        <v>140</v>
      </c>
      <c r="S461" t="s">
        <v>128</v>
      </c>
      <c r="T461" t="s">
        <v>181</v>
      </c>
      <c r="U461" t="s">
        <v>129</v>
      </c>
      <c r="V461" t="s">
        <v>74</v>
      </c>
      <c r="W461" s="58">
        <v>43327</v>
      </c>
      <c r="X461" s="59">
        <v>0.33333333333333331</v>
      </c>
      <c r="Y461" s="59">
        <v>0.375</v>
      </c>
      <c r="Z461" s="59">
        <v>4.1666666666666664E-2</v>
      </c>
      <c r="AA461">
        <v>0</v>
      </c>
      <c r="AC461">
        <v>23</v>
      </c>
      <c r="AD461">
        <v>9</v>
      </c>
      <c r="AE461" s="59">
        <v>0.33333333333333331</v>
      </c>
      <c r="AF461" s="59">
        <v>0.3743055555555555</v>
      </c>
      <c r="AG461">
        <v>37.5</v>
      </c>
    </row>
    <row r="462" spans="1:33" x14ac:dyDescent="0.25">
      <c r="A462" t="s">
        <v>258</v>
      </c>
      <c r="B462" t="s">
        <v>310</v>
      </c>
      <c r="C462" t="s">
        <v>311</v>
      </c>
      <c r="D462" t="s">
        <v>312</v>
      </c>
      <c r="E462" t="s">
        <v>313</v>
      </c>
      <c r="F462" t="s">
        <v>134</v>
      </c>
      <c r="H462" t="s">
        <v>175</v>
      </c>
      <c r="I462" t="s">
        <v>127</v>
      </c>
      <c r="J462" t="s">
        <v>258</v>
      </c>
      <c r="K462" t="s">
        <v>360</v>
      </c>
      <c r="L462" t="s">
        <v>358</v>
      </c>
      <c r="N462" t="s">
        <v>361</v>
      </c>
      <c r="O462" t="s">
        <v>134</v>
      </c>
      <c r="Q462" t="s">
        <v>208</v>
      </c>
      <c r="R462" t="s">
        <v>176</v>
      </c>
      <c r="S462" t="s">
        <v>128</v>
      </c>
      <c r="T462" t="s">
        <v>181</v>
      </c>
      <c r="U462" t="s">
        <v>151</v>
      </c>
      <c r="V462" t="s">
        <v>74</v>
      </c>
      <c r="W462" s="58">
        <v>43327</v>
      </c>
      <c r="X462" s="59">
        <v>0.38541666666666669</v>
      </c>
      <c r="Y462" s="59">
        <v>0.42708333333333331</v>
      </c>
      <c r="Z462" s="59">
        <v>4.1666666666666664E-2</v>
      </c>
      <c r="AA462">
        <v>0</v>
      </c>
      <c r="AB462">
        <v>5.7556000000000003</v>
      </c>
      <c r="AC462">
        <v>20</v>
      </c>
      <c r="AD462">
        <v>9</v>
      </c>
      <c r="AE462" s="59">
        <v>0.38541666666666669</v>
      </c>
      <c r="AF462" s="59">
        <v>0.42638888888888887</v>
      </c>
      <c r="AG462">
        <v>37.5</v>
      </c>
    </row>
    <row r="463" spans="1:33" x14ac:dyDescent="0.25">
      <c r="A463" t="s">
        <v>274</v>
      </c>
      <c r="B463" t="s">
        <v>336</v>
      </c>
      <c r="C463" t="s">
        <v>337</v>
      </c>
      <c r="E463" t="s">
        <v>338</v>
      </c>
      <c r="F463" t="s">
        <v>134</v>
      </c>
      <c r="H463" t="s">
        <v>186</v>
      </c>
      <c r="I463" t="s">
        <v>147</v>
      </c>
      <c r="J463" t="s">
        <v>258</v>
      </c>
      <c r="K463" t="s">
        <v>360</v>
      </c>
      <c r="L463" t="s">
        <v>358</v>
      </c>
      <c r="N463" t="s">
        <v>361</v>
      </c>
      <c r="O463" t="s">
        <v>134</v>
      </c>
      <c r="Q463" t="s">
        <v>208</v>
      </c>
      <c r="R463" t="s">
        <v>187</v>
      </c>
      <c r="S463" t="s">
        <v>128</v>
      </c>
      <c r="T463" t="s">
        <v>181</v>
      </c>
      <c r="U463" t="s">
        <v>151</v>
      </c>
      <c r="V463" t="s">
        <v>74</v>
      </c>
      <c r="W463" s="58">
        <v>43327</v>
      </c>
      <c r="X463" s="59">
        <v>0.45833333333333331</v>
      </c>
      <c r="Y463" s="59">
        <v>0.54166666666666663</v>
      </c>
      <c r="Z463" s="59">
        <v>8.3333333333333329E-2</v>
      </c>
      <c r="AA463">
        <v>0</v>
      </c>
      <c r="AB463">
        <v>4.4012000000000002</v>
      </c>
      <c r="AC463">
        <v>40</v>
      </c>
      <c r="AD463">
        <v>18</v>
      </c>
      <c r="AE463" s="59">
        <v>0.45833333333333331</v>
      </c>
      <c r="AF463" s="59">
        <v>0.54097222222222219</v>
      </c>
      <c r="AG463">
        <v>37.5</v>
      </c>
    </row>
    <row r="464" spans="1:33" x14ac:dyDescent="0.25">
      <c r="A464" t="s">
        <v>274</v>
      </c>
      <c r="B464" t="s">
        <v>275</v>
      </c>
      <c r="C464" t="s">
        <v>276</v>
      </c>
      <c r="E464" t="s">
        <v>277</v>
      </c>
      <c r="F464" t="s">
        <v>134</v>
      </c>
      <c r="H464" t="s">
        <v>141</v>
      </c>
      <c r="I464" t="s">
        <v>142</v>
      </c>
      <c r="J464" t="s">
        <v>258</v>
      </c>
      <c r="K464" t="s">
        <v>360</v>
      </c>
      <c r="L464" t="s">
        <v>358</v>
      </c>
      <c r="N464" t="s">
        <v>361</v>
      </c>
      <c r="O464" t="s">
        <v>134</v>
      </c>
      <c r="Q464" t="s">
        <v>208</v>
      </c>
      <c r="R464" t="s">
        <v>143</v>
      </c>
      <c r="S464" t="s">
        <v>128</v>
      </c>
      <c r="T464" t="s">
        <v>181</v>
      </c>
      <c r="U464" t="s">
        <v>129</v>
      </c>
      <c r="V464" t="s">
        <v>74</v>
      </c>
      <c r="W464" s="58">
        <v>43327</v>
      </c>
      <c r="X464" s="59">
        <v>0.66666666666666663</v>
      </c>
      <c r="Y464" s="59">
        <v>0.75</v>
      </c>
      <c r="Z464" s="59">
        <v>8.3333333333333329E-2</v>
      </c>
      <c r="AA464">
        <v>0</v>
      </c>
      <c r="AC464">
        <v>46</v>
      </c>
      <c r="AD464">
        <v>18</v>
      </c>
      <c r="AE464" s="59">
        <v>0.66666666666666663</v>
      </c>
      <c r="AF464" s="59">
        <v>0.74930555555555556</v>
      </c>
      <c r="AG464">
        <v>37.5</v>
      </c>
    </row>
    <row r="465" spans="1:33" x14ac:dyDescent="0.25">
      <c r="A465" t="s">
        <v>258</v>
      </c>
      <c r="B465" t="s">
        <v>270</v>
      </c>
      <c r="C465" t="s">
        <v>271</v>
      </c>
      <c r="D465" t="s">
        <v>272</v>
      </c>
      <c r="E465" t="s">
        <v>273</v>
      </c>
      <c r="F465" t="s">
        <v>134</v>
      </c>
      <c r="H465" t="s">
        <v>138</v>
      </c>
      <c r="I465" t="s">
        <v>139</v>
      </c>
      <c r="J465" t="s">
        <v>258</v>
      </c>
      <c r="K465" t="s">
        <v>360</v>
      </c>
      <c r="L465" t="s">
        <v>358</v>
      </c>
      <c r="N465" t="s">
        <v>361</v>
      </c>
      <c r="O465" t="s">
        <v>134</v>
      </c>
      <c r="Q465" t="s">
        <v>208</v>
      </c>
      <c r="R465" t="s">
        <v>140</v>
      </c>
      <c r="S465" t="s">
        <v>128</v>
      </c>
      <c r="T465" t="s">
        <v>181</v>
      </c>
      <c r="U465" t="s">
        <v>129</v>
      </c>
      <c r="V465" t="s">
        <v>74</v>
      </c>
      <c r="W465" s="58">
        <v>43327</v>
      </c>
      <c r="X465" s="59">
        <v>0.76041666666666663</v>
      </c>
      <c r="Y465" s="59">
        <v>0.79166666666666663</v>
      </c>
      <c r="Z465" s="59">
        <v>3.125E-2</v>
      </c>
      <c r="AA465">
        <v>0</v>
      </c>
      <c r="AB465">
        <v>0.9</v>
      </c>
      <c r="AC465">
        <v>17.25</v>
      </c>
      <c r="AD465">
        <v>6.75</v>
      </c>
      <c r="AE465" s="59">
        <v>0.76041666666666663</v>
      </c>
      <c r="AF465" s="59">
        <v>0.7909722222222223</v>
      </c>
      <c r="AG465">
        <v>37.5</v>
      </c>
    </row>
    <row r="466" spans="1:33" x14ac:dyDescent="0.25">
      <c r="A466" t="s">
        <v>274</v>
      </c>
      <c r="B466" t="s">
        <v>275</v>
      </c>
      <c r="C466" t="s">
        <v>276</v>
      </c>
      <c r="E466" t="s">
        <v>277</v>
      </c>
      <c r="F466" t="s">
        <v>134</v>
      </c>
      <c r="H466" t="s">
        <v>141</v>
      </c>
      <c r="I466" t="s">
        <v>142</v>
      </c>
      <c r="J466" t="s">
        <v>258</v>
      </c>
      <c r="K466" t="s">
        <v>360</v>
      </c>
      <c r="L466" t="s">
        <v>358</v>
      </c>
      <c r="N466" t="s">
        <v>361</v>
      </c>
      <c r="O466" t="s">
        <v>134</v>
      </c>
      <c r="Q466" t="s">
        <v>208</v>
      </c>
      <c r="R466" t="s">
        <v>143</v>
      </c>
      <c r="S466" t="s">
        <v>128</v>
      </c>
      <c r="T466" t="s">
        <v>181</v>
      </c>
      <c r="U466" t="s">
        <v>129</v>
      </c>
      <c r="V466" t="s">
        <v>74</v>
      </c>
      <c r="W466" s="58">
        <v>43327</v>
      </c>
      <c r="X466" s="59">
        <v>0.8125</v>
      </c>
      <c r="Y466" s="59">
        <v>0.83333333333333337</v>
      </c>
      <c r="Z466" s="59">
        <v>2.0833333333333332E-2</v>
      </c>
      <c r="AA466">
        <v>0</v>
      </c>
      <c r="AB466">
        <v>0.9</v>
      </c>
      <c r="AC466">
        <v>11.5</v>
      </c>
      <c r="AD466">
        <v>4.5</v>
      </c>
      <c r="AE466" s="59">
        <v>0.8125</v>
      </c>
      <c r="AF466" s="59">
        <v>0.83263888888888893</v>
      </c>
      <c r="AG466">
        <v>37.5</v>
      </c>
    </row>
    <row r="467" spans="1:33" x14ac:dyDescent="0.25">
      <c r="A467" t="s">
        <v>258</v>
      </c>
      <c r="B467" t="s">
        <v>310</v>
      </c>
      <c r="C467" t="s">
        <v>311</v>
      </c>
      <c r="D467" t="s">
        <v>312</v>
      </c>
      <c r="E467" t="s">
        <v>313</v>
      </c>
      <c r="F467" t="s">
        <v>134</v>
      </c>
      <c r="H467" t="s">
        <v>175</v>
      </c>
      <c r="I467" t="s">
        <v>127</v>
      </c>
      <c r="J467" t="s">
        <v>258</v>
      </c>
      <c r="K467" t="s">
        <v>360</v>
      </c>
      <c r="L467" t="s">
        <v>358</v>
      </c>
      <c r="N467" t="s">
        <v>361</v>
      </c>
      <c r="O467" t="s">
        <v>134</v>
      </c>
      <c r="Q467" t="s">
        <v>208</v>
      </c>
      <c r="R467" t="s">
        <v>176</v>
      </c>
      <c r="S467" t="s">
        <v>128</v>
      </c>
      <c r="T467" t="s">
        <v>181</v>
      </c>
      <c r="U467" t="s">
        <v>151</v>
      </c>
      <c r="V467" t="s">
        <v>74</v>
      </c>
      <c r="W467" s="58">
        <v>43327</v>
      </c>
      <c r="X467" s="59">
        <v>0.84375</v>
      </c>
      <c r="Y467" s="59">
        <v>0.86458333333333337</v>
      </c>
      <c r="Z467" s="59">
        <v>2.0833333333333332E-2</v>
      </c>
      <c r="AA467">
        <v>0</v>
      </c>
      <c r="AB467">
        <v>4.8555999999999999</v>
      </c>
      <c r="AC467">
        <v>10</v>
      </c>
      <c r="AD467">
        <v>4.5</v>
      </c>
      <c r="AE467" s="59">
        <v>0.84375</v>
      </c>
      <c r="AF467" s="59">
        <v>0.86388888888888893</v>
      </c>
      <c r="AG467">
        <v>37.5</v>
      </c>
    </row>
    <row r="468" spans="1:33" x14ac:dyDescent="0.25">
      <c r="B468" t="s">
        <v>307</v>
      </c>
      <c r="C468" t="s">
        <v>308</v>
      </c>
      <c r="D468" t="s">
        <v>309</v>
      </c>
      <c r="E468" t="s">
        <v>134</v>
      </c>
      <c r="H468" t="s">
        <v>171</v>
      </c>
      <c r="I468" t="s">
        <v>169</v>
      </c>
      <c r="J468" t="s">
        <v>258</v>
      </c>
      <c r="K468" t="s">
        <v>360</v>
      </c>
      <c r="L468" t="s">
        <v>358</v>
      </c>
      <c r="N468" t="s">
        <v>361</v>
      </c>
      <c r="O468" t="s">
        <v>134</v>
      </c>
      <c r="Q468" t="s">
        <v>208</v>
      </c>
      <c r="R468" t="s">
        <v>172</v>
      </c>
      <c r="S468" t="s">
        <v>128</v>
      </c>
      <c r="T468" t="s">
        <v>181</v>
      </c>
      <c r="U468" t="s">
        <v>129</v>
      </c>
      <c r="V468" t="s">
        <v>75</v>
      </c>
      <c r="W468" s="58">
        <v>43328</v>
      </c>
      <c r="X468" s="59">
        <v>0.33333333333333331</v>
      </c>
      <c r="Y468" s="59">
        <v>0.375</v>
      </c>
      <c r="Z468" s="59">
        <v>4.1666666666666664E-2</v>
      </c>
      <c r="AA468">
        <v>0</v>
      </c>
      <c r="AC468">
        <v>23</v>
      </c>
      <c r="AD468">
        <v>9</v>
      </c>
      <c r="AE468" s="59">
        <v>0.33333333333333331</v>
      </c>
      <c r="AF468" s="59">
        <v>0.3743055555555555</v>
      </c>
      <c r="AG468">
        <v>37.5</v>
      </c>
    </row>
    <row r="469" spans="1:33" x14ac:dyDescent="0.25">
      <c r="A469" t="s">
        <v>258</v>
      </c>
      <c r="B469" t="s">
        <v>262</v>
      </c>
      <c r="C469" t="s">
        <v>263</v>
      </c>
      <c r="D469" t="s">
        <v>264</v>
      </c>
      <c r="E469" t="s">
        <v>265</v>
      </c>
      <c r="F469" t="s">
        <v>134</v>
      </c>
      <c r="H469" t="s">
        <v>132</v>
      </c>
      <c r="I469" t="s">
        <v>133</v>
      </c>
      <c r="J469" t="s">
        <v>258</v>
      </c>
      <c r="K469" t="s">
        <v>360</v>
      </c>
      <c r="L469" t="s">
        <v>358</v>
      </c>
      <c r="N469" t="s">
        <v>361</v>
      </c>
      <c r="O469" t="s">
        <v>134</v>
      </c>
      <c r="Q469" t="s">
        <v>208</v>
      </c>
      <c r="R469" t="s">
        <v>136</v>
      </c>
      <c r="S469" t="s">
        <v>128</v>
      </c>
      <c r="T469" t="s">
        <v>181</v>
      </c>
      <c r="U469" t="s">
        <v>129</v>
      </c>
      <c r="V469" t="s">
        <v>75</v>
      </c>
      <c r="W469" s="58">
        <v>43328</v>
      </c>
      <c r="X469" s="59">
        <v>0.39583333333333331</v>
      </c>
      <c r="Y469" s="59">
        <v>0.4375</v>
      </c>
      <c r="Z469" s="59">
        <v>4.1666666666666664E-2</v>
      </c>
      <c r="AA469">
        <v>0</v>
      </c>
      <c r="AB469">
        <v>8.5579999999999998</v>
      </c>
      <c r="AC469">
        <v>23</v>
      </c>
      <c r="AD469">
        <v>9</v>
      </c>
      <c r="AE469" s="59">
        <v>0.39583333333333331</v>
      </c>
      <c r="AF469" s="59">
        <v>0.4368055555555555</v>
      </c>
      <c r="AG469">
        <v>37.5</v>
      </c>
    </row>
    <row r="470" spans="1:33" x14ac:dyDescent="0.25">
      <c r="B470" t="s">
        <v>331</v>
      </c>
      <c r="C470" t="s">
        <v>332</v>
      </c>
      <c r="E470" t="s">
        <v>333</v>
      </c>
      <c r="F470" t="s">
        <v>134</v>
      </c>
      <c r="G470" t="s">
        <v>218</v>
      </c>
      <c r="H470" t="s">
        <v>177</v>
      </c>
      <c r="I470" t="s">
        <v>158</v>
      </c>
      <c r="J470" t="s">
        <v>258</v>
      </c>
      <c r="K470" t="s">
        <v>360</v>
      </c>
      <c r="L470" t="s">
        <v>358</v>
      </c>
      <c r="N470" t="s">
        <v>361</v>
      </c>
      <c r="O470" t="s">
        <v>134</v>
      </c>
      <c r="Q470" t="s">
        <v>208</v>
      </c>
      <c r="R470" t="s">
        <v>179</v>
      </c>
      <c r="S470" t="s">
        <v>128</v>
      </c>
      <c r="T470" t="s">
        <v>181</v>
      </c>
      <c r="U470" t="s">
        <v>129</v>
      </c>
      <c r="V470" t="s">
        <v>75</v>
      </c>
      <c r="W470" s="58">
        <v>43328</v>
      </c>
      <c r="X470" s="59">
        <v>0.47916666666666669</v>
      </c>
      <c r="Y470" s="59">
        <v>0.5625</v>
      </c>
      <c r="Z470" s="59">
        <v>8.3333333333333329E-2</v>
      </c>
      <c r="AA470">
        <v>0</v>
      </c>
      <c r="AD470">
        <v>18</v>
      </c>
      <c r="AE470" s="59">
        <v>0.47916666666666669</v>
      </c>
      <c r="AF470" s="59">
        <v>0.56180555555555556</v>
      </c>
      <c r="AG470">
        <v>37.5</v>
      </c>
    </row>
    <row r="471" spans="1:33" x14ac:dyDescent="0.25">
      <c r="B471" t="s">
        <v>307</v>
      </c>
      <c r="C471" t="s">
        <v>308</v>
      </c>
      <c r="D471" t="s">
        <v>309</v>
      </c>
      <c r="E471" t="s">
        <v>134</v>
      </c>
      <c r="H471" t="s">
        <v>171</v>
      </c>
      <c r="I471" t="s">
        <v>169</v>
      </c>
      <c r="J471" t="s">
        <v>258</v>
      </c>
      <c r="K471" t="s">
        <v>360</v>
      </c>
      <c r="L471" t="s">
        <v>358</v>
      </c>
      <c r="N471" t="s">
        <v>361</v>
      </c>
      <c r="O471" t="s">
        <v>134</v>
      </c>
      <c r="Q471" t="s">
        <v>208</v>
      </c>
      <c r="R471" t="s">
        <v>172</v>
      </c>
      <c r="S471" t="s">
        <v>128</v>
      </c>
      <c r="T471" t="s">
        <v>181</v>
      </c>
      <c r="U471" t="s">
        <v>129</v>
      </c>
      <c r="V471" t="s">
        <v>75</v>
      </c>
      <c r="W471" s="58">
        <v>43328</v>
      </c>
      <c r="X471" s="59">
        <v>0.6645833333333333</v>
      </c>
      <c r="Y471" s="59">
        <v>0.6958333333333333</v>
      </c>
      <c r="Z471" s="59">
        <v>3.125E-2</v>
      </c>
      <c r="AA471">
        <v>0</v>
      </c>
      <c r="AC471">
        <v>23</v>
      </c>
      <c r="AD471">
        <v>9</v>
      </c>
      <c r="AE471" s="59">
        <v>0.6645833333333333</v>
      </c>
      <c r="AF471" s="59">
        <v>0.69513888888888886</v>
      </c>
      <c r="AG471">
        <v>37.5</v>
      </c>
    </row>
    <row r="472" spans="1:33" x14ac:dyDescent="0.25">
      <c r="A472" t="s">
        <v>258</v>
      </c>
      <c r="B472" t="s">
        <v>314</v>
      </c>
      <c r="C472" t="s">
        <v>315</v>
      </c>
      <c r="D472">
        <v>72</v>
      </c>
      <c r="E472" t="s">
        <v>316</v>
      </c>
      <c r="F472" t="s">
        <v>317</v>
      </c>
      <c r="G472" t="s">
        <v>218</v>
      </c>
      <c r="H472" t="s">
        <v>168</v>
      </c>
      <c r="I472" t="s">
        <v>169</v>
      </c>
      <c r="J472" t="s">
        <v>258</v>
      </c>
      <c r="K472" t="s">
        <v>360</v>
      </c>
      <c r="L472" t="s">
        <v>358</v>
      </c>
      <c r="N472" t="s">
        <v>361</v>
      </c>
      <c r="O472" t="s">
        <v>134</v>
      </c>
      <c r="Q472" t="s">
        <v>208</v>
      </c>
      <c r="R472" t="s">
        <v>170</v>
      </c>
      <c r="S472" t="s">
        <v>128</v>
      </c>
      <c r="T472" t="s">
        <v>181</v>
      </c>
      <c r="U472" t="s">
        <v>129</v>
      </c>
      <c r="V472" t="s">
        <v>75</v>
      </c>
      <c r="W472" s="58">
        <v>43328</v>
      </c>
      <c r="X472" s="59">
        <v>0.70416666666666661</v>
      </c>
      <c r="Y472" s="59">
        <v>0.74583333333333324</v>
      </c>
      <c r="Z472" s="59">
        <v>4.1666666666666664E-2</v>
      </c>
      <c r="AA472">
        <v>0</v>
      </c>
      <c r="AB472">
        <v>0.62839999999999996</v>
      </c>
      <c r="AC472">
        <v>23</v>
      </c>
      <c r="AD472">
        <v>9</v>
      </c>
      <c r="AE472" s="59">
        <v>0.70416666666666661</v>
      </c>
      <c r="AF472" s="59">
        <v>0.74513888888888891</v>
      </c>
      <c r="AG472">
        <v>37.5</v>
      </c>
    </row>
    <row r="473" spans="1:33" x14ac:dyDescent="0.25">
      <c r="A473" t="s">
        <v>258</v>
      </c>
      <c r="B473" t="s">
        <v>270</v>
      </c>
      <c r="C473" t="s">
        <v>271</v>
      </c>
      <c r="D473" t="s">
        <v>272</v>
      </c>
      <c r="E473" t="s">
        <v>273</v>
      </c>
      <c r="F473" t="s">
        <v>134</v>
      </c>
      <c r="H473" t="s">
        <v>138</v>
      </c>
      <c r="I473" t="s">
        <v>139</v>
      </c>
      <c r="J473" t="s">
        <v>258</v>
      </c>
      <c r="K473" t="s">
        <v>360</v>
      </c>
      <c r="L473" t="s">
        <v>358</v>
      </c>
      <c r="N473" t="s">
        <v>361</v>
      </c>
      <c r="O473" t="s">
        <v>134</v>
      </c>
      <c r="Q473" t="s">
        <v>208</v>
      </c>
      <c r="R473" t="s">
        <v>140</v>
      </c>
      <c r="S473" t="s">
        <v>128</v>
      </c>
      <c r="T473" t="s">
        <v>181</v>
      </c>
      <c r="U473" t="s">
        <v>129</v>
      </c>
      <c r="V473" t="s">
        <v>75</v>
      </c>
      <c r="W473" s="58">
        <v>43328</v>
      </c>
      <c r="X473" s="59">
        <v>0.76041666666666663</v>
      </c>
      <c r="Y473" s="59">
        <v>0.80208333333333337</v>
      </c>
      <c r="Z473" s="59">
        <v>4.1666666666666664E-2</v>
      </c>
      <c r="AA473">
        <v>0</v>
      </c>
      <c r="AB473">
        <v>6.5953999999999997</v>
      </c>
      <c r="AC473">
        <v>23</v>
      </c>
      <c r="AD473">
        <v>9</v>
      </c>
      <c r="AE473" s="59">
        <v>0.76041666666666663</v>
      </c>
      <c r="AF473" s="59">
        <v>0.80138888888888893</v>
      </c>
      <c r="AG473">
        <v>37.5</v>
      </c>
    </row>
    <row r="474" spans="1:33" x14ac:dyDescent="0.25">
      <c r="A474" t="s">
        <v>258</v>
      </c>
      <c r="B474" t="s">
        <v>314</v>
      </c>
      <c r="C474" t="s">
        <v>315</v>
      </c>
      <c r="D474">
        <v>72</v>
      </c>
      <c r="E474" t="s">
        <v>316</v>
      </c>
      <c r="F474" t="s">
        <v>317</v>
      </c>
      <c r="G474" t="s">
        <v>218</v>
      </c>
      <c r="H474" t="s">
        <v>168</v>
      </c>
      <c r="I474" t="s">
        <v>169</v>
      </c>
      <c r="J474" t="s">
        <v>258</v>
      </c>
      <c r="K474" t="s">
        <v>360</v>
      </c>
      <c r="L474" t="s">
        <v>358</v>
      </c>
      <c r="N474" t="s">
        <v>361</v>
      </c>
      <c r="O474" t="s">
        <v>134</v>
      </c>
      <c r="Q474" t="s">
        <v>208</v>
      </c>
      <c r="R474" t="s">
        <v>170</v>
      </c>
      <c r="S474" t="s">
        <v>128</v>
      </c>
      <c r="T474" t="s">
        <v>181</v>
      </c>
      <c r="U474" t="s">
        <v>129</v>
      </c>
      <c r="V474" t="s">
        <v>76</v>
      </c>
      <c r="W474" s="58">
        <v>43329</v>
      </c>
      <c r="X474" s="59">
        <v>0.33333333333333331</v>
      </c>
      <c r="Y474" s="59">
        <v>0.35416666666666669</v>
      </c>
      <c r="Z474" s="59">
        <v>2.0833333333333332E-2</v>
      </c>
      <c r="AA474">
        <v>0</v>
      </c>
      <c r="AC474">
        <v>11.5</v>
      </c>
      <c r="AD474">
        <v>4.5</v>
      </c>
      <c r="AE474" s="59">
        <v>0.33333333333333331</v>
      </c>
      <c r="AF474" s="59">
        <v>0.35347222222222219</v>
      </c>
      <c r="AG474">
        <v>37.5</v>
      </c>
    </row>
    <row r="475" spans="1:33" x14ac:dyDescent="0.25">
      <c r="A475" t="s">
        <v>258</v>
      </c>
      <c r="B475" t="s">
        <v>310</v>
      </c>
      <c r="C475" t="s">
        <v>311</v>
      </c>
      <c r="D475" t="s">
        <v>312</v>
      </c>
      <c r="E475" t="s">
        <v>313</v>
      </c>
      <c r="F475" t="s">
        <v>134</v>
      </c>
      <c r="H475" t="s">
        <v>175</v>
      </c>
      <c r="I475" t="s">
        <v>127</v>
      </c>
      <c r="J475" t="s">
        <v>258</v>
      </c>
      <c r="K475" t="s">
        <v>360</v>
      </c>
      <c r="L475" t="s">
        <v>358</v>
      </c>
      <c r="N475" t="s">
        <v>361</v>
      </c>
      <c r="O475" t="s">
        <v>134</v>
      </c>
      <c r="Q475" t="s">
        <v>208</v>
      </c>
      <c r="R475" t="s">
        <v>176</v>
      </c>
      <c r="S475" t="s">
        <v>128</v>
      </c>
      <c r="T475" t="s">
        <v>181</v>
      </c>
      <c r="U475" t="s">
        <v>151</v>
      </c>
      <c r="V475" t="s">
        <v>76</v>
      </c>
      <c r="W475" s="58">
        <v>43329</v>
      </c>
      <c r="X475" s="59">
        <v>0.375</v>
      </c>
      <c r="Y475" s="59">
        <v>0.45833333333333331</v>
      </c>
      <c r="Z475" s="59">
        <v>8.3333333333333329E-2</v>
      </c>
      <c r="AA475">
        <v>0</v>
      </c>
      <c r="AB475">
        <v>1.4703999999999999</v>
      </c>
      <c r="AC475">
        <v>40</v>
      </c>
      <c r="AD475">
        <v>18</v>
      </c>
      <c r="AE475" s="59">
        <v>0.375</v>
      </c>
      <c r="AF475" s="59">
        <v>0.45763888888888887</v>
      </c>
      <c r="AG475">
        <v>37.5</v>
      </c>
    </row>
    <row r="476" spans="1:33" x14ac:dyDescent="0.25">
      <c r="A476" t="s">
        <v>258</v>
      </c>
      <c r="B476" t="s">
        <v>310</v>
      </c>
      <c r="C476" t="s">
        <v>311</v>
      </c>
      <c r="D476" t="s">
        <v>312</v>
      </c>
      <c r="E476" t="s">
        <v>313</v>
      </c>
      <c r="F476" t="s">
        <v>134</v>
      </c>
      <c r="H476" t="s">
        <v>175</v>
      </c>
      <c r="I476" t="s">
        <v>127</v>
      </c>
      <c r="J476" t="s">
        <v>258</v>
      </c>
      <c r="K476" t="s">
        <v>360</v>
      </c>
      <c r="L476" t="s">
        <v>358</v>
      </c>
      <c r="N476" t="s">
        <v>361</v>
      </c>
      <c r="O476" t="s">
        <v>134</v>
      </c>
      <c r="Q476" t="s">
        <v>208</v>
      </c>
      <c r="R476" t="s">
        <v>176</v>
      </c>
      <c r="S476" t="s">
        <v>128</v>
      </c>
      <c r="T476" t="s">
        <v>181</v>
      </c>
      <c r="U476" t="s">
        <v>151</v>
      </c>
      <c r="V476" t="s">
        <v>76</v>
      </c>
      <c r="W476" s="58">
        <v>43329</v>
      </c>
      <c r="X476" s="59">
        <v>0.5</v>
      </c>
      <c r="Y476" s="59">
        <v>0.66666666666666663</v>
      </c>
      <c r="Z476" s="59">
        <v>0.16666666666666666</v>
      </c>
      <c r="AA476">
        <v>0</v>
      </c>
      <c r="AB476">
        <v>0</v>
      </c>
      <c r="AC476">
        <v>80</v>
      </c>
      <c r="AD476">
        <v>36</v>
      </c>
      <c r="AE476" s="59">
        <v>0.5</v>
      </c>
      <c r="AF476" s="59">
        <v>0.66597222222222219</v>
      </c>
      <c r="AG476">
        <v>37.5</v>
      </c>
    </row>
    <row r="477" spans="1:33" x14ac:dyDescent="0.25">
      <c r="A477" t="s">
        <v>258</v>
      </c>
      <c r="B477" t="s">
        <v>262</v>
      </c>
      <c r="C477" t="s">
        <v>263</v>
      </c>
      <c r="D477" t="s">
        <v>264</v>
      </c>
      <c r="E477" t="s">
        <v>265</v>
      </c>
      <c r="F477" t="s">
        <v>134</v>
      </c>
      <c r="H477" t="s">
        <v>132</v>
      </c>
      <c r="I477" t="s">
        <v>133</v>
      </c>
      <c r="J477" t="s">
        <v>258</v>
      </c>
      <c r="K477" t="s">
        <v>360</v>
      </c>
      <c r="L477" t="s">
        <v>358</v>
      </c>
      <c r="N477" t="s">
        <v>361</v>
      </c>
      <c r="O477" t="s">
        <v>134</v>
      </c>
      <c r="Q477" t="s">
        <v>208</v>
      </c>
      <c r="R477" t="s">
        <v>136</v>
      </c>
      <c r="S477" t="s">
        <v>128</v>
      </c>
      <c r="T477" t="s">
        <v>181</v>
      </c>
      <c r="U477" t="s">
        <v>129</v>
      </c>
      <c r="V477" t="s">
        <v>76</v>
      </c>
      <c r="W477" s="58">
        <v>43329</v>
      </c>
      <c r="X477" s="59">
        <v>0.72916666666666663</v>
      </c>
      <c r="Y477" s="59">
        <v>0.77083333333333337</v>
      </c>
      <c r="Z477" s="59">
        <v>4.1666666666666664E-2</v>
      </c>
      <c r="AA477">
        <v>0</v>
      </c>
      <c r="AB477">
        <v>8.3125999999999998</v>
      </c>
      <c r="AC477">
        <v>23</v>
      </c>
      <c r="AD477">
        <v>9</v>
      </c>
      <c r="AE477" s="59">
        <v>0.72916666666666663</v>
      </c>
      <c r="AF477" s="59">
        <v>0.77013888888888893</v>
      </c>
      <c r="AG477">
        <v>37.5</v>
      </c>
    </row>
    <row r="478" spans="1:33" x14ac:dyDescent="0.25">
      <c r="A478" t="s">
        <v>274</v>
      </c>
      <c r="B478" t="s">
        <v>275</v>
      </c>
      <c r="C478" t="s">
        <v>276</v>
      </c>
      <c r="E478" t="s">
        <v>277</v>
      </c>
      <c r="F478" t="s">
        <v>134</v>
      </c>
      <c r="H478" t="s">
        <v>141</v>
      </c>
      <c r="I478" t="s">
        <v>142</v>
      </c>
      <c r="J478" t="s">
        <v>258</v>
      </c>
      <c r="K478" t="s">
        <v>360</v>
      </c>
      <c r="L478" t="s">
        <v>358</v>
      </c>
      <c r="N478" t="s">
        <v>361</v>
      </c>
      <c r="O478" t="s">
        <v>134</v>
      </c>
      <c r="Q478" t="s">
        <v>208</v>
      </c>
      <c r="R478" t="s">
        <v>143</v>
      </c>
      <c r="S478" t="s">
        <v>128</v>
      </c>
      <c r="T478" t="s">
        <v>181</v>
      </c>
      <c r="U478" t="s">
        <v>129</v>
      </c>
      <c r="V478" t="s">
        <v>76</v>
      </c>
      <c r="W478" s="58">
        <v>43329</v>
      </c>
      <c r="X478" s="59">
        <v>0.8125</v>
      </c>
      <c r="Y478" s="59">
        <v>0.83333333333333337</v>
      </c>
      <c r="Z478" s="59">
        <v>2.0833333333333332E-2</v>
      </c>
      <c r="AA478">
        <v>0</v>
      </c>
      <c r="AB478">
        <v>3.2262</v>
      </c>
      <c r="AC478">
        <v>11.5</v>
      </c>
      <c r="AD478">
        <v>4.5</v>
      </c>
      <c r="AE478" s="59">
        <v>0.8125</v>
      </c>
      <c r="AF478" s="59">
        <v>0.83263888888888893</v>
      </c>
      <c r="AG478">
        <v>37.5</v>
      </c>
    </row>
    <row r="479" spans="1:33" x14ac:dyDescent="0.25">
      <c r="A479" t="s">
        <v>274</v>
      </c>
      <c r="B479" t="s">
        <v>321</v>
      </c>
      <c r="C479" t="s">
        <v>322</v>
      </c>
      <c r="D479" t="s">
        <v>323</v>
      </c>
      <c r="E479" t="s">
        <v>324</v>
      </c>
      <c r="F479" t="s">
        <v>134</v>
      </c>
      <c r="H479" t="s">
        <v>184</v>
      </c>
      <c r="I479" t="s">
        <v>147</v>
      </c>
      <c r="J479" t="s">
        <v>258</v>
      </c>
      <c r="K479" t="s">
        <v>360</v>
      </c>
      <c r="L479" t="s">
        <v>358</v>
      </c>
      <c r="N479" t="s">
        <v>361</v>
      </c>
      <c r="O479" t="s">
        <v>134</v>
      </c>
      <c r="Q479" t="s">
        <v>208</v>
      </c>
      <c r="R479" t="s">
        <v>185</v>
      </c>
      <c r="S479" t="s">
        <v>128</v>
      </c>
      <c r="T479" t="s">
        <v>181</v>
      </c>
      <c r="U479" t="s">
        <v>151</v>
      </c>
      <c r="V479" t="s">
        <v>76</v>
      </c>
      <c r="W479" s="58">
        <v>43329</v>
      </c>
      <c r="X479" s="59">
        <v>0.85416666666666663</v>
      </c>
      <c r="Y479" s="59">
        <v>0.88541666666666663</v>
      </c>
      <c r="Z479" s="59">
        <v>3.125E-2</v>
      </c>
      <c r="AA479">
        <v>0</v>
      </c>
      <c r="AB479">
        <v>9.7805999999999997</v>
      </c>
      <c r="AC479">
        <v>15</v>
      </c>
      <c r="AD479">
        <v>6.75</v>
      </c>
      <c r="AE479" s="59">
        <v>0.85416666666666663</v>
      </c>
      <c r="AF479" s="59">
        <v>0.8847222222222223</v>
      </c>
      <c r="AG479">
        <v>37.5</v>
      </c>
    </row>
    <row r="480" spans="1:33" x14ac:dyDescent="0.25">
      <c r="A480" t="s">
        <v>258</v>
      </c>
      <c r="B480" t="s">
        <v>281</v>
      </c>
      <c r="C480" t="s">
        <v>282</v>
      </c>
      <c r="E480" t="s">
        <v>283</v>
      </c>
      <c r="F480" t="s">
        <v>134</v>
      </c>
      <c r="G480" t="s">
        <v>218</v>
      </c>
      <c r="H480" t="s">
        <v>146</v>
      </c>
      <c r="I480" t="s">
        <v>147</v>
      </c>
      <c r="J480" t="s">
        <v>258</v>
      </c>
      <c r="K480" t="s">
        <v>360</v>
      </c>
      <c r="L480" t="s">
        <v>358</v>
      </c>
      <c r="N480" t="s">
        <v>361</v>
      </c>
      <c r="O480" t="s">
        <v>134</v>
      </c>
      <c r="Q480" t="s">
        <v>208</v>
      </c>
      <c r="R480" t="s">
        <v>148</v>
      </c>
      <c r="S480" t="s">
        <v>128</v>
      </c>
      <c r="T480" t="s">
        <v>181</v>
      </c>
      <c r="U480" t="s">
        <v>174</v>
      </c>
      <c r="V480" t="s">
        <v>72</v>
      </c>
      <c r="W480" s="58">
        <v>43332</v>
      </c>
      <c r="X480" s="59">
        <v>0.3125</v>
      </c>
      <c r="Y480" s="59">
        <v>0.3263888888888889</v>
      </c>
      <c r="Z480" s="59">
        <v>1.3888888888888888E-2</v>
      </c>
      <c r="AA480">
        <v>0</v>
      </c>
      <c r="AD480">
        <v>3.1667000000000001</v>
      </c>
      <c r="AE480" s="59">
        <v>0.3125</v>
      </c>
      <c r="AF480" s="59">
        <v>0.32569444444444445</v>
      </c>
      <c r="AG480">
        <v>37.5</v>
      </c>
    </row>
    <row r="481" spans="1:33" x14ac:dyDescent="0.25">
      <c r="A481" t="s">
        <v>258</v>
      </c>
      <c r="B481" t="s">
        <v>342</v>
      </c>
      <c r="C481" t="s">
        <v>343</v>
      </c>
      <c r="E481" t="s">
        <v>344</v>
      </c>
      <c r="F481" t="s">
        <v>134</v>
      </c>
      <c r="H481" t="s">
        <v>197</v>
      </c>
      <c r="I481" t="s">
        <v>198</v>
      </c>
      <c r="J481" t="s">
        <v>258</v>
      </c>
      <c r="K481" t="s">
        <v>360</v>
      </c>
      <c r="L481" t="s">
        <v>358</v>
      </c>
      <c r="N481" t="s">
        <v>361</v>
      </c>
      <c r="O481" t="s">
        <v>134</v>
      </c>
      <c r="Q481" t="s">
        <v>208</v>
      </c>
      <c r="R481" t="s">
        <v>199</v>
      </c>
      <c r="S481" t="s">
        <v>128</v>
      </c>
      <c r="T481" t="s">
        <v>181</v>
      </c>
      <c r="U481" t="s">
        <v>151</v>
      </c>
      <c r="V481" t="s">
        <v>72</v>
      </c>
      <c r="W481" s="58">
        <v>43332</v>
      </c>
      <c r="X481" s="59">
        <v>0.33333333333333331</v>
      </c>
      <c r="Y481" s="59">
        <v>0.375</v>
      </c>
      <c r="Z481" s="59">
        <v>4.1666666666666664E-2</v>
      </c>
      <c r="AA481">
        <v>0</v>
      </c>
      <c r="AB481">
        <v>5.7431999999999999</v>
      </c>
      <c r="AC481">
        <v>20</v>
      </c>
      <c r="AD481">
        <v>9.5</v>
      </c>
      <c r="AE481" s="59">
        <v>0.33333333333333331</v>
      </c>
      <c r="AF481" s="59">
        <v>0.3743055555555555</v>
      </c>
      <c r="AG481">
        <v>37.5</v>
      </c>
    </row>
    <row r="482" spans="1:33" x14ac:dyDescent="0.25">
      <c r="A482" t="s">
        <v>274</v>
      </c>
      <c r="B482" t="s">
        <v>336</v>
      </c>
      <c r="C482" t="s">
        <v>337</v>
      </c>
      <c r="E482" t="s">
        <v>338</v>
      </c>
      <c r="F482" t="s">
        <v>134</v>
      </c>
      <c r="H482" t="s">
        <v>186</v>
      </c>
      <c r="I482" t="s">
        <v>147</v>
      </c>
      <c r="J482" t="s">
        <v>258</v>
      </c>
      <c r="K482" t="s">
        <v>360</v>
      </c>
      <c r="L482" t="s">
        <v>358</v>
      </c>
      <c r="N482" t="s">
        <v>361</v>
      </c>
      <c r="O482" t="s">
        <v>134</v>
      </c>
      <c r="Q482" t="s">
        <v>208</v>
      </c>
      <c r="R482" t="s">
        <v>187</v>
      </c>
      <c r="S482" t="s">
        <v>128</v>
      </c>
      <c r="T482" t="s">
        <v>181</v>
      </c>
      <c r="U482" t="s">
        <v>151</v>
      </c>
      <c r="V482" t="s">
        <v>72</v>
      </c>
      <c r="W482" s="58">
        <v>43332</v>
      </c>
      <c r="X482" s="59">
        <v>0.38194444444444442</v>
      </c>
      <c r="Y482" s="59">
        <v>0.4236111111111111</v>
      </c>
      <c r="Z482" s="59">
        <v>4.1666666666666664E-2</v>
      </c>
      <c r="AA482">
        <v>0</v>
      </c>
      <c r="AB482">
        <v>7.0965999999999996</v>
      </c>
      <c r="AC482">
        <v>20</v>
      </c>
      <c r="AD482">
        <v>9.5</v>
      </c>
      <c r="AE482" s="59">
        <v>0.38194444444444442</v>
      </c>
      <c r="AF482" s="59">
        <v>0.42291666666666666</v>
      </c>
      <c r="AG482">
        <v>37.5</v>
      </c>
    </row>
    <row r="483" spans="1:33" x14ac:dyDescent="0.25">
      <c r="A483" t="s">
        <v>258</v>
      </c>
      <c r="B483" t="s">
        <v>281</v>
      </c>
      <c r="C483" t="s">
        <v>282</v>
      </c>
      <c r="E483" t="s">
        <v>283</v>
      </c>
      <c r="F483" t="s">
        <v>134</v>
      </c>
      <c r="G483" t="s">
        <v>218</v>
      </c>
      <c r="H483" t="s">
        <v>146</v>
      </c>
      <c r="I483" t="s">
        <v>147</v>
      </c>
      <c r="J483" t="s">
        <v>258</v>
      </c>
      <c r="K483" t="s">
        <v>360</v>
      </c>
      <c r="L483" t="s">
        <v>358</v>
      </c>
      <c r="N483" t="s">
        <v>361</v>
      </c>
      <c r="O483" t="s">
        <v>134</v>
      </c>
      <c r="Q483" t="s">
        <v>208</v>
      </c>
      <c r="R483" t="s">
        <v>148</v>
      </c>
      <c r="S483" t="s">
        <v>128</v>
      </c>
      <c r="T483" t="s">
        <v>181</v>
      </c>
      <c r="U483" t="s">
        <v>129</v>
      </c>
      <c r="V483" t="s">
        <v>72</v>
      </c>
      <c r="W483" s="58">
        <v>43332</v>
      </c>
      <c r="X483" s="59">
        <v>0.47916666666666669</v>
      </c>
      <c r="Y483" s="59">
        <v>0.52083333333333337</v>
      </c>
      <c r="Z483" s="59">
        <v>4.1666666666666664E-2</v>
      </c>
      <c r="AA483">
        <v>0</v>
      </c>
      <c r="AB483">
        <v>1.2829999999999999</v>
      </c>
      <c r="AC483">
        <v>23</v>
      </c>
      <c r="AD483">
        <v>9.5</v>
      </c>
      <c r="AE483" s="59">
        <v>0.47916666666666669</v>
      </c>
      <c r="AF483" s="59">
        <v>0.52013888888888882</v>
      </c>
      <c r="AG483">
        <v>37.5</v>
      </c>
    </row>
    <row r="484" spans="1:33" x14ac:dyDescent="0.25">
      <c r="A484" t="s">
        <v>258</v>
      </c>
      <c r="B484" t="s">
        <v>325</v>
      </c>
      <c r="C484" t="s">
        <v>326</v>
      </c>
      <c r="E484" t="s">
        <v>327</v>
      </c>
      <c r="F484" t="s">
        <v>134</v>
      </c>
      <c r="H484" t="s">
        <v>182</v>
      </c>
      <c r="I484" t="s">
        <v>147</v>
      </c>
      <c r="J484" t="s">
        <v>258</v>
      </c>
      <c r="K484" t="s">
        <v>360</v>
      </c>
      <c r="L484" t="s">
        <v>358</v>
      </c>
      <c r="N484" t="s">
        <v>361</v>
      </c>
      <c r="O484" t="s">
        <v>134</v>
      </c>
      <c r="Q484" t="s">
        <v>208</v>
      </c>
      <c r="R484" t="s">
        <v>183</v>
      </c>
      <c r="S484" t="s">
        <v>128</v>
      </c>
      <c r="T484" t="s">
        <v>181</v>
      </c>
      <c r="U484" t="s">
        <v>129</v>
      </c>
      <c r="V484" t="s">
        <v>72</v>
      </c>
      <c r="W484" s="58">
        <v>43332</v>
      </c>
      <c r="X484" s="59">
        <v>0.52777777777777779</v>
      </c>
      <c r="Y484" s="59">
        <v>0.56944444444444442</v>
      </c>
      <c r="Z484" s="59">
        <v>4.1666666666666664E-2</v>
      </c>
      <c r="AA484">
        <v>0</v>
      </c>
      <c r="AB484">
        <v>1.2704</v>
      </c>
      <c r="AC484">
        <v>23</v>
      </c>
      <c r="AD484">
        <v>9.5</v>
      </c>
      <c r="AE484" s="59">
        <v>0.52777777777777779</v>
      </c>
      <c r="AF484" s="59">
        <v>0.56874999999999998</v>
      </c>
      <c r="AG484">
        <v>37.5</v>
      </c>
    </row>
    <row r="485" spans="1:33" x14ac:dyDescent="0.25">
      <c r="B485" t="s">
        <v>307</v>
      </c>
      <c r="C485" t="s">
        <v>308</v>
      </c>
      <c r="D485" t="s">
        <v>309</v>
      </c>
      <c r="E485" t="s">
        <v>134</v>
      </c>
      <c r="H485" t="s">
        <v>171</v>
      </c>
      <c r="I485" t="s">
        <v>169</v>
      </c>
      <c r="J485" t="s">
        <v>258</v>
      </c>
      <c r="K485" t="s">
        <v>360</v>
      </c>
      <c r="L485" t="s">
        <v>358</v>
      </c>
      <c r="N485" t="s">
        <v>361</v>
      </c>
      <c r="O485" t="s">
        <v>134</v>
      </c>
      <c r="Q485" t="s">
        <v>208</v>
      </c>
      <c r="R485" t="s">
        <v>172</v>
      </c>
      <c r="S485" t="s">
        <v>128</v>
      </c>
      <c r="T485" t="s">
        <v>181</v>
      </c>
      <c r="U485" t="s">
        <v>129</v>
      </c>
      <c r="V485" t="s">
        <v>72</v>
      </c>
      <c r="W485" s="58">
        <v>43332</v>
      </c>
      <c r="X485" s="59">
        <v>0.70833333333333337</v>
      </c>
      <c r="Y485" s="59">
        <v>0.73958333333333337</v>
      </c>
      <c r="Z485" s="59">
        <v>3.125E-2</v>
      </c>
      <c r="AA485">
        <v>0</v>
      </c>
      <c r="AC485">
        <v>17.25</v>
      </c>
      <c r="AD485">
        <v>7.125</v>
      </c>
      <c r="AE485" s="59">
        <v>0.70833333333333337</v>
      </c>
      <c r="AF485" s="59">
        <v>0.73888888888888893</v>
      </c>
      <c r="AG485">
        <v>37.5</v>
      </c>
    </row>
    <row r="486" spans="1:33" x14ac:dyDescent="0.25">
      <c r="A486" t="s">
        <v>258</v>
      </c>
      <c r="B486" t="s">
        <v>270</v>
      </c>
      <c r="C486" t="s">
        <v>271</v>
      </c>
      <c r="D486" t="s">
        <v>272</v>
      </c>
      <c r="E486" t="s">
        <v>273</v>
      </c>
      <c r="F486" t="s">
        <v>134</v>
      </c>
      <c r="H486" t="s">
        <v>138</v>
      </c>
      <c r="I486" t="s">
        <v>139</v>
      </c>
      <c r="J486" t="s">
        <v>258</v>
      </c>
      <c r="K486" t="s">
        <v>360</v>
      </c>
      <c r="L486" t="s">
        <v>358</v>
      </c>
      <c r="N486" t="s">
        <v>361</v>
      </c>
      <c r="O486" t="s">
        <v>134</v>
      </c>
      <c r="Q486" t="s">
        <v>208</v>
      </c>
      <c r="R486" t="s">
        <v>140</v>
      </c>
      <c r="S486" t="s">
        <v>128</v>
      </c>
      <c r="T486" t="s">
        <v>181</v>
      </c>
      <c r="U486" t="s">
        <v>129</v>
      </c>
      <c r="V486" t="s">
        <v>72</v>
      </c>
      <c r="W486" s="58">
        <v>43332</v>
      </c>
      <c r="X486" s="59">
        <v>0.76041666666666663</v>
      </c>
      <c r="Y486" s="59">
        <v>0.80208333333333337</v>
      </c>
      <c r="Z486" s="59">
        <v>4.1666666666666664E-2</v>
      </c>
      <c r="AA486">
        <v>0</v>
      </c>
      <c r="AB486">
        <v>5.9931999999999999</v>
      </c>
      <c r="AC486">
        <v>23</v>
      </c>
      <c r="AD486">
        <v>9.5</v>
      </c>
      <c r="AE486" s="59">
        <v>0.76041666666666663</v>
      </c>
      <c r="AF486" s="59">
        <v>0.80138888888888893</v>
      </c>
      <c r="AG486">
        <v>37.5</v>
      </c>
    </row>
    <row r="487" spans="1:33" x14ac:dyDescent="0.25">
      <c r="A487" t="s">
        <v>274</v>
      </c>
      <c r="B487" t="s">
        <v>328</v>
      </c>
      <c r="C487" t="s">
        <v>329</v>
      </c>
      <c r="D487">
        <v>5</v>
      </c>
      <c r="E487" t="s">
        <v>330</v>
      </c>
      <c r="F487" t="s">
        <v>134</v>
      </c>
      <c r="G487" t="s">
        <v>218</v>
      </c>
      <c r="H487" t="s">
        <v>188</v>
      </c>
      <c r="I487" t="s">
        <v>189</v>
      </c>
      <c r="J487" t="s">
        <v>258</v>
      </c>
      <c r="K487" t="s">
        <v>360</v>
      </c>
      <c r="L487" t="s">
        <v>358</v>
      </c>
      <c r="N487" t="s">
        <v>361</v>
      </c>
      <c r="O487" t="s">
        <v>134</v>
      </c>
      <c r="Q487" t="s">
        <v>208</v>
      </c>
      <c r="R487" t="s">
        <v>190</v>
      </c>
      <c r="S487" t="s">
        <v>128</v>
      </c>
      <c r="T487" t="s">
        <v>181</v>
      </c>
      <c r="U487" t="s">
        <v>151</v>
      </c>
      <c r="V487" t="s">
        <v>73</v>
      </c>
      <c r="W487" s="58">
        <v>43333</v>
      </c>
      <c r="X487" s="59">
        <v>0.33333333333333331</v>
      </c>
      <c r="Y487" s="59">
        <v>0.5</v>
      </c>
      <c r="Z487" s="59">
        <v>0.16666666666666666</v>
      </c>
      <c r="AA487">
        <v>0</v>
      </c>
      <c r="AC487">
        <v>80</v>
      </c>
      <c r="AD487">
        <v>38</v>
      </c>
      <c r="AE487" s="59">
        <v>0.33333333333333331</v>
      </c>
      <c r="AF487" s="59">
        <v>0.4993055555555555</v>
      </c>
      <c r="AG487">
        <v>37.5</v>
      </c>
    </row>
    <row r="488" spans="1:33" x14ac:dyDescent="0.25">
      <c r="A488" t="s">
        <v>274</v>
      </c>
      <c r="B488" t="s">
        <v>328</v>
      </c>
      <c r="C488" t="s">
        <v>329</v>
      </c>
      <c r="D488">
        <v>5</v>
      </c>
      <c r="E488" t="s">
        <v>330</v>
      </c>
      <c r="F488" t="s">
        <v>134</v>
      </c>
      <c r="G488" t="s">
        <v>218</v>
      </c>
      <c r="H488" t="s">
        <v>188</v>
      </c>
      <c r="I488" t="s">
        <v>189</v>
      </c>
      <c r="J488" t="s">
        <v>258</v>
      </c>
      <c r="K488" t="s">
        <v>360</v>
      </c>
      <c r="L488" t="s">
        <v>358</v>
      </c>
      <c r="N488" t="s">
        <v>361</v>
      </c>
      <c r="O488" t="s">
        <v>134</v>
      </c>
      <c r="Q488" t="s">
        <v>208</v>
      </c>
      <c r="R488" t="s">
        <v>190</v>
      </c>
      <c r="S488" t="s">
        <v>128</v>
      </c>
      <c r="T488" t="s">
        <v>181</v>
      </c>
      <c r="U488" t="s">
        <v>151</v>
      </c>
      <c r="V488" t="s">
        <v>73</v>
      </c>
      <c r="W488" s="58">
        <v>43333</v>
      </c>
      <c r="X488" s="59">
        <v>0.5</v>
      </c>
      <c r="Y488" s="59">
        <v>0.75</v>
      </c>
      <c r="Z488" s="59">
        <v>0.25</v>
      </c>
      <c r="AA488">
        <v>0</v>
      </c>
      <c r="AB488">
        <v>0</v>
      </c>
      <c r="AC488">
        <v>120</v>
      </c>
      <c r="AD488">
        <v>57</v>
      </c>
      <c r="AE488" s="59">
        <v>0.5</v>
      </c>
      <c r="AF488" s="59">
        <v>0.74930555555555556</v>
      </c>
      <c r="AG488">
        <v>37.5</v>
      </c>
    </row>
    <row r="489" spans="1:33" x14ac:dyDescent="0.25">
      <c r="A489" t="s">
        <v>258</v>
      </c>
      <c r="B489" t="s">
        <v>314</v>
      </c>
      <c r="C489" t="s">
        <v>315</v>
      </c>
      <c r="D489">
        <v>72</v>
      </c>
      <c r="E489" t="s">
        <v>316</v>
      </c>
      <c r="F489" t="s">
        <v>317</v>
      </c>
      <c r="G489" t="s">
        <v>218</v>
      </c>
      <c r="H489" t="s">
        <v>168</v>
      </c>
      <c r="I489" t="s">
        <v>169</v>
      </c>
      <c r="J489" t="s">
        <v>258</v>
      </c>
      <c r="K489" t="s">
        <v>360</v>
      </c>
      <c r="L489" t="s">
        <v>358</v>
      </c>
      <c r="N489" t="s">
        <v>361</v>
      </c>
      <c r="O489" t="s">
        <v>134</v>
      </c>
      <c r="Q489" t="s">
        <v>208</v>
      </c>
      <c r="R489" t="s">
        <v>170</v>
      </c>
      <c r="S489" t="s">
        <v>128</v>
      </c>
      <c r="T489" t="s">
        <v>181</v>
      </c>
      <c r="U489" t="s">
        <v>129</v>
      </c>
      <c r="V489" t="s">
        <v>74</v>
      </c>
      <c r="W489" s="58">
        <v>43334</v>
      </c>
      <c r="X489" s="59">
        <v>0.33333333333333331</v>
      </c>
      <c r="Y489" s="59">
        <v>0.35416666666666669</v>
      </c>
      <c r="Z489" s="59">
        <v>2.0833333333333332E-2</v>
      </c>
      <c r="AA489">
        <v>0</v>
      </c>
      <c r="AC489">
        <v>11.5</v>
      </c>
      <c r="AD489">
        <v>4.75</v>
      </c>
      <c r="AE489" s="59">
        <v>0.33333333333333331</v>
      </c>
      <c r="AF489" s="59">
        <v>0.35347222222222219</v>
      </c>
      <c r="AG489">
        <v>37.5</v>
      </c>
    </row>
    <row r="490" spans="1:33" x14ac:dyDescent="0.25">
      <c r="A490" t="s">
        <v>258</v>
      </c>
      <c r="B490" t="s">
        <v>325</v>
      </c>
      <c r="C490" t="s">
        <v>326</v>
      </c>
      <c r="E490" t="s">
        <v>327</v>
      </c>
      <c r="F490" t="s">
        <v>134</v>
      </c>
      <c r="H490" t="s">
        <v>182</v>
      </c>
      <c r="I490" t="s">
        <v>147</v>
      </c>
      <c r="J490" t="s">
        <v>258</v>
      </c>
      <c r="K490" t="s">
        <v>360</v>
      </c>
      <c r="L490" t="s">
        <v>358</v>
      </c>
      <c r="N490" t="s">
        <v>361</v>
      </c>
      <c r="O490" t="s">
        <v>134</v>
      </c>
      <c r="Q490" t="s">
        <v>208</v>
      </c>
      <c r="R490" t="s">
        <v>183</v>
      </c>
      <c r="S490" t="s">
        <v>128</v>
      </c>
      <c r="T490" t="s">
        <v>181</v>
      </c>
      <c r="U490" t="s">
        <v>129</v>
      </c>
      <c r="V490" t="s">
        <v>74</v>
      </c>
      <c r="W490" s="58">
        <v>43334</v>
      </c>
      <c r="X490" s="59">
        <v>0.36458333333333331</v>
      </c>
      <c r="Y490" s="59">
        <v>0.40625</v>
      </c>
      <c r="Z490" s="59">
        <v>4.1666666666666664E-2</v>
      </c>
      <c r="AA490">
        <v>0</v>
      </c>
      <c r="AB490">
        <v>3.7126000000000001</v>
      </c>
      <c r="AC490">
        <v>23</v>
      </c>
      <c r="AD490">
        <v>9.5</v>
      </c>
      <c r="AE490" s="59">
        <v>0.36458333333333331</v>
      </c>
      <c r="AF490" s="59">
        <v>0.4055555555555555</v>
      </c>
      <c r="AG490">
        <v>37.5</v>
      </c>
    </row>
    <row r="491" spans="1:33" x14ac:dyDescent="0.25">
      <c r="A491" t="s">
        <v>274</v>
      </c>
      <c r="B491" t="s">
        <v>321</v>
      </c>
      <c r="C491" t="s">
        <v>322</v>
      </c>
      <c r="D491" t="s">
        <v>323</v>
      </c>
      <c r="E491" t="s">
        <v>324</v>
      </c>
      <c r="F491" t="s">
        <v>134</v>
      </c>
      <c r="H491" t="s">
        <v>184</v>
      </c>
      <c r="I491" t="s">
        <v>147</v>
      </c>
      <c r="J491" t="s">
        <v>258</v>
      </c>
      <c r="K491" t="s">
        <v>360</v>
      </c>
      <c r="L491" t="s">
        <v>358</v>
      </c>
      <c r="N491" t="s">
        <v>361</v>
      </c>
      <c r="O491" t="s">
        <v>134</v>
      </c>
      <c r="Q491" t="s">
        <v>208</v>
      </c>
      <c r="R491" t="s">
        <v>185</v>
      </c>
      <c r="S491" t="s">
        <v>128</v>
      </c>
      <c r="T491" t="s">
        <v>181</v>
      </c>
      <c r="U491" t="s">
        <v>151</v>
      </c>
      <c r="V491" t="s">
        <v>74</v>
      </c>
      <c r="W491" s="58">
        <v>43334</v>
      </c>
      <c r="X491" s="59">
        <v>0.41666666666666669</v>
      </c>
      <c r="Y491" s="59">
        <v>0.45833333333333331</v>
      </c>
      <c r="Z491" s="59">
        <v>4.1666666666666664E-2</v>
      </c>
      <c r="AA491">
        <v>0</v>
      </c>
      <c r="AB491">
        <v>2.2181999999999999</v>
      </c>
      <c r="AC491">
        <v>20</v>
      </c>
      <c r="AD491">
        <v>9.5</v>
      </c>
      <c r="AE491" s="59">
        <v>0.41666666666666669</v>
      </c>
      <c r="AF491" s="59">
        <v>0.45763888888888887</v>
      </c>
      <c r="AG491">
        <v>37.5</v>
      </c>
    </row>
    <row r="492" spans="1:33" x14ac:dyDescent="0.25">
      <c r="A492" t="s">
        <v>274</v>
      </c>
      <c r="B492" t="s">
        <v>336</v>
      </c>
      <c r="C492" t="s">
        <v>337</v>
      </c>
      <c r="E492" t="s">
        <v>338</v>
      </c>
      <c r="F492" t="s">
        <v>134</v>
      </c>
      <c r="H492" t="s">
        <v>186</v>
      </c>
      <c r="I492" t="s">
        <v>147</v>
      </c>
      <c r="J492" t="s">
        <v>258</v>
      </c>
      <c r="K492" t="s">
        <v>360</v>
      </c>
      <c r="L492" t="s">
        <v>358</v>
      </c>
      <c r="N492" t="s">
        <v>361</v>
      </c>
      <c r="O492" t="s">
        <v>134</v>
      </c>
      <c r="Q492" t="s">
        <v>208</v>
      </c>
      <c r="R492" t="s">
        <v>187</v>
      </c>
      <c r="S492" t="s">
        <v>128</v>
      </c>
      <c r="T492" t="s">
        <v>181</v>
      </c>
      <c r="U492" t="s">
        <v>151</v>
      </c>
      <c r="V492" t="s">
        <v>74</v>
      </c>
      <c r="W492" s="58">
        <v>43334</v>
      </c>
      <c r="X492" s="59">
        <v>0.46875</v>
      </c>
      <c r="Y492" s="59">
        <v>0.55208333333333337</v>
      </c>
      <c r="Z492" s="59">
        <v>8.3333333333333329E-2</v>
      </c>
      <c r="AA492">
        <v>0</v>
      </c>
      <c r="AB492">
        <v>0.79659999999999997</v>
      </c>
      <c r="AC492">
        <v>40</v>
      </c>
      <c r="AD492">
        <v>19</v>
      </c>
      <c r="AE492" s="59">
        <v>0.46875</v>
      </c>
      <c r="AF492" s="59">
        <v>0.55138888888888882</v>
      </c>
      <c r="AG492">
        <v>37.5</v>
      </c>
    </row>
    <row r="493" spans="1:33" x14ac:dyDescent="0.25">
      <c r="B493" t="s">
        <v>307</v>
      </c>
      <c r="C493" t="s">
        <v>308</v>
      </c>
      <c r="D493" t="s">
        <v>309</v>
      </c>
      <c r="E493" t="s">
        <v>134</v>
      </c>
      <c r="H493" t="s">
        <v>171</v>
      </c>
      <c r="I493" t="s">
        <v>169</v>
      </c>
      <c r="J493" t="s">
        <v>258</v>
      </c>
      <c r="K493" t="s">
        <v>360</v>
      </c>
      <c r="L493" t="s">
        <v>358</v>
      </c>
      <c r="N493" t="s">
        <v>361</v>
      </c>
      <c r="O493" t="s">
        <v>134</v>
      </c>
      <c r="Q493" t="s">
        <v>208</v>
      </c>
      <c r="R493" t="s">
        <v>172</v>
      </c>
      <c r="S493" t="s">
        <v>128</v>
      </c>
      <c r="T493" t="s">
        <v>181</v>
      </c>
      <c r="U493" t="s">
        <v>129</v>
      </c>
      <c r="V493" t="s">
        <v>74</v>
      </c>
      <c r="W493" s="58">
        <v>43334</v>
      </c>
      <c r="X493" s="59">
        <v>0.66666666666666663</v>
      </c>
      <c r="Y493" s="59">
        <v>0.69791666666666663</v>
      </c>
      <c r="Z493" s="59">
        <v>3.125E-2</v>
      </c>
      <c r="AA493">
        <v>0</v>
      </c>
      <c r="AB493">
        <v>4.6454000000000004</v>
      </c>
      <c r="AC493">
        <v>17.25</v>
      </c>
      <c r="AD493">
        <v>7.125</v>
      </c>
      <c r="AE493" s="59">
        <v>0.66666666666666663</v>
      </c>
      <c r="AF493" s="59">
        <v>0.6972222222222223</v>
      </c>
      <c r="AG493">
        <v>37.5</v>
      </c>
    </row>
    <row r="494" spans="1:33" x14ac:dyDescent="0.25">
      <c r="A494" t="s">
        <v>258</v>
      </c>
      <c r="B494" t="s">
        <v>314</v>
      </c>
      <c r="C494" t="s">
        <v>315</v>
      </c>
      <c r="D494">
        <v>72</v>
      </c>
      <c r="E494" t="s">
        <v>316</v>
      </c>
      <c r="F494" t="s">
        <v>317</v>
      </c>
      <c r="G494" t="s">
        <v>218</v>
      </c>
      <c r="H494" t="s">
        <v>168</v>
      </c>
      <c r="I494" t="s">
        <v>169</v>
      </c>
      <c r="J494" t="s">
        <v>258</v>
      </c>
      <c r="K494" t="s">
        <v>360</v>
      </c>
      <c r="L494" t="s">
        <v>358</v>
      </c>
      <c r="N494" t="s">
        <v>361</v>
      </c>
      <c r="O494" t="s">
        <v>134</v>
      </c>
      <c r="Q494" t="s">
        <v>208</v>
      </c>
      <c r="R494" t="s">
        <v>170</v>
      </c>
      <c r="S494" t="s">
        <v>128</v>
      </c>
      <c r="T494" t="s">
        <v>181</v>
      </c>
      <c r="U494" t="s">
        <v>129</v>
      </c>
      <c r="V494" t="s">
        <v>74</v>
      </c>
      <c r="W494" s="58">
        <v>43334</v>
      </c>
      <c r="X494" s="59">
        <v>0.70833333333333337</v>
      </c>
      <c r="Y494" s="59">
        <v>0.75</v>
      </c>
      <c r="Z494" s="59">
        <v>4.1666666666666664E-2</v>
      </c>
      <c r="AA494">
        <v>0</v>
      </c>
      <c r="AB494">
        <v>0.62839999999999996</v>
      </c>
      <c r="AC494">
        <v>23</v>
      </c>
      <c r="AD494">
        <v>9.5</v>
      </c>
      <c r="AE494" s="59">
        <v>0.70833333333333337</v>
      </c>
      <c r="AF494" s="59">
        <v>0.74930555555555556</v>
      </c>
      <c r="AG494">
        <v>37.5</v>
      </c>
    </row>
    <row r="495" spans="1:33" x14ac:dyDescent="0.25">
      <c r="A495" t="s">
        <v>258</v>
      </c>
      <c r="B495" t="s">
        <v>270</v>
      </c>
      <c r="C495" t="s">
        <v>271</v>
      </c>
      <c r="D495" t="s">
        <v>272</v>
      </c>
      <c r="E495" t="s">
        <v>273</v>
      </c>
      <c r="F495" t="s">
        <v>134</v>
      </c>
      <c r="H495" t="s">
        <v>138</v>
      </c>
      <c r="I495" t="s">
        <v>139</v>
      </c>
      <c r="J495" t="s">
        <v>258</v>
      </c>
      <c r="K495" t="s">
        <v>360</v>
      </c>
      <c r="L495" t="s">
        <v>358</v>
      </c>
      <c r="N495" t="s">
        <v>361</v>
      </c>
      <c r="O495" t="s">
        <v>134</v>
      </c>
      <c r="Q495" t="s">
        <v>208</v>
      </c>
      <c r="R495" t="s">
        <v>140</v>
      </c>
      <c r="S495" t="s">
        <v>128</v>
      </c>
      <c r="T495" t="s">
        <v>181</v>
      </c>
      <c r="U495" t="s">
        <v>129</v>
      </c>
      <c r="V495" t="s">
        <v>74</v>
      </c>
      <c r="W495" s="58">
        <v>43334</v>
      </c>
      <c r="X495" s="59">
        <v>0.76041666666666663</v>
      </c>
      <c r="Y495" s="59">
        <v>0.79166666666666663</v>
      </c>
      <c r="Z495" s="59">
        <v>3.125E-2</v>
      </c>
      <c r="AA495">
        <v>0</v>
      </c>
      <c r="AB495">
        <v>6.5953999999999997</v>
      </c>
      <c r="AC495">
        <v>17.25</v>
      </c>
      <c r="AD495">
        <v>7.125</v>
      </c>
      <c r="AE495" s="59">
        <v>0.76041666666666663</v>
      </c>
      <c r="AF495" s="59">
        <v>0.7909722222222223</v>
      </c>
      <c r="AG495">
        <v>37.5</v>
      </c>
    </row>
    <row r="496" spans="1:33" x14ac:dyDescent="0.25">
      <c r="A496" t="s">
        <v>274</v>
      </c>
      <c r="B496" t="s">
        <v>321</v>
      </c>
      <c r="C496" t="s">
        <v>322</v>
      </c>
      <c r="D496" t="s">
        <v>323</v>
      </c>
      <c r="E496" t="s">
        <v>324</v>
      </c>
      <c r="F496" t="s">
        <v>134</v>
      </c>
      <c r="H496" t="s">
        <v>184</v>
      </c>
      <c r="I496" t="s">
        <v>147</v>
      </c>
      <c r="J496" t="s">
        <v>258</v>
      </c>
      <c r="K496" t="s">
        <v>360</v>
      </c>
      <c r="L496" t="s">
        <v>358</v>
      </c>
      <c r="N496" t="s">
        <v>361</v>
      </c>
      <c r="O496" t="s">
        <v>134</v>
      </c>
      <c r="Q496" t="s">
        <v>208</v>
      </c>
      <c r="R496" t="s">
        <v>185</v>
      </c>
      <c r="S496" t="s">
        <v>128</v>
      </c>
      <c r="T496" t="s">
        <v>181</v>
      </c>
      <c r="U496" t="s">
        <v>151</v>
      </c>
      <c r="V496" t="s">
        <v>74</v>
      </c>
      <c r="W496" s="58">
        <v>43334</v>
      </c>
      <c r="X496" s="59">
        <v>0.82291666666666663</v>
      </c>
      <c r="Y496" s="59">
        <v>0.85416666666666663</v>
      </c>
      <c r="Z496" s="59">
        <v>3.125E-2</v>
      </c>
      <c r="AA496">
        <v>0</v>
      </c>
      <c r="AB496">
        <v>10.6806</v>
      </c>
      <c r="AC496">
        <v>15</v>
      </c>
      <c r="AD496">
        <v>7.125</v>
      </c>
      <c r="AE496" s="59">
        <v>0.82291666666666663</v>
      </c>
      <c r="AF496" s="59">
        <v>0.8534722222222223</v>
      </c>
      <c r="AG496">
        <v>37.5</v>
      </c>
    </row>
    <row r="497" spans="1:33" x14ac:dyDescent="0.25">
      <c r="B497" t="s">
        <v>307</v>
      </c>
      <c r="C497" t="s">
        <v>308</v>
      </c>
      <c r="D497" t="s">
        <v>309</v>
      </c>
      <c r="E497" t="s">
        <v>134</v>
      </c>
      <c r="H497" t="s">
        <v>171</v>
      </c>
      <c r="I497" t="s">
        <v>169</v>
      </c>
      <c r="J497" t="s">
        <v>258</v>
      </c>
      <c r="K497" t="s">
        <v>360</v>
      </c>
      <c r="L497" t="s">
        <v>358</v>
      </c>
      <c r="N497" t="s">
        <v>361</v>
      </c>
      <c r="O497" t="s">
        <v>134</v>
      </c>
      <c r="Q497" t="s">
        <v>208</v>
      </c>
      <c r="R497" t="s">
        <v>172</v>
      </c>
      <c r="S497" t="s">
        <v>128</v>
      </c>
      <c r="T497" t="s">
        <v>181</v>
      </c>
      <c r="U497" t="s">
        <v>129</v>
      </c>
      <c r="V497" t="s">
        <v>75</v>
      </c>
      <c r="W497" s="58">
        <v>43335</v>
      </c>
      <c r="X497" s="59">
        <v>0.31736111111111115</v>
      </c>
      <c r="Y497" s="59">
        <v>0.35902777777777778</v>
      </c>
      <c r="Z497" s="59">
        <v>4.1666666666666664E-2</v>
      </c>
      <c r="AA497">
        <v>0</v>
      </c>
      <c r="AC497">
        <v>23</v>
      </c>
      <c r="AD497">
        <v>9.5</v>
      </c>
      <c r="AE497" s="59">
        <v>0.31736111111111115</v>
      </c>
      <c r="AF497" s="59">
        <v>0.35833333333333334</v>
      </c>
      <c r="AG497">
        <v>37.5</v>
      </c>
    </row>
    <row r="498" spans="1:33" x14ac:dyDescent="0.25">
      <c r="A498" t="s">
        <v>258</v>
      </c>
      <c r="B498" t="s">
        <v>325</v>
      </c>
      <c r="C498" t="s">
        <v>326</v>
      </c>
      <c r="E498" t="s">
        <v>327</v>
      </c>
      <c r="F498" t="s">
        <v>134</v>
      </c>
      <c r="H498" t="s">
        <v>182</v>
      </c>
      <c r="I498" t="s">
        <v>147</v>
      </c>
      <c r="J498" t="s">
        <v>258</v>
      </c>
      <c r="K498" t="s">
        <v>360</v>
      </c>
      <c r="L498" t="s">
        <v>358</v>
      </c>
      <c r="N498" t="s">
        <v>361</v>
      </c>
      <c r="O498" t="s">
        <v>134</v>
      </c>
      <c r="Q498" t="s">
        <v>208</v>
      </c>
      <c r="R498" t="s">
        <v>183</v>
      </c>
      <c r="S498" t="s">
        <v>128</v>
      </c>
      <c r="T498" t="s">
        <v>181</v>
      </c>
      <c r="U498" t="s">
        <v>129</v>
      </c>
      <c r="V498" t="s">
        <v>75</v>
      </c>
      <c r="W498" s="58">
        <v>43335</v>
      </c>
      <c r="X498" s="59">
        <v>0.36458333333333331</v>
      </c>
      <c r="Y498" s="59">
        <v>0.40625</v>
      </c>
      <c r="Z498" s="59">
        <v>4.1666666666666664E-2</v>
      </c>
      <c r="AA498">
        <v>13</v>
      </c>
      <c r="AB498">
        <v>3.8488000000000002</v>
      </c>
      <c r="AC498">
        <v>23</v>
      </c>
      <c r="AD498">
        <v>9.5</v>
      </c>
      <c r="AE498" s="59">
        <v>0.36458333333333331</v>
      </c>
      <c r="AF498" s="59">
        <v>0.4055555555555555</v>
      </c>
      <c r="AG498">
        <v>37.5</v>
      </c>
    </row>
    <row r="499" spans="1:33" x14ac:dyDescent="0.25">
      <c r="A499" t="s">
        <v>274</v>
      </c>
      <c r="B499" t="s">
        <v>321</v>
      </c>
      <c r="C499" t="s">
        <v>322</v>
      </c>
      <c r="D499" t="s">
        <v>323</v>
      </c>
      <c r="E499" t="s">
        <v>324</v>
      </c>
      <c r="F499" t="s">
        <v>134</v>
      </c>
      <c r="H499" t="s">
        <v>184</v>
      </c>
      <c r="I499" t="s">
        <v>147</v>
      </c>
      <c r="J499" t="s">
        <v>258</v>
      </c>
      <c r="K499" t="s">
        <v>360</v>
      </c>
      <c r="L499" t="s">
        <v>358</v>
      </c>
      <c r="N499" t="s">
        <v>361</v>
      </c>
      <c r="O499" t="s">
        <v>134</v>
      </c>
      <c r="Q499" t="s">
        <v>208</v>
      </c>
      <c r="R499" t="s">
        <v>185</v>
      </c>
      <c r="S499" t="s">
        <v>128</v>
      </c>
      <c r="T499" t="s">
        <v>181</v>
      </c>
      <c r="U499" t="s">
        <v>151</v>
      </c>
      <c r="V499" t="s">
        <v>75</v>
      </c>
      <c r="W499" s="58">
        <v>43335</v>
      </c>
      <c r="X499" s="59">
        <v>0.41666666666666669</v>
      </c>
      <c r="Y499" s="59">
        <v>0.45833333333333331</v>
      </c>
      <c r="Z499" s="59">
        <v>4.1666666666666664E-2</v>
      </c>
      <c r="AA499">
        <v>4</v>
      </c>
      <c r="AB499">
        <v>2.2181999999999999</v>
      </c>
      <c r="AC499">
        <v>20</v>
      </c>
      <c r="AD499">
        <v>9.5</v>
      </c>
      <c r="AE499" s="59">
        <v>0.41666666666666669</v>
      </c>
      <c r="AF499" s="59">
        <v>0.45763888888888887</v>
      </c>
      <c r="AG499">
        <v>37.5</v>
      </c>
    </row>
    <row r="500" spans="1:33" x14ac:dyDescent="0.25">
      <c r="A500" t="s">
        <v>258</v>
      </c>
      <c r="B500" t="s">
        <v>325</v>
      </c>
      <c r="C500" t="s">
        <v>326</v>
      </c>
      <c r="E500" t="s">
        <v>327</v>
      </c>
      <c r="F500" t="s">
        <v>134</v>
      </c>
      <c r="H500" t="s">
        <v>182</v>
      </c>
      <c r="I500" t="s">
        <v>147</v>
      </c>
      <c r="J500" t="s">
        <v>258</v>
      </c>
      <c r="K500" t="s">
        <v>360</v>
      </c>
      <c r="L500" t="s">
        <v>358</v>
      </c>
      <c r="N500" t="s">
        <v>361</v>
      </c>
      <c r="O500" t="s">
        <v>134</v>
      </c>
      <c r="Q500" t="s">
        <v>208</v>
      </c>
      <c r="R500" t="s">
        <v>183</v>
      </c>
      <c r="S500" t="s">
        <v>128</v>
      </c>
      <c r="T500" t="s">
        <v>181</v>
      </c>
      <c r="U500" t="s">
        <v>129</v>
      </c>
      <c r="V500" t="s">
        <v>75</v>
      </c>
      <c r="W500" s="58">
        <v>43335</v>
      </c>
      <c r="X500" s="59">
        <v>0.52083333333333337</v>
      </c>
      <c r="Y500" s="59">
        <v>0.5625</v>
      </c>
      <c r="Z500" s="59">
        <v>4.1666666666666664E-2</v>
      </c>
      <c r="AA500">
        <v>0</v>
      </c>
      <c r="AB500">
        <v>2.2181999999999999</v>
      </c>
      <c r="AC500">
        <v>23</v>
      </c>
      <c r="AD500">
        <v>9.5</v>
      </c>
      <c r="AE500" s="59">
        <v>0.52083333333333337</v>
      </c>
      <c r="AF500" s="59">
        <v>0.56180555555555556</v>
      </c>
      <c r="AG500">
        <v>37.5</v>
      </c>
    </row>
    <row r="501" spans="1:33" x14ac:dyDescent="0.25">
      <c r="A501" t="s">
        <v>274</v>
      </c>
      <c r="B501" t="s">
        <v>275</v>
      </c>
      <c r="C501" t="s">
        <v>276</v>
      </c>
      <c r="E501" t="s">
        <v>277</v>
      </c>
      <c r="F501" t="s">
        <v>134</v>
      </c>
      <c r="H501" t="s">
        <v>141</v>
      </c>
      <c r="I501" t="s">
        <v>142</v>
      </c>
      <c r="J501" t="s">
        <v>258</v>
      </c>
      <c r="K501" t="s">
        <v>360</v>
      </c>
      <c r="L501" t="s">
        <v>358</v>
      </c>
      <c r="N501" t="s">
        <v>361</v>
      </c>
      <c r="O501" t="s">
        <v>134</v>
      </c>
      <c r="Q501" t="s">
        <v>208</v>
      </c>
      <c r="R501" t="s">
        <v>143</v>
      </c>
      <c r="S501" t="s">
        <v>128</v>
      </c>
      <c r="T501" t="s">
        <v>181</v>
      </c>
      <c r="U501" t="s">
        <v>129</v>
      </c>
      <c r="V501" t="s">
        <v>75</v>
      </c>
      <c r="W501" s="58">
        <v>43335</v>
      </c>
      <c r="X501" s="59">
        <v>0.66666666666666663</v>
      </c>
      <c r="Y501" s="59">
        <v>0.75</v>
      </c>
      <c r="Z501" s="59">
        <v>8.3333333333333329E-2</v>
      </c>
      <c r="AA501">
        <v>0</v>
      </c>
      <c r="AB501">
        <v>7.9817999999999998</v>
      </c>
      <c r="AC501">
        <v>46</v>
      </c>
      <c r="AD501">
        <v>19</v>
      </c>
      <c r="AE501" s="59">
        <v>0.66666666666666663</v>
      </c>
      <c r="AF501" s="59">
        <v>0.74930555555555556</v>
      </c>
      <c r="AG501">
        <v>37.5</v>
      </c>
    </row>
    <row r="502" spans="1:33" x14ac:dyDescent="0.25">
      <c r="A502" t="s">
        <v>274</v>
      </c>
      <c r="B502" t="s">
        <v>275</v>
      </c>
      <c r="C502" t="s">
        <v>276</v>
      </c>
      <c r="E502" t="s">
        <v>277</v>
      </c>
      <c r="F502" t="s">
        <v>134</v>
      </c>
      <c r="H502" t="s">
        <v>141</v>
      </c>
      <c r="I502" t="s">
        <v>142</v>
      </c>
      <c r="J502" t="s">
        <v>258</v>
      </c>
      <c r="K502" t="s">
        <v>360</v>
      </c>
      <c r="L502" t="s">
        <v>358</v>
      </c>
      <c r="N502" t="s">
        <v>361</v>
      </c>
      <c r="O502" t="s">
        <v>134</v>
      </c>
      <c r="Q502" t="s">
        <v>208</v>
      </c>
      <c r="R502" t="s">
        <v>143</v>
      </c>
      <c r="S502" t="s">
        <v>128</v>
      </c>
      <c r="T502" t="s">
        <v>181</v>
      </c>
      <c r="U502" t="s">
        <v>129</v>
      </c>
      <c r="V502" t="s">
        <v>75</v>
      </c>
      <c r="W502" s="58">
        <v>43335</v>
      </c>
      <c r="X502" s="59">
        <v>0.8125</v>
      </c>
      <c r="Y502" s="59">
        <v>0.83333333333333337</v>
      </c>
      <c r="Z502" s="59">
        <v>2.0833333333333332E-2</v>
      </c>
      <c r="AA502">
        <v>0</v>
      </c>
      <c r="AB502">
        <v>0</v>
      </c>
      <c r="AC502">
        <v>11.5</v>
      </c>
      <c r="AD502">
        <v>4.75</v>
      </c>
      <c r="AE502" s="59">
        <v>0.8125</v>
      </c>
      <c r="AF502" s="59">
        <v>0.83263888888888893</v>
      </c>
      <c r="AG502">
        <v>37.5</v>
      </c>
    </row>
    <row r="503" spans="1:33" x14ac:dyDescent="0.25">
      <c r="A503" t="s">
        <v>274</v>
      </c>
      <c r="B503" t="s">
        <v>328</v>
      </c>
      <c r="C503" t="s">
        <v>329</v>
      </c>
      <c r="D503">
        <v>5</v>
      </c>
      <c r="E503" t="s">
        <v>330</v>
      </c>
      <c r="F503" t="s">
        <v>134</v>
      </c>
      <c r="G503" t="s">
        <v>218</v>
      </c>
      <c r="H503" t="s">
        <v>188</v>
      </c>
      <c r="I503" t="s">
        <v>189</v>
      </c>
      <c r="J503" t="s">
        <v>258</v>
      </c>
      <c r="K503" t="s">
        <v>360</v>
      </c>
      <c r="L503" t="s">
        <v>358</v>
      </c>
      <c r="N503" t="s">
        <v>361</v>
      </c>
      <c r="O503" t="s">
        <v>134</v>
      </c>
      <c r="Q503" t="s">
        <v>208</v>
      </c>
      <c r="R503" t="s">
        <v>190</v>
      </c>
      <c r="S503" t="s">
        <v>128</v>
      </c>
      <c r="T503" t="s">
        <v>181</v>
      </c>
      <c r="U503" t="s">
        <v>151</v>
      </c>
      <c r="V503" t="s">
        <v>76</v>
      </c>
      <c r="W503" s="58">
        <v>43336</v>
      </c>
      <c r="X503" s="59">
        <v>0.33333333333333331</v>
      </c>
      <c r="Y503" s="59">
        <v>0.5</v>
      </c>
      <c r="Z503" s="59">
        <v>0.16666666666666666</v>
      </c>
      <c r="AA503">
        <v>0</v>
      </c>
      <c r="AC503">
        <v>80</v>
      </c>
      <c r="AD503">
        <v>38</v>
      </c>
      <c r="AE503" s="59">
        <v>0.33333333333333331</v>
      </c>
      <c r="AF503" s="59">
        <v>0.4993055555555555</v>
      </c>
      <c r="AG503">
        <v>37.5</v>
      </c>
    </row>
    <row r="504" spans="1:33" x14ac:dyDescent="0.25">
      <c r="A504" t="s">
        <v>258</v>
      </c>
      <c r="B504" t="s">
        <v>281</v>
      </c>
      <c r="C504" t="s">
        <v>282</v>
      </c>
      <c r="E504" t="s">
        <v>283</v>
      </c>
      <c r="F504" t="s">
        <v>134</v>
      </c>
      <c r="G504" t="s">
        <v>218</v>
      </c>
      <c r="H504" t="s">
        <v>146</v>
      </c>
      <c r="I504" t="s">
        <v>147</v>
      </c>
      <c r="J504" t="s">
        <v>258</v>
      </c>
      <c r="K504" t="s">
        <v>360</v>
      </c>
      <c r="L504" t="s">
        <v>358</v>
      </c>
      <c r="N504" t="s">
        <v>361</v>
      </c>
      <c r="O504" t="s">
        <v>134</v>
      </c>
      <c r="Q504" t="s">
        <v>208</v>
      </c>
      <c r="R504" t="s">
        <v>148</v>
      </c>
      <c r="S504" t="s">
        <v>128</v>
      </c>
      <c r="T504" t="s">
        <v>181</v>
      </c>
      <c r="U504" t="s">
        <v>129</v>
      </c>
      <c r="V504" t="s">
        <v>77</v>
      </c>
      <c r="W504" s="58">
        <v>43337</v>
      </c>
      <c r="X504" s="59">
        <v>0.31944444444444448</v>
      </c>
      <c r="Y504" s="59">
        <v>0.3611111111111111</v>
      </c>
      <c r="Z504" s="59">
        <v>4.1666666666666664E-2</v>
      </c>
      <c r="AA504">
        <v>0</v>
      </c>
      <c r="AC504">
        <v>28.75</v>
      </c>
      <c r="AD504">
        <v>10.5</v>
      </c>
      <c r="AE504" s="59">
        <v>0.31944444444444448</v>
      </c>
      <c r="AF504" s="59">
        <v>0.36041666666666666</v>
      </c>
      <c r="AG504">
        <v>37.5</v>
      </c>
    </row>
    <row r="505" spans="1:33" x14ac:dyDescent="0.25">
      <c r="A505" t="s">
        <v>258</v>
      </c>
      <c r="B505" t="s">
        <v>325</v>
      </c>
      <c r="C505" t="s">
        <v>326</v>
      </c>
      <c r="E505" t="s">
        <v>327</v>
      </c>
      <c r="F505" t="s">
        <v>134</v>
      </c>
      <c r="H505" t="s">
        <v>182</v>
      </c>
      <c r="I505" t="s">
        <v>147</v>
      </c>
      <c r="J505" t="s">
        <v>258</v>
      </c>
      <c r="K505" t="s">
        <v>360</v>
      </c>
      <c r="L505" t="s">
        <v>358</v>
      </c>
      <c r="N505" t="s">
        <v>361</v>
      </c>
      <c r="O505" t="s">
        <v>134</v>
      </c>
      <c r="Q505" t="s">
        <v>208</v>
      </c>
      <c r="R505" t="s">
        <v>183</v>
      </c>
      <c r="S505" t="s">
        <v>128</v>
      </c>
      <c r="T505" t="s">
        <v>181</v>
      </c>
      <c r="U505" t="s">
        <v>129</v>
      </c>
      <c r="V505" t="s">
        <v>77</v>
      </c>
      <c r="W505" s="58">
        <v>43337</v>
      </c>
      <c r="X505" s="59">
        <v>0.36458333333333331</v>
      </c>
      <c r="Y505" s="59">
        <v>0.40625</v>
      </c>
      <c r="Z505" s="59">
        <v>4.1666666666666664E-2</v>
      </c>
      <c r="AA505">
        <v>0</v>
      </c>
      <c r="AB505">
        <v>1.2704</v>
      </c>
      <c r="AC505">
        <v>11.5</v>
      </c>
      <c r="AD505">
        <v>10.5</v>
      </c>
      <c r="AE505" s="59">
        <v>0.36458333333333331</v>
      </c>
      <c r="AF505" s="59">
        <v>0.4055555555555555</v>
      </c>
      <c r="AG505">
        <v>37.5</v>
      </c>
    </row>
    <row r="506" spans="1:33" x14ac:dyDescent="0.25">
      <c r="A506" t="s">
        <v>274</v>
      </c>
      <c r="B506" t="s">
        <v>321</v>
      </c>
      <c r="C506" t="s">
        <v>322</v>
      </c>
      <c r="D506" t="s">
        <v>323</v>
      </c>
      <c r="E506" t="s">
        <v>324</v>
      </c>
      <c r="F506" t="s">
        <v>134</v>
      </c>
      <c r="H506" t="s">
        <v>184</v>
      </c>
      <c r="I506" t="s">
        <v>147</v>
      </c>
      <c r="J506" t="s">
        <v>258</v>
      </c>
      <c r="K506" t="s">
        <v>360</v>
      </c>
      <c r="L506" t="s">
        <v>358</v>
      </c>
      <c r="N506" t="s">
        <v>361</v>
      </c>
      <c r="O506" t="s">
        <v>134</v>
      </c>
      <c r="Q506" t="s">
        <v>208</v>
      </c>
      <c r="R506" t="s">
        <v>185</v>
      </c>
      <c r="S506" t="s">
        <v>128</v>
      </c>
      <c r="T506" t="s">
        <v>181</v>
      </c>
      <c r="U506" t="s">
        <v>151</v>
      </c>
      <c r="V506" t="s">
        <v>77</v>
      </c>
      <c r="W506" s="58">
        <v>43337</v>
      </c>
      <c r="X506" s="59">
        <v>0.41666666666666669</v>
      </c>
      <c r="Y506" s="59">
        <v>0.45833333333333331</v>
      </c>
      <c r="Z506" s="59">
        <v>4.1666666666666664E-2</v>
      </c>
      <c r="AA506">
        <v>0</v>
      </c>
      <c r="AB506">
        <v>2.2181999999999999</v>
      </c>
      <c r="AC506">
        <v>20</v>
      </c>
      <c r="AD506">
        <v>10.5</v>
      </c>
      <c r="AE506" s="59">
        <v>0.41666666666666669</v>
      </c>
      <c r="AF506" s="59">
        <v>0.45763888888888887</v>
      </c>
      <c r="AG506">
        <v>37.5</v>
      </c>
    </row>
    <row r="507" spans="1:33" x14ac:dyDescent="0.25">
      <c r="A507" t="s">
        <v>258</v>
      </c>
      <c r="B507" t="s">
        <v>281</v>
      </c>
      <c r="C507" t="s">
        <v>282</v>
      </c>
      <c r="E507" t="s">
        <v>283</v>
      </c>
      <c r="F507" t="s">
        <v>134</v>
      </c>
      <c r="G507" t="s">
        <v>218</v>
      </c>
      <c r="H507" t="s">
        <v>146</v>
      </c>
      <c r="I507" t="s">
        <v>147</v>
      </c>
      <c r="J507" t="s">
        <v>258</v>
      </c>
      <c r="K507" t="s">
        <v>360</v>
      </c>
      <c r="L507" t="s">
        <v>358</v>
      </c>
      <c r="N507" t="s">
        <v>361</v>
      </c>
      <c r="O507" t="s">
        <v>134</v>
      </c>
      <c r="Q507" t="s">
        <v>208</v>
      </c>
      <c r="R507" t="s">
        <v>148</v>
      </c>
      <c r="S507" t="s">
        <v>128</v>
      </c>
      <c r="T507" t="s">
        <v>181</v>
      </c>
      <c r="U507" t="s">
        <v>129</v>
      </c>
      <c r="V507" t="s">
        <v>77</v>
      </c>
      <c r="W507" s="58">
        <v>43337</v>
      </c>
      <c r="X507" s="59">
        <v>0.47916666666666669</v>
      </c>
      <c r="Y507" s="59">
        <v>0.52083333333333337</v>
      </c>
      <c r="Z507" s="59">
        <v>4.1666666666666664E-2</v>
      </c>
      <c r="AA507">
        <v>0</v>
      </c>
      <c r="AB507">
        <v>1.9228000000000001</v>
      </c>
      <c r="AC507">
        <v>23</v>
      </c>
      <c r="AD507">
        <v>10.5</v>
      </c>
      <c r="AE507" s="59">
        <v>0.47916666666666669</v>
      </c>
      <c r="AF507" s="59">
        <v>0.52013888888888882</v>
      </c>
      <c r="AG507">
        <v>37.5</v>
      </c>
    </row>
    <row r="508" spans="1:33" x14ac:dyDescent="0.25">
      <c r="A508" t="s">
        <v>258</v>
      </c>
      <c r="B508" t="s">
        <v>325</v>
      </c>
      <c r="C508" t="s">
        <v>326</v>
      </c>
      <c r="E508" t="s">
        <v>327</v>
      </c>
      <c r="F508" t="s">
        <v>134</v>
      </c>
      <c r="H508" t="s">
        <v>182</v>
      </c>
      <c r="I508" t="s">
        <v>147</v>
      </c>
      <c r="J508" t="s">
        <v>258</v>
      </c>
      <c r="K508" t="s">
        <v>360</v>
      </c>
      <c r="L508" t="s">
        <v>358</v>
      </c>
      <c r="N508" t="s">
        <v>361</v>
      </c>
      <c r="O508" t="s">
        <v>134</v>
      </c>
      <c r="Q508" t="s">
        <v>208</v>
      </c>
      <c r="R508" t="s">
        <v>183</v>
      </c>
      <c r="S508" t="s">
        <v>128</v>
      </c>
      <c r="T508" t="s">
        <v>181</v>
      </c>
      <c r="U508" t="s">
        <v>129</v>
      </c>
      <c r="V508" t="s">
        <v>77</v>
      </c>
      <c r="W508" s="58">
        <v>43337</v>
      </c>
      <c r="X508" s="59">
        <v>0.52430555555555558</v>
      </c>
      <c r="Y508" s="59">
        <v>0.56597222222222221</v>
      </c>
      <c r="Z508" s="59">
        <v>4.1666666666666664E-2</v>
      </c>
      <c r="AA508">
        <v>0</v>
      </c>
      <c r="AB508">
        <v>1.2704</v>
      </c>
      <c r="AC508">
        <v>23</v>
      </c>
      <c r="AD508">
        <v>10.5</v>
      </c>
      <c r="AE508" s="59">
        <v>0.52430555555555558</v>
      </c>
      <c r="AF508" s="59">
        <v>0.56527777777777777</v>
      </c>
      <c r="AG508">
        <v>37.5</v>
      </c>
    </row>
    <row r="509" spans="1:33" x14ac:dyDescent="0.25">
      <c r="A509" t="s">
        <v>258</v>
      </c>
      <c r="B509" t="s">
        <v>262</v>
      </c>
      <c r="C509" t="s">
        <v>263</v>
      </c>
      <c r="D509" t="s">
        <v>264</v>
      </c>
      <c r="E509" t="s">
        <v>265</v>
      </c>
      <c r="F509" t="s">
        <v>134</v>
      </c>
      <c r="H509" t="s">
        <v>132</v>
      </c>
      <c r="I509" t="s">
        <v>133</v>
      </c>
      <c r="J509" t="s">
        <v>258</v>
      </c>
      <c r="K509" t="s">
        <v>360</v>
      </c>
      <c r="L509" t="s">
        <v>358</v>
      </c>
      <c r="N509" t="s">
        <v>361</v>
      </c>
      <c r="O509" t="s">
        <v>134</v>
      </c>
      <c r="Q509" t="s">
        <v>208</v>
      </c>
      <c r="R509" t="s">
        <v>136</v>
      </c>
      <c r="S509" t="s">
        <v>128</v>
      </c>
      <c r="T509" t="s">
        <v>181</v>
      </c>
      <c r="U509" t="s">
        <v>129</v>
      </c>
      <c r="V509" t="s">
        <v>77</v>
      </c>
      <c r="W509" s="58">
        <v>43337</v>
      </c>
      <c r="X509" s="59">
        <v>0.71458333333333324</v>
      </c>
      <c r="Y509" s="59">
        <v>0.75624999999999998</v>
      </c>
      <c r="Z509" s="59">
        <v>4.1666666666666664E-2</v>
      </c>
      <c r="AA509">
        <v>0</v>
      </c>
      <c r="AC509">
        <v>23</v>
      </c>
      <c r="AD509">
        <v>10.5</v>
      </c>
      <c r="AE509" s="59">
        <v>0.71458333333333324</v>
      </c>
      <c r="AF509" s="59">
        <v>0.75555555555555554</v>
      </c>
      <c r="AG509">
        <v>37.5</v>
      </c>
    </row>
    <row r="510" spans="1:33" x14ac:dyDescent="0.25">
      <c r="A510" t="s">
        <v>258</v>
      </c>
      <c r="B510" t="s">
        <v>270</v>
      </c>
      <c r="C510" t="s">
        <v>271</v>
      </c>
      <c r="D510" t="s">
        <v>272</v>
      </c>
      <c r="E510" t="s">
        <v>273</v>
      </c>
      <c r="F510" t="s">
        <v>134</v>
      </c>
      <c r="H510" t="s">
        <v>138</v>
      </c>
      <c r="I510" t="s">
        <v>139</v>
      </c>
      <c r="J510" t="s">
        <v>258</v>
      </c>
      <c r="K510" t="s">
        <v>360</v>
      </c>
      <c r="L510" t="s">
        <v>358</v>
      </c>
      <c r="N510" t="s">
        <v>361</v>
      </c>
      <c r="O510" t="s">
        <v>134</v>
      </c>
      <c r="Q510" t="s">
        <v>208</v>
      </c>
      <c r="R510" t="s">
        <v>140</v>
      </c>
      <c r="S510" t="s">
        <v>128</v>
      </c>
      <c r="T510" t="s">
        <v>181</v>
      </c>
      <c r="U510" t="s">
        <v>129</v>
      </c>
      <c r="V510" t="s">
        <v>77</v>
      </c>
      <c r="W510" s="58">
        <v>43337</v>
      </c>
      <c r="X510" s="59">
        <v>0.76041666666666663</v>
      </c>
      <c r="Y510" s="59">
        <v>0.80208333333333337</v>
      </c>
      <c r="Z510" s="59">
        <v>4.1666666666666664E-2</v>
      </c>
      <c r="AA510">
        <v>0</v>
      </c>
      <c r="AB510">
        <v>2.3694000000000002</v>
      </c>
      <c r="AC510">
        <v>23</v>
      </c>
      <c r="AD510">
        <v>10.5</v>
      </c>
      <c r="AE510" s="59">
        <v>0.76041666666666663</v>
      </c>
      <c r="AF510" s="59">
        <v>0.80138888888888893</v>
      </c>
      <c r="AG510">
        <v>37.5</v>
      </c>
    </row>
    <row r="511" spans="1:33" x14ac:dyDescent="0.25">
      <c r="A511" t="s">
        <v>274</v>
      </c>
      <c r="B511" t="s">
        <v>275</v>
      </c>
      <c r="C511" t="s">
        <v>276</v>
      </c>
      <c r="E511" t="s">
        <v>277</v>
      </c>
      <c r="F511" t="s">
        <v>134</v>
      </c>
      <c r="H511" t="s">
        <v>141</v>
      </c>
      <c r="I511" t="s">
        <v>142</v>
      </c>
      <c r="J511" t="s">
        <v>258</v>
      </c>
      <c r="K511" t="s">
        <v>360</v>
      </c>
      <c r="L511" t="s">
        <v>358</v>
      </c>
      <c r="N511" t="s">
        <v>361</v>
      </c>
      <c r="O511" t="s">
        <v>134</v>
      </c>
      <c r="Q511" t="s">
        <v>208</v>
      </c>
      <c r="R511" t="s">
        <v>143</v>
      </c>
      <c r="S511" t="s">
        <v>128</v>
      </c>
      <c r="T511" t="s">
        <v>181</v>
      </c>
      <c r="U511" t="s">
        <v>129</v>
      </c>
      <c r="V511" t="s">
        <v>77</v>
      </c>
      <c r="W511" s="58">
        <v>43337</v>
      </c>
      <c r="X511" s="59">
        <v>0.8125</v>
      </c>
      <c r="Y511" s="59">
        <v>0.83333333333333337</v>
      </c>
      <c r="Z511" s="59">
        <v>2.0833333333333332E-2</v>
      </c>
      <c r="AA511">
        <v>0</v>
      </c>
      <c r="AB511">
        <v>0.9</v>
      </c>
      <c r="AC511">
        <v>11.5</v>
      </c>
      <c r="AD511">
        <v>5.25</v>
      </c>
      <c r="AE511" s="59">
        <v>0.8125</v>
      </c>
      <c r="AF511" s="59">
        <v>0.83263888888888893</v>
      </c>
      <c r="AG511">
        <v>37.5</v>
      </c>
    </row>
    <row r="512" spans="1:33" x14ac:dyDescent="0.25">
      <c r="A512" t="s">
        <v>274</v>
      </c>
      <c r="B512" t="s">
        <v>321</v>
      </c>
      <c r="C512" t="s">
        <v>322</v>
      </c>
      <c r="D512" t="s">
        <v>323</v>
      </c>
      <c r="E512" t="s">
        <v>324</v>
      </c>
      <c r="F512" t="s">
        <v>134</v>
      </c>
      <c r="H512" t="s">
        <v>184</v>
      </c>
      <c r="I512" t="s">
        <v>147</v>
      </c>
      <c r="J512" t="s">
        <v>258</v>
      </c>
      <c r="K512" t="s">
        <v>360</v>
      </c>
      <c r="L512" t="s">
        <v>358</v>
      </c>
      <c r="N512" t="s">
        <v>361</v>
      </c>
      <c r="O512" t="s">
        <v>134</v>
      </c>
      <c r="Q512" t="s">
        <v>208</v>
      </c>
      <c r="R512" t="s">
        <v>185</v>
      </c>
      <c r="S512" t="s">
        <v>128</v>
      </c>
      <c r="T512" t="s">
        <v>181</v>
      </c>
      <c r="U512" t="s">
        <v>151</v>
      </c>
      <c r="V512" t="s">
        <v>77</v>
      </c>
      <c r="W512" s="58">
        <v>43337</v>
      </c>
      <c r="X512" s="59">
        <v>0.84375</v>
      </c>
      <c r="Y512" s="59">
        <v>0.875</v>
      </c>
      <c r="Z512" s="59">
        <v>3.125E-2</v>
      </c>
      <c r="AA512">
        <v>0</v>
      </c>
      <c r="AB512">
        <v>9.7805999999999997</v>
      </c>
      <c r="AC512">
        <v>15</v>
      </c>
      <c r="AD512">
        <v>7.875</v>
      </c>
      <c r="AE512" s="59">
        <v>0.84375</v>
      </c>
      <c r="AF512" s="59">
        <v>0.87430555555555556</v>
      </c>
      <c r="AG512">
        <v>37.5</v>
      </c>
    </row>
    <row r="513" spans="1:33" x14ac:dyDescent="0.25">
      <c r="A513" t="s">
        <v>258</v>
      </c>
      <c r="B513" t="s">
        <v>314</v>
      </c>
      <c r="C513" t="s">
        <v>315</v>
      </c>
      <c r="D513">
        <v>72</v>
      </c>
      <c r="E513" t="s">
        <v>316</v>
      </c>
      <c r="F513" t="s">
        <v>317</v>
      </c>
      <c r="G513" t="s">
        <v>218</v>
      </c>
      <c r="H513" t="s">
        <v>168</v>
      </c>
      <c r="I513" t="s">
        <v>169</v>
      </c>
      <c r="J513" t="s">
        <v>258</v>
      </c>
      <c r="K513" t="s">
        <v>360</v>
      </c>
      <c r="L513" t="s">
        <v>358</v>
      </c>
      <c r="N513" t="s">
        <v>361</v>
      </c>
      <c r="O513" t="s">
        <v>134</v>
      </c>
      <c r="Q513" t="s">
        <v>208</v>
      </c>
      <c r="R513" t="s">
        <v>170</v>
      </c>
      <c r="S513" t="s">
        <v>128</v>
      </c>
      <c r="T513" t="s">
        <v>181</v>
      </c>
      <c r="U513" t="s">
        <v>129</v>
      </c>
      <c r="V513" t="s">
        <v>72</v>
      </c>
      <c r="W513" s="58">
        <v>43339</v>
      </c>
      <c r="X513" s="59">
        <v>0.33333333333333331</v>
      </c>
      <c r="Y513" s="59">
        <v>0.35416666666666669</v>
      </c>
      <c r="Z513" s="59">
        <v>2.0833333333333332E-2</v>
      </c>
      <c r="AA513">
        <v>10</v>
      </c>
      <c r="AC513">
        <v>11.5</v>
      </c>
      <c r="AD513">
        <v>4.75</v>
      </c>
      <c r="AE513" s="59">
        <v>0.33333333333333331</v>
      </c>
      <c r="AF513" s="59">
        <v>0.35347222222222219</v>
      </c>
      <c r="AG513">
        <v>37.5</v>
      </c>
    </row>
    <row r="514" spans="1:33" x14ac:dyDescent="0.25">
      <c r="B514" t="s">
        <v>307</v>
      </c>
      <c r="C514" t="s">
        <v>308</v>
      </c>
      <c r="D514" t="s">
        <v>309</v>
      </c>
      <c r="E514" t="s">
        <v>134</v>
      </c>
      <c r="H514" t="s">
        <v>171</v>
      </c>
      <c r="I514" t="s">
        <v>169</v>
      </c>
      <c r="J514" t="s">
        <v>258</v>
      </c>
      <c r="K514" t="s">
        <v>360</v>
      </c>
      <c r="L514" t="s">
        <v>358</v>
      </c>
      <c r="N514" t="s">
        <v>361</v>
      </c>
      <c r="O514" t="s">
        <v>134</v>
      </c>
      <c r="Q514" t="s">
        <v>208</v>
      </c>
      <c r="R514" t="s">
        <v>172</v>
      </c>
      <c r="S514" t="s">
        <v>128</v>
      </c>
      <c r="T514" t="s">
        <v>181</v>
      </c>
      <c r="U514" t="s">
        <v>129</v>
      </c>
      <c r="V514" t="s">
        <v>72</v>
      </c>
      <c r="W514" s="58">
        <v>43339</v>
      </c>
      <c r="X514" s="59">
        <v>0.36458333333333331</v>
      </c>
      <c r="Y514" s="59">
        <v>0.41666666666666669</v>
      </c>
      <c r="Z514" s="59">
        <v>5.2083333333333336E-2</v>
      </c>
      <c r="AA514">
        <v>2</v>
      </c>
      <c r="AB514">
        <v>0.62839999999999996</v>
      </c>
      <c r="AC514">
        <v>28.75</v>
      </c>
      <c r="AD514">
        <v>11.875</v>
      </c>
      <c r="AE514" s="59">
        <v>0.36458333333333331</v>
      </c>
      <c r="AF514" s="59">
        <v>0.41597222222222219</v>
      </c>
      <c r="AG514">
        <v>37.5</v>
      </c>
    </row>
    <row r="515" spans="1:33" x14ac:dyDescent="0.25">
      <c r="B515" t="s">
        <v>307</v>
      </c>
      <c r="C515" t="s">
        <v>308</v>
      </c>
      <c r="D515" t="s">
        <v>309</v>
      </c>
      <c r="E515" t="s">
        <v>134</v>
      </c>
      <c r="H515" t="s">
        <v>171</v>
      </c>
      <c r="I515" t="s">
        <v>169</v>
      </c>
      <c r="J515" t="s">
        <v>258</v>
      </c>
      <c r="K515" t="s">
        <v>360</v>
      </c>
      <c r="L515" t="s">
        <v>358</v>
      </c>
      <c r="N515" t="s">
        <v>361</v>
      </c>
      <c r="O515" t="s">
        <v>134</v>
      </c>
      <c r="Q515" t="s">
        <v>208</v>
      </c>
      <c r="R515" t="s">
        <v>172</v>
      </c>
      <c r="S515" t="s">
        <v>128</v>
      </c>
      <c r="T515" t="s">
        <v>181</v>
      </c>
      <c r="U515" t="s">
        <v>129</v>
      </c>
      <c r="V515" t="s">
        <v>72</v>
      </c>
      <c r="W515" s="58">
        <v>43339</v>
      </c>
      <c r="X515" s="59">
        <v>0.42708333333333331</v>
      </c>
      <c r="Y515" s="59">
        <v>0.51041666666666663</v>
      </c>
      <c r="Z515" s="59">
        <v>8.3333333333333329E-2</v>
      </c>
      <c r="AA515">
        <v>11</v>
      </c>
      <c r="AB515">
        <v>0</v>
      </c>
      <c r="AC515">
        <v>46</v>
      </c>
      <c r="AD515">
        <v>19</v>
      </c>
      <c r="AE515" s="59">
        <v>0.42708333333333331</v>
      </c>
      <c r="AF515" s="59">
        <v>0.50972222222222219</v>
      </c>
      <c r="AG515">
        <v>37.5</v>
      </c>
    </row>
    <row r="516" spans="1:33" x14ac:dyDescent="0.25">
      <c r="A516" t="s">
        <v>266</v>
      </c>
      <c r="B516" t="s">
        <v>348</v>
      </c>
      <c r="C516" t="s">
        <v>349</v>
      </c>
      <c r="E516" t="s">
        <v>350</v>
      </c>
      <c r="F516" t="s">
        <v>134</v>
      </c>
      <c r="H516" t="s">
        <v>202</v>
      </c>
      <c r="I516" t="s">
        <v>139</v>
      </c>
      <c r="J516" t="s">
        <v>258</v>
      </c>
      <c r="K516" t="s">
        <v>360</v>
      </c>
      <c r="L516" t="s">
        <v>358</v>
      </c>
      <c r="N516" t="s">
        <v>361</v>
      </c>
      <c r="O516" t="s">
        <v>134</v>
      </c>
      <c r="Q516" t="s">
        <v>208</v>
      </c>
      <c r="R516" t="s">
        <v>203</v>
      </c>
      <c r="S516" t="s">
        <v>128</v>
      </c>
      <c r="T516" t="s">
        <v>181</v>
      </c>
      <c r="U516" t="s">
        <v>151</v>
      </c>
      <c r="V516" t="s">
        <v>73</v>
      </c>
      <c r="W516" s="58">
        <v>43340</v>
      </c>
      <c r="X516" s="59">
        <v>0.29166666666666669</v>
      </c>
      <c r="Y516" s="59">
        <v>0.33333333333333331</v>
      </c>
      <c r="Z516" s="59">
        <v>4.1666666666666664E-2</v>
      </c>
      <c r="AA516">
        <v>0</v>
      </c>
      <c r="AC516">
        <v>20</v>
      </c>
      <c r="AD516">
        <v>9.5</v>
      </c>
      <c r="AE516" s="59">
        <v>0.29166666666666669</v>
      </c>
      <c r="AF516" s="59">
        <v>0.33263888888888887</v>
      </c>
      <c r="AG516">
        <v>37.5</v>
      </c>
    </row>
    <row r="517" spans="1:33" x14ac:dyDescent="0.25">
      <c r="A517" t="s">
        <v>258</v>
      </c>
      <c r="B517" t="s">
        <v>262</v>
      </c>
      <c r="C517" t="s">
        <v>263</v>
      </c>
      <c r="D517" t="s">
        <v>264</v>
      </c>
      <c r="E517" t="s">
        <v>265</v>
      </c>
      <c r="F517" t="s">
        <v>134</v>
      </c>
      <c r="H517" t="s">
        <v>132</v>
      </c>
      <c r="I517" t="s">
        <v>133</v>
      </c>
      <c r="J517" t="s">
        <v>258</v>
      </c>
      <c r="K517" t="s">
        <v>360</v>
      </c>
      <c r="L517" t="s">
        <v>358</v>
      </c>
      <c r="N517" t="s">
        <v>361</v>
      </c>
      <c r="O517" t="s">
        <v>134</v>
      </c>
      <c r="Q517" t="s">
        <v>208</v>
      </c>
      <c r="R517" t="s">
        <v>136</v>
      </c>
      <c r="S517" t="s">
        <v>128</v>
      </c>
      <c r="T517" t="s">
        <v>181</v>
      </c>
      <c r="U517" t="s">
        <v>129</v>
      </c>
      <c r="V517" t="s">
        <v>73</v>
      </c>
      <c r="W517" s="58">
        <v>43340</v>
      </c>
      <c r="X517" s="59">
        <v>0.34375</v>
      </c>
      <c r="Y517" s="59">
        <v>0.38541666666666669</v>
      </c>
      <c r="Z517" s="59">
        <v>4.1666666666666664E-2</v>
      </c>
      <c r="AA517">
        <v>6</v>
      </c>
      <c r="AB517">
        <v>1.9601999999999999</v>
      </c>
      <c r="AC517">
        <v>23</v>
      </c>
      <c r="AD517">
        <v>9.5</v>
      </c>
      <c r="AE517" s="59">
        <v>0.34375</v>
      </c>
      <c r="AF517" s="59">
        <v>0.38472222222222219</v>
      </c>
      <c r="AG517">
        <v>37.5</v>
      </c>
    </row>
    <row r="518" spans="1:33" x14ac:dyDescent="0.25">
      <c r="A518" t="s">
        <v>274</v>
      </c>
      <c r="B518" t="s">
        <v>275</v>
      </c>
      <c r="C518" t="s">
        <v>276</v>
      </c>
      <c r="E518" t="s">
        <v>277</v>
      </c>
      <c r="F518" t="s">
        <v>134</v>
      </c>
      <c r="H518" t="s">
        <v>141</v>
      </c>
      <c r="I518" t="s">
        <v>142</v>
      </c>
      <c r="J518" t="s">
        <v>258</v>
      </c>
      <c r="K518" t="s">
        <v>360</v>
      </c>
      <c r="L518" t="s">
        <v>358</v>
      </c>
      <c r="N518" t="s">
        <v>361</v>
      </c>
      <c r="O518" t="s">
        <v>134</v>
      </c>
      <c r="Q518" t="s">
        <v>208</v>
      </c>
      <c r="R518" t="s">
        <v>143</v>
      </c>
      <c r="S518" t="s">
        <v>128</v>
      </c>
      <c r="T518" t="s">
        <v>181</v>
      </c>
      <c r="U518" t="s">
        <v>129</v>
      </c>
      <c r="V518" t="s">
        <v>73</v>
      </c>
      <c r="W518" s="58">
        <v>43340</v>
      </c>
      <c r="X518" s="59">
        <v>0.39583333333333331</v>
      </c>
      <c r="Y518" s="59">
        <v>0.4375</v>
      </c>
      <c r="Z518" s="59">
        <v>4.1666666666666664E-2</v>
      </c>
      <c r="AA518">
        <v>0</v>
      </c>
      <c r="AB518">
        <v>3.2262</v>
      </c>
      <c r="AC518">
        <v>23</v>
      </c>
      <c r="AD518">
        <v>9.5</v>
      </c>
      <c r="AE518" s="59">
        <v>0.39583333333333331</v>
      </c>
      <c r="AF518" s="59">
        <v>0.4368055555555555</v>
      </c>
      <c r="AG518">
        <v>37.5</v>
      </c>
    </row>
    <row r="519" spans="1:33" x14ac:dyDescent="0.25">
      <c r="A519" t="s">
        <v>274</v>
      </c>
      <c r="B519" t="s">
        <v>336</v>
      </c>
      <c r="C519" t="s">
        <v>337</v>
      </c>
      <c r="E519" t="s">
        <v>338</v>
      </c>
      <c r="F519" t="s">
        <v>134</v>
      </c>
      <c r="H519" t="s">
        <v>186</v>
      </c>
      <c r="I519" t="s">
        <v>147</v>
      </c>
      <c r="J519" t="s">
        <v>258</v>
      </c>
      <c r="K519" t="s">
        <v>360</v>
      </c>
      <c r="L519" t="s">
        <v>358</v>
      </c>
      <c r="N519" t="s">
        <v>361</v>
      </c>
      <c r="O519" t="s">
        <v>134</v>
      </c>
      <c r="Q519" t="s">
        <v>208</v>
      </c>
      <c r="R519" t="s">
        <v>187</v>
      </c>
      <c r="S519" t="s">
        <v>128</v>
      </c>
      <c r="T519" t="s">
        <v>181</v>
      </c>
      <c r="U519" t="s">
        <v>151</v>
      </c>
      <c r="V519" t="s">
        <v>73</v>
      </c>
      <c r="W519" s="58">
        <v>43340</v>
      </c>
      <c r="X519" s="59">
        <v>0.46875</v>
      </c>
      <c r="Y519" s="59">
        <v>0.55208333333333337</v>
      </c>
      <c r="Z519" s="59">
        <v>8.3333333333333329E-2</v>
      </c>
      <c r="AA519">
        <v>0</v>
      </c>
      <c r="AB519">
        <v>9.141</v>
      </c>
      <c r="AC519">
        <v>40</v>
      </c>
      <c r="AD519">
        <v>19</v>
      </c>
      <c r="AE519" s="59">
        <v>0.46875</v>
      </c>
      <c r="AF519" s="59">
        <v>0.55138888888888882</v>
      </c>
      <c r="AG519">
        <v>37.5</v>
      </c>
    </row>
    <row r="520" spans="1:33" x14ac:dyDescent="0.25">
      <c r="B520" t="s">
        <v>307</v>
      </c>
      <c r="C520" t="s">
        <v>308</v>
      </c>
      <c r="D520" t="s">
        <v>309</v>
      </c>
      <c r="E520" t="s">
        <v>134</v>
      </c>
      <c r="H520" t="s">
        <v>171</v>
      </c>
      <c r="I520" t="s">
        <v>169</v>
      </c>
      <c r="J520" t="s">
        <v>258</v>
      </c>
      <c r="K520" t="s">
        <v>360</v>
      </c>
      <c r="L520" t="s">
        <v>358</v>
      </c>
      <c r="N520" t="s">
        <v>361</v>
      </c>
      <c r="O520" t="s">
        <v>134</v>
      </c>
      <c r="Q520" t="s">
        <v>208</v>
      </c>
      <c r="R520" t="s">
        <v>172</v>
      </c>
      <c r="S520" t="s">
        <v>128</v>
      </c>
      <c r="T520" t="s">
        <v>181</v>
      </c>
      <c r="U520" t="s">
        <v>129</v>
      </c>
      <c r="V520" t="s">
        <v>73</v>
      </c>
      <c r="W520" s="58">
        <v>43340</v>
      </c>
      <c r="X520" s="59">
        <v>0.65625</v>
      </c>
      <c r="Y520" s="59">
        <v>0.69791666666666663</v>
      </c>
      <c r="Z520" s="59">
        <v>4.1666666666666664E-2</v>
      </c>
      <c r="AA520">
        <v>0</v>
      </c>
      <c r="AB520">
        <v>4.6454000000000004</v>
      </c>
      <c r="AC520">
        <v>23</v>
      </c>
      <c r="AD520">
        <v>9.5</v>
      </c>
      <c r="AE520" s="59">
        <v>0.65625</v>
      </c>
      <c r="AF520" s="59">
        <v>0.6972222222222223</v>
      </c>
      <c r="AG520">
        <v>37.5</v>
      </c>
    </row>
    <row r="521" spans="1:33" x14ac:dyDescent="0.25">
      <c r="A521" t="s">
        <v>258</v>
      </c>
      <c r="B521" t="s">
        <v>262</v>
      </c>
      <c r="C521" t="s">
        <v>263</v>
      </c>
      <c r="D521" t="s">
        <v>264</v>
      </c>
      <c r="E521" t="s">
        <v>265</v>
      </c>
      <c r="F521" t="s">
        <v>134</v>
      </c>
      <c r="H521" t="s">
        <v>132</v>
      </c>
      <c r="I521" t="s">
        <v>133</v>
      </c>
      <c r="J521" t="s">
        <v>258</v>
      </c>
      <c r="K521" t="s">
        <v>360</v>
      </c>
      <c r="L521" t="s">
        <v>358</v>
      </c>
      <c r="N521" t="s">
        <v>361</v>
      </c>
      <c r="O521" t="s">
        <v>134</v>
      </c>
      <c r="Q521" t="s">
        <v>208</v>
      </c>
      <c r="R521" t="s">
        <v>136</v>
      </c>
      <c r="S521" t="s">
        <v>128</v>
      </c>
      <c r="T521" t="s">
        <v>181</v>
      </c>
      <c r="U521" t="s">
        <v>129</v>
      </c>
      <c r="V521" t="s">
        <v>73</v>
      </c>
      <c r="W521" s="58">
        <v>43340</v>
      </c>
      <c r="X521" s="59">
        <v>0.70833333333333337</v>
      </c>
      <c r="Y521" s="59">
        <v>0.75</v>
      </c>
      <c r="Z521" s="59">
        <v>4.1666666666666664E-2</v>
      </c>
      <c r="AA521">
        <v>0</v>
      </c>
      <c r="AB521">
        <v>8.5579999999999998</v>
      </c>
      <c r="AC521">
        <v>23</v>
      </c>
      <c r="AD521">
        <v>9.5</v>
      </c>
      <c r="AE521" s="59">
        <v>0.70833333333333337</v>
      </c>
      <c r="AF521" s="59">
        <v>0.74930555555555556</v>
      </c>
      <c r="AG521">
        <v>37.5</v>
      </c>
    </row>
    <row r="522" spans="1:33" x14ac:dyDescent="0.25">
      <c r="A522" t="s">
        <v>258</v>
      </c>
      <c r="B522" t="s">
        <v>270</v>
      </c>
      <c r="C522" t="s">
        <v>271</v>
      </c>
      <c r="D522" t="s">
        <v>272</v>
      </c>
      <c r="E522" t="s">
        <v>273</v>
      </c>
      <c r="F522" t="s">
        <v>134</v>
      </c>
      <c r="H522" t="s">
        <v>138</v>
      </c>
      <c r="I522" t="s">
        <v>139</v>
      </c>
      <c r="J522" t="s">
        <v>258</v>
      </c>
      <c r="K522" t="s">
        <v>360</v>
      </c>
      <c r="L522" t="s">
        <v>358</v>
      </c>
      <c r="N522" t="s">
        <v>361</v>
      </c>
      <c r="O522" t="s">
        <v>134</v>
      </c>
      <c r="Q522" t="s">
        <v>208</v>
      </c>
      <c r="R522" t="s">
        <v>140</v>
      </c>
      <c r="S522" t="s">
        <v>128</v>
      </c>
      <c r="T522" t="s">
        <v>181</v>
      </c>
      <c r="U522" t="s">
        <v>129</v>
      </c>
      <c r="V522" t="s">
        <v>73</v>
      </c>
      <c r="W522" s="58">
        <v>43340</v>
      </c>
      <c r="X522" s="59">
        <v>0.76041666666666663</v>
      </c>
      <c r="Y522" s="59">
        <v>0.80208333333333337</v>
      </c>
      <c r="Z522" s="59">
        <v>4.1666666666666664E-2</v>
      </c>
      <c r="AA522">
        <v>0</v>
      </c>
      <c r="AB522">
        <v>2.3694000000000002</v>
      </c>
      <c r="AC522">
        <v>23</v>
      </c>
      <c r="AD522">
        <v>9.5</v>
      </c>
      <c r="AE522" s="59">
        <v>0.76041666666666663</v>
      </c>
      <c r="AF522" s="59">
        <v>0.80138888888888893</v>
      </c>
      <c r="AG522">
        <v>37.5</v>
      </c>
    </row>
    <row r="523" spans="1:33" x14ac:dyDescent="0.25">
      <c r="A523" t="s">
        <v>258</v>
      </c>
      <c r="B523" t="s">
        <v>325</v>
      </c>
      <c r="C523" t="s">
        <v>326</v>
      </c>
      <c r="E523" t="s">
        <v>327</v>
      </c>
      <c r="F523" t="s">
        <v>134</v>
      </c>
      <c r="H523" t="s">
        <v>182</v>
      </c>
      <c r="I523" t="s">
        <v>147</v>
      </c>
      <c r="J523" t="s">
        <v>258</v>
      </c>
      <c r="K523" t="s">
        <v>360</v>
      </c>
      <c r="L523" t="s">
        <v>358</v>
      </c>
      <c r="N523" t="s">
        <v>361</v>
      </c>
      <c r="O523" t="s">
        <v>134</v>
      </c>
      <c r="Q523" t="s">
        <v>208</v>
      </c>
      <c r="R523" t="s">
        <v>183</v>
      </c>
      <c r="S523" t="s">
        <v>128</v>
      </c>
      <c r="T523" t="s">
        <v>181</v>
      </c>
      <c r="U523" t="s">
        <v>129</v>
      </c>
      <c r="V523" t="s">
        <v>75</v>
      </c>
      <c r="W523" s="58">
        <v>43342</v>
      </c>
      <c r="X523" s="59">
        <v>0.36458333333333331</v>
      </c>
      <c r="Y523" s="59">
        <v>0.40625</v>
      </c>
      <c r="Z523" s="59">
        <v>4.1666666666666664E-2</v>
      </c>
      <c r="AA523">
        <v>13</v>
      </c>
      <c r="AC523">
        <v>23</v>
      </c>
      <c r="AD523">
        <v>9.5</v>
      </c>
      <c r="AE523" s="59">
        <v>0.36458333333333331</v>
      </c>
      <c r="AF523" s="59">
        <v>0.4055555555555555</v>
      </c>
      <c r="AG523">
        <v>37.5</v>
      </c>
    </row>
    <row r="524" spans="1:33" x14ac:dyDescent="0.25">
      <c r="A524" t="s">
        <v>274</v>
      </c>
      <c r="B524" t="s">
        <v>321</v>
      </c>
      <c r="C524" t="s">
        <v>322</v>
      </c>
      <c r="D524" t="s">
        <v>323</v>
      </c>
      <c r="E524" t="s">
        <v>324</v>
      </c>
      <c r="F524" t="s">
        <v>134</v>
      </c>
      <c r="H524" t="s">
        <v>184</v>
      </c>
      <c r="I524" t="s">
        <v>147</v>
      </c>
      <c r="J524" t="s">
        <v>258</v>
      </c>
      <c r="K524" t="s">
        <v>360</v>
      </c>
      <c r="L524" t="s">
        <v>358</v>
      </c>
      <c r="N524" t="s">
        <v>361</v>
      </c>
      <c r="O524" t="s">
        <v>134</v>
      </c>
      <c r="Q524" t="s">
        <v>208</v>
      </c>
      <c r="R524" t="s">
        <v>185</v>
      </c>
      <c r="S524" t="s">
        <v>128</v>
      </c>
      <c r="T524" t="s">
        <v>181</v>
      </c>
      <c r="U524" t="s">
        <v>151</v>
      </c>
      <c r="V524" t="s">
        <v>75</v>
      </c>
      <c r="W524" s="58">
        <v>43342</v>
      </c>
      <c r="X524" s="59">
        <v>0.41666666666666669</v>
      </c>
      <c r="Y524" s="59">
        <v>0.45833333333333331</v>
      </c>
      <c r="Z524" s="59">
        <v>4.1666666666666664E-2</v>
      </c>
      <c r="AA524">
        <v>4</v>
      </c>
      <c r="AB524">
        <v>2.2181999999999999</v>
      </c>
      <c r="AC524">
        <v>20</v>
      </c>
      <c r="AD524">
        <v>9.5</v>
      </c>
      <c r="AE524" s="59">
        <v>0.41666666666666669</v>
      </c>
      <c r="AF524" s="59">
        <v>0.45763888888888887</v>
      </c>
      <c r="AG524">
        <v>37.5</v>
      </c>
    </row>
    <row r="525" spans="1:33" x14ac:dyDescent="0.25">
      <c r="A525" t="s">
        <v>258</v>
      </c>
      <c r="B525" t="s">
        <v>325</v>
      </c>
      <c r="C525" t="s">
        <v>326</v>
      </c>
      <c r="E525" t="s">
        <v>327</v>
      </c>
      <c r="F525" t="s">
        <v>134</v>
      </c>
      <c r="H525" t="s">
        <v>182</v>
      </c>
      <c r="I525" t="s">
        <v>147</v>
      </c>
      <c r="J525" t="s">
        <v>258</v>
      </c>
      <c r="K525" t="s">
        <v>360</v>
      </c>
      <c r="L525" t="s">
        <v>358</v>
      </c>
      <c r="N525" t="s">
        <v>361</v>
      </c>
      <c r="O525" t="s">
        <v>134</v>
      </c>
      <c r="Q525" t="s">
        <v>208</v>
      </c>
      <c r="R525" t="s">
        <v>183</v>
      </c>
      <c r="S525" t="s">
        <v>128</v>
      </c>
      <c r="T525" t="s">
        <v>181</v>
      </c>
      <c r="U525" t="s">
        <v>129</v>
      </c>
      <c r="V525" t="s">
        <v>75</v>
      </c>
      <c r="W525" s="58">
        <v>43342</v>
      </c>
      <c r="X525" s="59">
        <v>0.52083333333333337</v>
      </c>
      <c r="Y525" s="59">
        <v>0.5625</v>
      </c>
      <c r="Z525" s="59">
        <v>4.1666666666666664E-2</v>
      </c>
      <c r="AA525">
        <v>0</v>
      </c>
      <c r="AB525">
        <v>2.2181999999999999</v>
      </c>
      <c r="AC525">
        <v>23</v>
      </c>
      <c r="AD525">
        <v>9.5</v>
      </c>
      <c r="AE525" s="59">
        <v>0.52083333333333337</v>
      </c>
      <c r="AF525" s="59">
        <v>0.56180555555555556</v>
      </c>
      <c r="AG525">
        <v>37.5</v>
      </c>
    </row>
    <row r="526" spans="1:33" x14ac:dyDescent="0.25">
      <c r="B526" t="s">
        <v>307</v>
      </c>
      <c r="C526" t="s">
        <v>308</v>
      </c>
      <c r="D526" t="s">
        <v>309</v>
      </c>
      <c r="E526" t="s">
        <v>134</v>
      </c>
      <c r="H526" t="s">
        <v>171</v>
      </c>
      <c r="I526" t="s">
        <v>169</v>
      </c>
      <c r="J526" t="s">
        <v>258</v>
      </c>
      <c r="K526" t="s">
        <v>360</v>
      </c>
      <c r="L526" t="s">
        <v>358</v>
      </c>
      <c r="N526" t="s">
        <v>361</v>
      </c>
      <c r="O526" t="s">
        <v>134</v>
      </c>
      <c r="Q526" t="s">
        <v>208</v>
      </c>
      <c r="R526" t="s">
        <v>172</v>
      </c>
      <c r="S526" t="s">
        <v>128</v>
      </c>
      <c r="T526" t="s">
        <v>181</v>
      </c>
      <c r="U526" t="s">
        <v>129</v>
      </c>
      <c r="V526" t="s">
        <v>75</v>
      </c>
      <c r="W526" s="58">
        <v>43342</v>
      </c>
      <c r="X526" s="59">
        <v>0.6875</v>
      </c>
      <c r="Y526" s="59">
        <v>0.72916666666666663</v>
      </c>
      <c r="Z526" s="59">
        <v>4.1666666666666664E-2</v>
      </c>
      <c r="AA526">
        <v>0</v>
      </c>
      <c r="AC526">
        <v>23</v>
      </c>
      <c r="AD526">
        <v>9.5</v>
      </c>
      <c r="AE526" s="59">
        <v>0.6875</v>
      </c>
      <c r="AF526" s="59">
        <v>0.7284722222222223</v>
      </c>
      <c r="AG526">
        <v>37.5</v>
      </c>
    </row>
    <row r="527" spans="1:33" x14ac:dyDescent="0.25">
      <c r="A527" t="s">
        <v>258</v>
      </c>
      <c r="B527" t="s">
        <v>270</v>
      </c>
      <c r="C527" t="s">
        <v>271</v>
      </c>
      <c r="D527" t="s">
        <v>272</v>
      </c>
      <c r="E527" t="s">
        <v>273</v>
      </c>
      <c r="F527" t="s">
        <v>134</v>
      </c>
      <c r="H527" t="s">
        <v>138</v>
      </c>
      <c r="I527" t="s">
        <v>139</v>
      </c>
      <c r="J527" t="s">
        <v>258</v>
      </c>
      <c r="K527" t="s">
        <v>360</v>
      </c>
      <c r="L527" t="s">
        <v>358</v>
      </c>
      <c r="N527" t="s">
        <v>361</v>
      </c>
      <c r="O527" t="s">
        <v>134</v>
      </c>
      <c r="Q527" t="s">
        <v>208</v>
      </c>
      <c r="R527" t="s">
        <v>140</v>
      </c>
      <c r="S527" t="s">
        <v>128</v>
      </c>
      <c r="T527" t="s">
        <v>181</v>
      </c>
      <c r="U527" t="s">
        <v>129</v>
      </c>
      <c r="V527" t="s">
        <v>75</v>
      </c>
      <c r="W527" s="58">
        <v>43342</v>
      </c>
      <c r="X527" s="59">
        <v>0.76041666666666663</v>
      </c>
      <c r="Y527" s="59">
        <v>0.80208333333333337</v>
      </c>
      <c r="Z527" s="59">
        <v>4.1666666666666664E-2</v>
      </c>
      <c r="AA527">
        <v>0</v>
      </c>
      <c r="AB527">
        <v>5.9931999999999999</v>
      </c>
      <c r="AC527">
        <v>23</v>
      </c>
      <c r="AD527">
        <v>9.5</v>
      </c>
      <c r="AE527" s="59">
        <v>0.76041666666666663</v>
      </c>
      <c r="AF527" s="59">
        <v>0.80138888888888893</v>
      </c>
      <c r="AG527">
        <v>37.5</v>
      </c>
    </row>
    <row r="528" spans="1:33" x14ac:dyDescent="0.25">
      <c r="A528" t="s">
        <v>274</v>
      </c>
      <c r="B528" t="s">
        <v>321</v>
      </c>
      <c r="C528" t="s">
        <v>322</v>
      </c>
      <c r="D528" t="s">
        <v>323</v>
      </c>
      <c r="E528" t="s">
        <v>324</v>
      </c>
      <c r="F528" t="s">
        <v>134</v>
      </c>
      <c r="H528" t="s">
        <v>184</v>
      </c>
      <c r="I528" t="s">
        <v>147</v>
      </c>
      <c r="J528" t="s">
        <v>258</v>
      </c>
      <c r="K528" t="s">
        <v>360</v>
      </c>
      <c r="L528" t="s">
        <v>358</v>
      </c>
      <c r="N528" t="s">
        <v>361</v>
      </c>
      <c r="O528" t="s">
        <v>134</v>
      </c>
      <c r="Q528" t="s">
        <v>208</v>
      </c>
      <c r="R528" t="s">
        <v>185</v>
      </c>
      <c r="S528" t="s">
        <v>128</v>
      </c>
      <c r="T528" t="s">
        <v>181</v>
      </c>
      <c r="U528" t="s">
        <v>151</v>
      </c>
      <c r="V528" t="s">
        <v>75</v>
      </c>
      <c r="W528" s="58">
        <v>43342</v>
      </c>
      <c r="X528" s="59">
        <v>0.8125</v>
      </c>
      <c r="Y528" s="59">
        <v>0.84375</v>
      </c>
      <c r="Z528" s="59">
        <v>3.125E-2</v>
      </c>
      <c r="AA528">
        <v>0</v>
      </c>
      <c r="AB528">
        <v>10.6806</v>
      </c>
      <c r="AC528">
        <v>15</v>
      </c>
      <c r="AD528">
        <v>7.125</v>
      </c>
      <c r="AE528" s="59">
        <v>0.8125</v>
      </c>
      <c r="AF528" s="59">
        <v>0.84305555555555556</v>
      </c>
      <c r="AG528">
        <v>37.5</v>
      </c>
    </row>
    <row r="529" spans="1:33" x14ac:dyDescent="0.25">
      <c r="A529" t="s">
        <v>258</v>
      </c>
      <c r="B529" t="s">
        <v>314</v>
      </c>
      <c r="C529" t="s">
        <v>315</v>
      </c>
      <c r="D529">
        <v>72</v>
      </c>
      <c r="E529" t="s">
        <v>316</v>
      </c>
      <c r="F529" t="s">
        <v>317</v>
      </c>
      <c r="G529" t="s">
        <v>218</v>
      </c>
      <c r="H529" t="s">
        <v>168</v>
      </c>
      <c r="I529" t="s">
        <v>169</v>
      </c>
      <c r="J529" t="s">
        <v>258</v>
      </c>
      <c r="K529" t="s">
        <v>360</v>
      </c>
      <c r="L529" t="s">
        <v>358</v>
      </c>
      <c r="N529" t="s">
        <v>361</v>
      </c>
      <c r="O529" t="s">
        <v>134</v>
      </c>
      <c r="Q529" t="s">
        <v>208</v>
      </c>
      <c r="R529" t="s">
        <v>170</v>
      </c>
      <c r="S529" t="s">
        <v>128</v>
      </c>
      <c r="T529" t="s">
        <v>181</v>
      </c>
      <c r="U529" t="s">
        <v>129</v>
      </c>
      <c r="V529" t="s">
        <v>76</v>
      </c>
      <c r="W529" s="58">
        <v>43343</v>
      </c>
      <c r="X529" s="59">
        <v>0.33333333333333331</v>
      </c>
      <c r="Y529" s="59">
        <v>0.35416666666666669</v>
      </c>
      <c r="Z529" s="59">
        <v>2.0833333333333332E-2</v>
      </c>
      <c r="AA529">
        <v>10</v>
      </c>
      <c r="AC529">
        <v>11.5</v>
      </c>
      <c r="AD529">
        <v>4.75</v>
      </c>
      <c r="AE529" s="59">
        <v>0.33333333333333331</v>
      </c>
      <c r="AF529" s="59">
        <v>0.35347222222222219</v>
      </c>
      <c r="AG529">
        <v>37.5</v>
      </c>
    </row>
    <row r="530" spans="1:33" x14ac:dyDescent="0.25">
      <c r="B530" t="s">
        <v>307</v>
      </c>
      <c r="C530" t="s">
        <v>308</v>
      </c>
      <c r="D530" t="s">
        <v>309</v>
      </c>
      <c r="E530" t="s">
        <v>134</v>
      </c>
      <c r="H530" t="s">
        <v>171</v>
      </c>
      <c r="I530" t="s">
        <v>169</v>
      </c>
      <c r="J530" t="s">
        <v>258</v>
      </c>
      <c r="K530" t="s">
        <v>360</v>
      </c>
      <c r="L530" t="s">
        <v>358</v>
      </c>
      <c r="N530" t="s">
        <v>361</v>
      </c>
      <c r="O530" t="s">
        <v>134</v>
      </c>
      <c r="Q530" t="s">
        <v>208</v>
      </c>
      <c r="R530" t="s">
        <v>172</v>
      </c>
      <c r="S530" t="s">
        <v>128</v>
      </c>
      <c r="T530" t="s">
        <v>181</v>
      </c>
      <c r="U530" t="s">
        <v>129</v>
      </c>
      <c r="V530" t="s">
        <v>76</v>
      </c>
      <c r="W530" s="58">
        <v>43343</v>
      </c>
      <c r="X530" s="59">
        <v>0.36458333333333331</v>
      </c>
      <c r="Y530" s="59">
        <v>0.40625</v>
      </c>
      <c r="Z530" s="59">
        <v>4.1666666666666664E-2</v>
      </c>
      <c r="AA530">
        <v>2</v>
      </c>
      <c r="AB530">
        <v>0.62839999999999996</v>
      </c>
      <c r="AC530">
        <v>23</v>
      </c>
      <c r="AD530">
        <v>9.5</v>
      </c>
      <c r="AE530" s="59">
        <v>0.36458333333333331</v>
      </c>
      <c r="AF530" s="59">
        <v>0.4055555555555555</v>
      </c>
      <c r="AG530">
        <v>37.5</v>
      </c>
    </row>
    <row r="531" spans="1:33" x14ac:dyDescent="0.25">
      <c r="A531" t="s">
        <v>266</v>
      </c>
      <c r="B531" t="s">
        <v>293</v>
      </c>
      <c r="C531" t="s">
        <v>294</v>
      </c>
      <c r="E531" t="s">
        <v>295</v>
      </c>
      <c r="F531" t="s">
        <v>134</v>
      </c>
      <c r="H531" t="s">
        <v>157</v>
      </c>
      <c r="I531" t="s">
        <v>158</v>
      </c>
      <c r="J531" t="s">
        <v>258</v>
      </c>
      <c r="K531" t="s">
        <v>360</v>
      </c>
      <c r="L531" t="s">
        <v>358</v>
      </c>
      <c r="N531" t="s">
        <v>361</v>
      </c>
      <c r="O531" t="s">
        <v>134</v>
      </c>
      <c r="Q531" t="s">
        <v>208</v>
      </c>
      <c r="R531" t="s">
        <v>161</v>
      </c>
      <c r="S531" t="s">
        <v>128</v>
      </c>
      <c r="T531" t="s">
        <v>181</v>
      </c>
      <c r="U531" t="s">
        <v>163</v>
      </c>
      <c r="V531" t="s">
        <v>76</v>
      </c>
      <c r="W531" s="58">
        <v>43343</v>
      </c>
      <c r="X531" s="59">
        <v>0.42708333333333331</v>
      </c>
      <c r="Y531" s="59">
        <v>0.67708333333333337</v>
      </c>
      <c r="Z531" s="59">
        <v>0.25</v>
      </c>
      <c r="AA531">
        <v>0</v>
      </c>
      <c r="AB531">
        <v>9.0114000000000001</v>
      </c>
      <c r="AC531">
        <v>108</v>
      </c>
      <c r="AD531">
        <v>57</v>
      </c>
      <c r="AE531" s="59">
        <v>0.42708333333333331</v>
      </c>
      <c r="AF531" s="59">
        <v>0.67638888888888893</v>
      </c>
      <c r="AG531">
        <v>37.5</v>
      </c>
    </row>
    <row r="532" spans="1:33" x14ac:dyDescent="0.25">
      <c r="A532" t="s">
        <v>274</v>
      </c>
      <c r="B532" t="s">
        <v>334</v>
      </c>
      <c r="C532" t="s">
        <v>285</v>
      </c>
      <c r="E532" t="s">
        <v>335</v>
      </c>
      <c r="F532" t="s">
        <v>134</v>
      </c>
      <c r="H532" t="s">
        <v>192</v>
      </c>
      <c r="I532" t="s">
        <v>155</v>
      </c>
      <c r="J532" t="s">
        <v>258</v>
      </c>
      <c r="K532" t="s">
        <v>360</v>
      </c>
      <c r="L532" t="s">
        <v>358</v>
      </c>
      <c r="N532" t="s">
        <v>361</v>
      </c>
      <c r="O532" t="s">
        <v>134</v>
      </c>
      <c r="Q532" t="s">
        <v>208</v>
      </c>
      <c r="R532" t="s">
        <v>193</v>
      </c>
      <c r="S532" t="s">
        <v>128</v>
      </c>
      <c r="T532" t="s">
        <v>181</v>
      </c>
      <c r="U532" t="s">
        <v>129</v>
      </c>
      <c r="V532" t="s">
        <v>76</v>
      </c>
      <c r="W532" s="58">
        <v>43343</v>
      </c>
      <c r="X532" s="59">
        <v>0.70833333333333337</v>
      </c>
      <c r="Y532" s="59">
        <v>0.75</v>
      </c>
      <c r="Z532" s="59">
        <v>4.1666666666666664E-2</v>
      </c>
      <c r="AA532">
        <v>0</v>
      </c>
      <c r="AB532">
        <v>9.9863999999999997</v>
      </c>
      <c r="AC532">
        <v>23</v>
      </c>
      <c r="AD532">
        <v>9.5</v>
      </c>
      <c r="AE532" s="59">
        <v>0.70833333333333337</v>
      </c>
      <c r="AF532" s="59">
        <v>0.74930555555555556</v>
      </c>
      <c r="AG532">
        <v>37.5</v>
      </c>
    </row>
    <row r="533" spans="1:33" x14ac:dyDescent="0.25">
      <c r="A533" t="s">
        <v>258</v>
      </c>
      <c r="B533" t="s">
        <v>270</v>
      </c>
      <c r="C533" t="s">
        <v>271</v>
      </c>
      <c r="D533" t="s">
        <v>272</v>
      </c>
      <c r="E533" t="s">
        <v>273</v>
      </c>
      <c r="F533" t="s">
        <v>134</v>
      </c>
      <c r="H533" t="s">
        <v>138</v>
      </c>
      <c r="I533" t="s">
        <v>139</v>
      </c>
      <c r="J533" t="s">
        <v>258</v>
      </c>
      <c r="K533" t="s">
        <v>360</v>
      </c>
      <c r="L533" t="s">
        <v>358</v>
      </c>
      <c r="N533" t="s">
        <v>361</v>
      </c>
      <c r="O533" t="s">
        <v>134</v>
      </c>
      <c r="Q533" t="s">
        <v>208</v>
      </c>
      <c r="R533" t="s">
        <v>140</v>
      </c>
      <c r="S533" t="s">
        <v>128</v>
      </c>
      <c r="T533" t="s">
        <v>181</v>
      </c>
      <c r="U533" t="s">
        <v>129</v>
      </c>
      <c r="V533" t="s">
        <v>76</v>
      </c>
      <c r="W533" s="58">
        <v>43343</v>
      </c>
      <c r="X533" s="59">
        <v>0.76041666666666663</v>
      </c>
      <c r="Y533" s="59">
        <v>0.80208333333333337</v>
      </c>
      <c r="Z533" s="59">
        <v>4.1666666666666664E-2</v>
      </c>
      <c r="AA533">
        <v>0</v>
      </c>
      <c r="AB533">
        <v>10.1136</v>
      </c>
      <c r="AC533">
        <v>23</v>
      </c>
      <c r="AD533">
        <v>9.5</v>
      </c>
      <c r="AE533" s="59">
        <v>0.76041666666666663</v>
      </c>
      <c r="AF533" s="59">
        <v>0.80138888888888893</v>
      </c>
      <c r="AG533">
        <v>37.5</v>
      </c>
    </row>
    <row r="534" spans="1:33" x14ac:dyDescent="0.25">
      <c r="A534" t="s">
        <v>274</v>
      </c>
      <c r="B534" t="s">
        <v>321</v>
      </c>
      <c r="C534" t="s">
        <v>322</v>
      </c>
      <c r="D534" t="s">
        <v>323</v>
      </c>
      <c r="E534" t="s">
        <v>324</v>
      </c>
      <c r="F534" t="s">
        <v>134</v>
      </c>
      <c r="H534" t="s">
        <v>184</v>
      </c>
      <c r="I534" t="s">
        <v>147</v>
      </c>
      <c r="J534" t="s">
        <v>258</v>
      </c>
      <c r="K534" t="s">
        <v>360</v>
      </c>
      <c r="L534" t="s">
        <v>358</v>
      </c>
      <c r="N534" t="s">
        <v>361</v>
      </c>
      <c r="O534" t="s">
        <v>134</v>
      </c>
      <c r="Q534" t="s">
        <v>208</v>
      </c>
      <c r="R534" t="s">
        <v>185</v>
      </c>
      <c r="S534" t="s">
        <v>128</v>
      </c>
      <c r="T534" t="s">
        <v>181</v>
      </c>
      <c r="U534" t="s">
        <v>151</v>
      </c>
      <c r="V534" t="s">
        <v>76</v>
      </c>
      <c r="W534" s="58">
        <v>43343</v>
      </c>
      <c r="X534" s="59">
        <v>0.85416666666666663</v>
      </c>
      <c r="Y534" s="59">
        <v>0.88541666666666663</v>
      </c>
      <c r="Z534" s="59">
        <v>3.125E-2</v>
      </c>
      <c r="AA534">
        <v>0</v>
      </c>
      <c r="AB534">
        <v>10.6806</v>
      </c>
      <c r="AC534">
        <v>15</v>
      </c>
      <c r="AD534">
        <v>7.125</v>
      </c>
      <c r="AE534" s="59">
        <v>0.85416666666666663</v>
      </c>
      <c r="AF534" s="59">
        <v>0.8847222222222223</v>
      </c>
      <c r="AG534">
        <v>37.5</v>
      </c>
    </row>
    <row r="535" spans="1:33" x14ac:dyDescent="0.25">
      <c r="A535" t="s">
        <v>258</v>
      </c>
      <c r="B535" t="s">
        <v>314</v>
      </c>
      <c r="C535" t="s">
        <v>315</v>
      </c>
      <c r="D535">
        <v>72</v>
      </c>
      <c r="E535" t="s">
        <v>316</v>
      </c>
      <c r="F535" t="s">
        <v>317</v>
      </c>
      <c r="G535" t="s">
        <v>218</v>
      </c>
      <c r="H535" t="s">
        <v>168</v>
      </c>
      <c r="I535" t="s">
        <v>169</v>
      </c>
      <c r="J535" t="s">
        <v>258</v>
      </c>
      <c r="K535" t="s">
        <v>360</v>
      </c>
      <c r="L535" t="s">
        <v>358</v>
      </c>
      <c r="N535" t="s">
        <v>361</v>
      </c>
      <c r="O535" t="s">
        <v>134</v>
      </c>
      <c r="Q535" t="s">
        <v>208</v>
      </c>
      <c r="R535" t="s">
        <v>170</v>
      </c>
      <c r="S535" t="s">
        <v>128</v>
      </c>
      <c r="T535" t="s">
        <v>181</v>
      </c>
      <c r="U535" t="s">
        <v>129</v>
      </c>
      <c r="V535" t="s">
        <v>72</v>
      </c>
      <c r="W535" s="58">
        <v>43346</v>
      </c>
      <c r="X535" s="59">
        <v>0.33333333333333331</v>
      </c>
      <c r="Y535" s="59">
        <v>0.35416666666666669</v>
      </c>
      <c r="Z535" s="59">
        <v>2.0833333333333332E-2</v>
      </c>
      <c r="AA535">
        <v>10</v>
      </c>
      <c r="AC535">
        <v>11.5</v>
      </c>
      <c r="AD535">
        <v>4.75</v>
      </c>
      <c r="AE535" s="59">
        <v>0.33333333333333331</v>
      </c>
      <c r="AF535" s="59">
        <v>0.35347222222222219</v>
      </c>
      <c r="AG535">
        <v>37.5</v>
      </c>
    </row>
    <row r="536" spans="1:33" x14ac:dyDescent="0.25">
      <c r="B536" t="s">
        <v>307</v>
      </c>
      <c r="C536" t="s">
        <v>308</v>
      </c>
      <c r="D536" t="s">
        <v>309</v>
      </c>
      <c r="E536" t="s">
        <v>134</v>
      </c>
      <c r="H536" t="s">
        <v>171</v>
      </c>
      <c r="I536" t="s">
        <v>169</v>
      </c>
      <c r="J536" t="s">
        <v>258</v>
      </c>
      <c r="K536" t="s">
        <v>360</v>
      </c>
      <c r="L536" t="s">
        <v>358</v>
      </c>
      <c r="N536" t="s">
        <v>361</v>
      </c>
      <c r="O536" t="s">
        <v>134</v>
      </c>
      <c r="Q536" t="s">
        <v>208</v>
      </c>
      <c r="R536" t="s">
        <v>172</v>
      </c>
      <c r="S536" t="s">
        <v>128</v>
      </c>
      <c r="T536" t="s">
        <v>181</v>
      </c>
      <c r="U536" t="s">
        <v>129</v>
      </c>
      <c r="V536" t="s">
        <v>72</v>
      </c>
      <c r="W536" s="58">
        <v>43346</v>
      </c>
      <c r="X536" s="59">
        <v>0.3611111111111111</v>
      </c>
      <c r="Y536" s="59">
        <v>0.41319444444444442</v>
      </c>
      <c r="Z536" s="59">
        <v>5.2083333333333336E-2</v>
      </c>
      <c r="AA536">
        <v>2</v>
      </c>
      <c r="AB536">
        <v>0.62839999999999996</v>
      </c>
      <c r="AC536">
        <v>28.75</v>
      </c>
      <c r="AD536">
        <v>11.875</v>
      </c>
      <c r="AE536" s="59">
        <v>0.3611111111111111</v>
      </c>
      <c r="AF536" s="59">
        <v>0.41250000000000003</v>
      </c>
      <c r="AG536">
        <v>37.5</v>
      </c>
    </row>
    <row r="537" spans="1:33" x14ac:dyDescent="0.25">
      <c r="B537" t="s">
        <v>307</v>
      </c>
      <c r="C537" t="s">
        <v>308</v>
      </c>
      <c r="D537" t="s">
        <v>309</v>
      </c>
      <c r="E537" t="s">
        <v>134</v>
      </c>
      <c r="H537" t="s">
        <v>171</v>
      </c>
      <c r="I537" t="s">
        <v>169</v>
      </c>
      <c r="J537" t="s">
        <v>258</v>
      </c>
      <c r="K537" t="s">
        <v>360</v>
      </c>
      <c r="L537" t="s">
        <v>358</v>
      </c>
      <c r="N537" t="s">
        <v>361</v>
      </c>
      <c r="O537" t="s">
        <v>134</v>
      </c>
      <c r="Q537" t="s">
        <v>208</v>
      </c>
      <c r="R537" t="s">
        <v>172</v>
      </c>
      <c r="S537" t="s">
        <v>128</v>
      </c>
      <c r="T537" t="s">
        <v>181</v>
      </c>
      <c r="U537" t="s">
        <v>129</v>
      </c>
      <c r="V537" t="s">
        <v>72</v>
      </c>
      <c r="W537" s="58">
        <v>43346</v>
      </c>
      <c r="X537" s="59">
        <v>0.42708333333333331</v>
      </c>
      <c r="Y537" s="59">
        <v>0.51041666666666663</v>
      </c>
      <c r="Z537" s="59">
        <v>8.3333333333333329E-2</v>
      </c>
      <c r="AA537">
        <v>0</v>
      </c>
      <c r="AB537">
        <v>0</v>
      </c>
      <c r="AC537">
        <v>46</v>
      </c>
      <c r="AD537">
        <v>19</v>
      </c>
      <c r="AE537" s="59">
        <v>0.42708333333333331</v>
      </c>
      <c r="AF537" s="59">
        <v>0.50972222222222219</v>
      </c>
      <c r="AG537">
        <v>37.5</v>
      </c>
    </row>
    <row r="538" spans="1:33" x14ac:dyDescent="0.25">
      <c r="A538" t="s">
        <v>258</v>
      </c>
      <c r="B538" t="s">
        <v>262</v>
      </c>
      <c r="C538" t="s">
        <v>263</v>
      </c>
      <c r="D538" t="s">
        <v>264</v>
      </c>
      <c r="E538" t="s">
        <v>265</v>
      </c>
      <c r="F538" t="s">
        <v>134</v>
      </c>
      <c r="H538" t="s">
        <v>132</v>
      </c>
      <c r="I538" t="s">
        <v>133</v>
      </c>
      <c r="J538" t="s">
        <v>258</v>
      </c>
      <c r="K538" t="s">
        <v>360</v>
      </c>
      <c r="L538" t="s">
        <v>358</v>
      </c>
      <c r="N538" t="s">
        <v>361</v>
      </c>
      <c r="O538" t="s">
        <v>134</v>
      </c>
      <c r="Q538" t="s">
        <v>208</v>
      </c>
      <c r="R538" t="s">
        <v>136</v>
      </c>
      <c r="S538" t="s">
        <v>128</v>
      </c>
      <c r="T538" t="s">
        <v>181</v>
      </c>
      <c r="U538" t="s">
        <v>129</v>
      </c>
      <c r="V538" t="s">
        <v>73</v>
      </c>
      <c r="W538" s="58">
        <v>43347</v>
      </c>
      <c r="X538" s="59">
        <v>0.32291666666666669</v>
      </c>
      <c r="Y538" s="59">
        <v>0.36458333333333331</v>
      </c>
      <c r="Z538" s="59">
        <v>4.1666666666666664E-2</v>
      </c>
      <c r="AA538">
        <v>0</v>
      </c>
      <c r="AC538">
        <v>23</v>
      </c>
      <c r="AD538">
        <v>9.5</v>
      </c>
      <c r="AE538" s="59">
        <v>0.32291666666666669</v>
      </c>
      <c r="AF538" s="59">
        <v>0.36388888888888887</v>
      </c>
      <c r="AG538">
        <v>37.5</v>
      </c>
    </row>
    <row r="539" spans="1:33" x14ac:dyDescent="0.25">
      <c r="A539" t="s">
        <v>266</v>
      </c>
      <c r="B539" t="s">
        <v>293</v>
      </c>
      <c r="C539" t="s">
        <v>294</v>
      </c>
      <c r="E539" t="s">
        <v>295</v>
      </c>
      <c r="F539" t="s">
        <v>134</v>
      </c>
      <c r="H539" t="s">
        <v>157</v>
      </c>
      <c r="I539" t="s">
        <v>158</v>
      </c>
      <c r="J539" t="s">
        <v>258</v>
      </c>
      <c r="K539" t="s">
        <v>360</v>
      </c>
      <c r="L539" t="s">
        <v>358</v>
      </c>
      <c r="N539" t="s">
        <v>361</v>
      </c>
      <c r="O539" t="s">
        <v>134</v>
      </c>
      <c r="Q539" t="s">
        <v>208</v>
      </c>
      <c r="R539" t="s">
        <v>161</v>
      </c>
      <c r="S539" t="s">
        <v>128</v>
      </c>
      <c r="T539" t="s">
        <v>181</v>
      </c>
      <c r="U539" t="s">
        <v>163</v>
      </c>
      <c r="V539" t="s">
        <v>73</v>
      </c>
      <c r="W539" s="58">
        <v>43347</v>
      </c>
      <c r="X539" s="59">
        <v>0.375</v>
      </c>
      <c r="Y539" s="59">
        <v>0.41666666666666669</v>
      </c>
      <c r="Z539" s="59">
        <v>4.1666666666666664E-2</v>
      </c>
      <c r="AA539">
        <v>7</v>
      </c>
      <c r="AB539">
        <v>3.8954</v>
      </c>
      <c r="AC539">
        <v>18</v>
      </c>
      <c r="AD539">
        <v>9.5</v>
      </c>
      <c r="AE539" s="59">
        <v>0.375</v>
      </c>
      <c r="AF539" s="59">
        <v>0.41597222222222219</v>
      </c>
      <c r="AG539">
        <v>37.5</v>
      </c>
    </row>
    <row r="540" spans="1:33" x14ac:dyDescent="0.25">
      <c r="A540" t="s">
        <v>258</v>
      </c>
      <c r="B540" t="s">
        <v>278</v>
      </c>
      <c r="C540" t="s">
        <v>279</v>
      </c>
      <c r="E540" t="s">
        <v>280</v>
      </c>
      <c r="F540" t="s">
        <v>134</v>
      </c>
      <c r="H540" t="s">
        <v>144</v>
      </c>
      <c r="I540" t="s">
        <v>133</v>
      </c>
      <c r="J540" t="s">
        <v>258</v>
      </c>
      <c r="K540" t="s">
        <v>360</v>
      </c>
      <c r="L540" t="s">
        <v>358</v>
      </c>
      <c r="N540" t="s">
        <v>361</v>
      </c>
      <c r="O540" t="s">
        <v>134</v>
      </c>
      <c r="Q540" t="s">
        <v>208</v>
      </c>
      <c r="R540" t="s">
        <v>145</v>
      </c>
      <c r="S540" t="s">
        <v>128</v>
      </c>
      <c r="T540" t="s">
        <v>181</v>
      </c>
      <c r="U540" t="s">
        <v>129</v>
      </c>
      <c r="V540" t="s">
        <v>73</v>
      </c>
      <c r="W540" s="58">
        <v>43347</v>
      </c>
      <c r="X540" s="59">
        <v>0.42708333333333331</v>
      </c>
      <c r="Y540" s="59">
        <v>0.46875</v>
      </c>
      <c r="Z540" s="59">
        <v>4.1666666666666664E-2</v>
      </c>
      <c r="AA540">
        <v>8</v>
      </c>
      <c r="AB540">
        <v>3.7669999999999999</v>
      </c>
      <c r="AC540">
        <v>23</v>
      </c>
      <c r="AD540">
        <v>9.5</v>
      </c>
      <c r="AE540" s="59">
        <v>0.42708333333333331</v>
      </c>
      <c r="AF540" s="59">
        <v>0.4680555555555555</v>
      </c>
      <c r="AG540">
        <v>37.5</v>
      </c>
    </row>
    <row r="541" spans="1:33" x14ac:dyDescent="0.25">
      <c r="A541" t="s">
        <v>258</v>
      </c>
      <c r="B541" t="s">
        <v>278</v>
      </c>
      <c r="C541" t="s">
        <v>279</v>
      </c>
      <c r="E541" t="s">
        <v>280</v>
      </c>
      <c r="F541" t="s">
        <v>134</v>
      </c>
      <c r="H541" t="s">
        <v>144</v>
      </c>
      <c r="I541" t="s">
        <v>133</v>
      </c>
      <c r="J541" t="s">
        <v>258</v>
      </c>
      <c r="K541" t="s">
        <v>360</v>
      </c>
      <c r="L541" t="s">
        <v>358</v>
      </c>
      <c r="N541" t="s">
        <v>361</v>
      </c>
      <c r="O541" t="s">
        <v>134</v>
      </c>
      <c r="Q541" t="s">
        <v>208</v>
      </c>
      <c r="R541" t="s">
        <v>145</v>
      </c>
      <c r="S541" t="s">
        <v>128</v>
      </c>
      <c r="T541" t="s">
        <v>181</v>
      </c>
      <c r="U541" t="s">
        <v>129</v>
      </c>
      <c r="V541" t="s">
        <v>73</v>
      </c>
      <c r="W541" s="58">
        <v>43347</v>
      </c>
      <c r="X541" s="59">
        <v>0.54166666666666663</v>
      </c>
      <c r="Y541" s="59">
        <v>0.58333333333333337</v>
      </c>
      <c r="Z541" s="59">
        <v>4.1666666666666664E-2</v>
      </c>
      <c r="AA541">
        <v>0</v>
      </c>
      <c r="AB541">
        <v>0</v>
      </c>
      <c r="AC541">
        <v>23</v>
      </c>
      <c r="AD541">
        <v>9.5</v>
      </c>
      <c r="AE541" s="59">
        <v>0.54166666666666663</v>
      </c>
      <c r="AF541" s="59">
        <v>0.58263888888888882</v>
      </c>
      <c r="AG541">
        <v>37.5</v>
      </c>
    </row>
    <row r="542" spans="1:33" x14ac:dyDescent="0.25">
      <c r="B542" t="s">
        <v>307</v>
      </c>
      <c r="C542" t="s">
        <v>308</v>
      </c>
      <c r="D542" t="s">
        <v>309</v>
      </c>
      <c r="E542" t="s">
        <v>134</v>
      </c>
      <c r="H542" t="s">
        <v>171</v>
      </c>
      <c r="I542" t="s">
        <v>169</v>
      </c>
      <c r="J542" t="s">
        <v>258</v>
      </c>
      <c r="K542" t="s">
        <v>360</v>
      </c>
      <c r="L542" t="s">
        <v>358</v>
      </c>
      <c r="N542" t="s">
        <v>361</v>
      </c>
      <c r="O542" t="s">
        <v>134</v>
      </c>
      <c r="Q542" t="s">
        <v>208</v>
      </c>
      <c r="R542" t="s">
        <v>172</v>
      </c>
      <c r="S542" t="s">
        <v>128</v>
      </c>
      <c r="T542" t="s">
        <v>181</v>
      </c>
      <c r="U542" t="s">
        <v>129</v>
      </c>
      <c r="V542" t="s">
        <v>73</v>
      </c>
      <c r="W542" s="58">
        <v>43347</v>
      </c>
      <c r="X542" s="59">
        <v>0.65277777777777779</v>
      </c>
      <c r="Y542" s="59">
        <v>0.69444444444444453</v>
      </c>
      <c r="Z542" s="59">
        <v>4.1666666666666664E-2</v>
      </c>
      <c r="AA542">
        <v>10</v>
      </c>
      <c r="AB542">
        <v>6.3272000000000004</v>
      </c>
      <c r="AC542">
        <v>23</v>
      </c>
      <c r="AD542">
        <v>9.5</v>
      </c>
      <c r="AE542" s="59">
        <v>0.65277777777777779</v>
      </c>
      <c r="AF542" s="59">
        <v>0.69374999999999998</v>
      </c>
      <c r="AG542">
        <v>37.5</v>
      </c>
    </row>
    <row r="543" spans="1:33" x14ac:dyDescent="0.25">
      <c r="A543" t="s">
        <v>258</v>
      </c>
      <c r="B543" t="s">
        <v>314</v>
      </c>
      <c r="C543" t="s">
        <v>315</v>
      </c>
      <c r="D543">
        <v>72</v>
      </c>
      <c r="E543" t="s">
        <v>316</v>
      </c>
      <c r="F543" t="s">
        <v>317</v>
      </c>
      <c r="G543" t="s">
        <v>218</v>
      </c>
      <c r="H543" t="s">
        <v>168</v>
      </c>
      <c r="I543" t="s">
        <v>169</v>
      </c>
      <c r="J543" t="s">
        <v>258</v>
      </c>
      <c r="K543" t="s">
        <v>360</v>
      </c>
      <c r="L543" t="s">
        <v>358</v>
      </c>
      <c r="N543" t="s">
        <v>361</v>
      </c>
      <c r="O543" t="s">
        <v>134</v>
      </c>
      <c r="Q543" t="s">
        <v>208</v>
      </c>
      <c r="R543" t="s">
        <v>170</v>
      </c>
      <c r="S543" t="s">
        <v>128</v>
      </c>
      <c r="T543" t="s">
        <v>181</v>
      </c>
      <c r="U543" t="s">
        <v>129</v>
      </c>
      <c r="V543" t="s">
        <v>73</v>
      </c>
      <c r="W543" s="58">
        <v>43347</v>
      </c>
      <c r="X543" s="59">
        <v>0.70277777777777783</v>
      </c>
      <c r="Y543" s="59">
        <v>0.74444444444444446</v>
      </c>
      <c r="Z543" s="59">
        <v>4.1666666666666664E-2</v>
      </c>
      <c r="AA543">
        <v>2</v>
      </c>
      <c r="AB543">
        <v>0.62839999999999996</v>
      </c>
      <c r="AC543">
        <v>23</v>
      </c>
      <c r="AD543">
        <v>9.5</v>
      </c>
      <c r="AE543" s="59">
        <v>0.70277777777777783</v>
      </c>
      <c r="AF543" s="59">
        <v>0.74375000000000002</v>
      </c>
      <c r="AG543">
        <v>37.5</v>
      </c>
    </row>
    <row r="544" spans="1:33" x14ac:dyDescent="0.25">
      <c r="A544" t="s">
        <v>258</v>
      </c>
      <c r="B544" t="s">
        <v>278</v>
      </c>
      <c r="C544" t="s">
        <v>279</v>
      </c>
      <c r="E544" t="s">
        <v>280</v>
      </c>
      <c r="F544" t="s">
        <v>134</v>
      </c>
      <c r="H544" t="s">
        <v>144</v>
      </c>
      <c r="I544" t="s">
        <v>133</v>
      </c>
      <c r="J544" t="s">
        <v>258</v>
      </c>
      <c r="K544" t="s">
        <v>360</v>
      </c>
      <c r="L544" t="s">
        <v>358</v>
      </c>
      <c r="N544" t="s">
        <v>361</v>
      </c>
      <c r="O544" t="s">
        <v>134</v>
      </c>
      <c r="Q544" t="s">
        <v>208</v>
      </c>
      <c r="R544" t="s">
        <v>145</v>
      </c>
      <c r="S544" t="s">
        <v>128</v>
      </c>
      <c r="T544" t="s">
        <v>181</v>
      </c>
      <c r="U544" t="s">
        <v>129</v>
      </c>
      <c r="V544" t="s">
        <v>73</v>
      </c>
      <c r="W544" s="58">
        <v>43347</v>
      </c>
      <c r="X544" s="59">
        <v>0.76041666666666663</v>
      </c>
      <c r="Y544" s="59">
        <v>0.80208333333333337</v>
      </c>
      <c r="Z544" s="59">
        <v>4.1666666666666664E-2</v>
      </c>
      <c r="AA544">
        <v>11</v>
      </c>
      <c r="AB544">
        <v>7.3204000000000002</v>
      </c>
      <c r="AC544">
        <v>23</v>
      </c>
      <c r="AD544">
        <v>9.5</v>
      </c>
      <c r="AE544" s="59">
        <v>0.76041666666666663</v>
      </c>
      <c r="AF544" s="59">
        <v>0.80138888888888893</v>
      </c>
      <c r="AG544">
        <v>37.5</v>
      </c>
    </row>
    <row r="545" spans="1:33" x14ac:dyDescent="0.25">
      <c r="A545" t="s">
        <v>274</v>
      </c>
      <c r="B545" t="s">
        <v>275</v>
      </c>
      <c r="C545" t="s">
        <v>276</v>
      </c>
      <c r="E545" t="s">
        <v>277</v>
      </c>
      <c r="F545" t="s">
        <v>134</v>
      </c>
      <c r="H545" t="s">
        <v>141</v>
      </c>
      <c r="I545" t="s">
        <v>142</v>
      </c>
      <c r="J545" t="s">
        <v>258</v>
      </c>
      <c r="K545" t="s">
        <v>360</v>
      </c>
      <c r="L545" t="s">
        <v>358</v>
      </c>
      <c r="N545" t="s">
        <v>361</v>
      </c>
      <c r="O545" t="s">
        <v>134</v>
      </c>
      <c r="Q545" t="s">
        <v>208</v>
      </c>
      <c r="R545" t="s">
        <v>143</v>
      </c>
      <c r="S545" t="s">
        <v>128</v>
      </c>
      <c r="T545" t="s">
        <v>181</v>
      </c>
      <c r="U545" t="s">
        <v>129</v>
      </c>
      <c r="V545" t="s">
        <v>73</v>
      </c>
      <c r="W545" s="58">
        <v>43347</v>
      </c>
      <c r="X545" s="59">
        <v>0.8125</v>
      </c>
      <c r="Y545" s="59">
        <v>0.83333333333333337</v>
      </c>
      <c r="Z545" s="59">
        <v>2.0833333333333332E-2</v>
      </c>
      <c r="AA545">
        <v>4</v>
      </c>
      <c r="AB545">
        <v>2.0796000000000001</v>
      </c>
      <c r="AC545">
        <v>11.5</v>
      </c>
      <c r="AD545">
        <v>4.75</v>
      </c>
      <c r="AE545" s="59">
        <v>0.8125</v>
      </c>
      <c r="AF545" s="59">
        <v>0.83263888888888893</v>
      </c>
      <c r="AG545">
        <v>37.5</v>
      </c>
    </row>
    <row r="546" spans="1:33" x14ac:dyDescent="0.25">
      <c r="A546" t="s">
        <v>258</v>
      </c>
      <c r="B546" t="s">
        <v>278</v>
      </c>
      <c r="C546" t="s">
        <v>279</v>
      </c>
      <c r="E546" t="s">
        <v>280</v>
      </c>
      <c r="F546" t="s">
        <v>134</v>
      </c>
      <c r="H546" t="s">
        <v>144</v>
      </c>
      <c r="I546" t="s">
        <v>133</v>
      </c>
      <c r="J546" t="s">
        <v>258</v>
      </c>
      <c r="K546" t="s">
        <v>360</v>
      </c>
      <c r="L546" t="s">
        <v>358</v>
      </c>
      <c r="N546" t="s">
        <v>361</v>
      </c>
      <c r="O546" t="s">
        <v>134</v>
      </c>
      <c r="Q546" t="s">
        <v>208</v>
      </c>
      <c r="R546" t="s">
        <v>145</v>
      </c>
      <c r="S546" t="s">
        <v>128</v>
      </c>
      <c r="T546" t="s">
        <v>181</v>
      </c>
      <c r="U546" t="s">
        <v>129</v>
      </c>
      <c r="V546" t="s">
        <v>73</v>
      </c>
      <c r="W546" s="58">
        <v>43347</v>
      </c>
      <c r="X546" s="59">
        <v>0.84375</v>
      </c>
      <c r="Y546" s="59">
        <v>0.88541666666666663</v>
      </c>
      <c r="Z546" s="59">
        <v>4.1666666666666664E-2</v>
      </c>
      <c r="AA546">
        <v>4</v>
      </c>
      <c r="AB546">
        <v>2.0796000000000001</v>
      </c>
      <c r="AC546">
        <v>23</v>
      </c>
      <c r="AD546">
        <v>9.5</v>
      </c>
      <c r="AE546" s="59">
        <v>0.84375</v>
      </c>
      <c r="AF546" s="59">
        <v>0.8847222222222223</v>
      </c>
      <c r="AG546">
        <v>37.5</v>
      </c>
    </row>
    <row r="547" spans="1:33" x14ac:dyDescent="0.25">
      <c r="A547" t="s">
        <v>258</v>
      </c>
      <c r="B547" t="s">
        <v>314</v>
      </c>
      <c r="C547" t="s">
        <v>315</v>
      </c>
      <c r="D547">
        <v>72</v>
      </c>
      <c r="E547" t="s">
        <v>316</v>
      </c>
      <c r="F547" t="s">
        <v>317</v>
      </c>
      <c r="G547" t="s">
        <v>218</v>
      </c>
      <c r="H547" t="s">
        <v>168</v>
      </c>
      <c r="I547" t="s">
        <v>169</v>
      </c>
      <c r="J547" t="s">
        <v>258</v>
      </c>
      <c r="K547" t="s">
        <v>360</v>
      </c>
      <c r="L547" t="s">
        <v>358</v>
      </c>
      <c r="N547" t="s">
        <v>361</v>
      </c>
      <c r="O547" t="s">
        <v>134</v>
      </c>
      <c r="Q547" t="s">
        <v>208</v>
      </c>
      <c r="R547" t="s">
        <v>170</v>
      </c>
      <c r="S547" t="s">
        <v>128</v>
      </c>
      <c r="T547" t="s">
        <v>181</v>
      </c>
      <c r="U547" t="s">
        <v>129</v>
      </c>
      <c r="V547" t="s">
        <v>74</v>
      </c>
      <c r="W547" s="58">
        <v>43348</v>
      </c>
      <c r="X547" s="59">
        <v>0.33333333333333331</v>
      </c>
      <c r="Y547" s="59">
        <v>0.35416666666666669</v>
      </c>
      <c r="Z547" s="59">
        <v>2.0833333333333332E-2</v>
      </c>
      <c r="AA547">
        <v>0</v>
      </c>
      <c r="AC547">
        <v>11.5</v>
      </c>
      <c r="AD547">
        <v>4.75</v>
      </c>
      <c r="AE547" s="59">
        <v>0.33333333333333331</v>
      </c>
      <c r="AF547" s="59">
        <v>0.35347222222222219</v>
      </c>
      <c r="AG547">
        <v>37.5</v>
      </c>
    </row>
    <row r="548" spans="1:33" x14ac:dyDescent="0.25">
      <c r="B548" t="s">
        <v>307</v>
      </c>
      <c r="C548" t="s">
        <v>308</v>
      </c>
      <c r="D548" t="s">
        <v>309</v>
      </c>
      <c r="E548" t="s">
        <v>134</v>
      </c>
      <c r="H548" t="s">
        <v>171</v>
      </c>
      <c r="I548" t="s">
        <v>169</v>
      </c>
      <c r="J548" t="s">
        <v>258</v>
      </c>
      <c r="K548" t="s">
        <v>360</v>
      </c>
      <c r="L548" t="s">
        <v>358</v>
      </c>
      <c r="N548" t="s">
        <v>361</v>
      </c>
      <c r="O548" t="s">
        <v>134</v>
      </c>
      <c r="Q548" t="s">
        <v>208</v>
      </c>
      <c r="R548" t="s">
        <v>172</v>
      </c>
      <c r="S548" t="s">
        <v>128</v>
      </c>
      <c r="T548" t="s">
        <v>181</v>
      </c>
      <c r="U548" t="s">
        <v>129</v>
      </c>
      <c r="V548" t="s">
        <v>74</v>
      </c>
      <c r="W548" s="58">
        <v>43348</v>
      </c>
      <c r="X548" s="59">
        <v>0.3611111111111111</v>
      </c>
      <c r="Y548" s="59">
        <v>0.40277777777777773</v>
      </c>
      <c r="Z548" s="59">
        <v>4.1666666666666664E-2</v>
      </c>
      <c r="AA548">
        <v>2</v>
      </c>
      <c r="AB548">
        <v>0.62839999999999996</v>
      </c>
      <c r="AC548">
        <v>23</v>
      </c>
      <c r="AD548">
        <v>9.5</v>
      </c>
      <c r="AE548" s="59">
        <v>0.3611111111111111</v>
      </c>
      <c r="AF548" s="59">
        <v>0.40208333333333335</v>
      </c>
      <c r="AG548">
        <v>37.5</v>
      </c>
    </row>
    <row r="549" spans="1:33" x14ac:dyDescent="0.25">
      <c r="A549" t="s">
        <v>258</v>
      </c>
      <c r="B549" t="s">
        <v>278</v>
      </c>
      <c r="C549" t="s">
        <v>279</v>
      </c>
      <c r="E549" t="s">
        <v>280</v>
      </c>
      <c r="F549" t="s">
        <v>134</v>
      </c>
      <c r="H549" t="s">
        <v>144</v>
      </c>
      <c r="I549" t="s">
        <v>133</v>
      </c>
      <c r="J549" t="s">
        <v>258</v>
      </c>
      <c r="K549" t="s">
        <v>360</v>
      </c>
      <c r="L549" t="s">
        <v>358</v>
      </c>
      <c r="N549" t="s">
        <v>361</v>
      </c>
      <c r="O549" t="s">
        <v>134</v>
      </c>
      <c r="Q549" t="s">
        <v>208</v>
      </c>
      <c r="R549" t="s">
        <v>145</v>
      </c>
      <c r="S549" t="s">
        <v>128</v>
      </c>
      <c r="T549" t="s">
        <v>181</v>
      </c>
      <c r="U549" t="s">
        <v>129</v>
      </c>
      <c r="V549" t="s">
        <v>74</v>
      </c>
      <c r="W549" s="58">
        <v>43348</v>
      </c>
      <c r="X549" s="59">
        <v>0.41666666666666669</v>
      </c>
      <c r="Y549" s="59">
        <v>0.45833333333333331</v>
      </c>
      <c r="Z549" s="59">
        <v>4.1666666666666664E-2</v>
      </c>
      <c r="AA549">
        <v>10</v>
      </c>
      <c r="AB549">
        <v>6.3113999999999999</v>
      </c>
      <c r="AC549">
        <v>23</v>
      </c>
      <c r="AD549">
        <v>9.5</v>
      </c>
      <c r="AE549" s="59">
        <v>0.41666666666666669</v>
      </c>
      <c r="AF549" s="59">
        <v>0.45763888888888887</v>
      </c>
      <c r="AG549">
        <v>37.5</v>
      </c>
    </row>
    <row r="550" spans="1:33" x14ac:dyDescent="0.25">
      <c r="B550" t="s">
        <v>307</v>
      </c>
      <c r="C550" t="s">
        <v>308</v>
      </c>
      <c r="D550" t="s">
        <v>309</v>
      </c>
      <c r="E550" t="s">
        <v>134</v>
      </c>
      <c r="H550" t="s">
        <v>171</v>
      </c>
      <c r="I550" t="s">
        <v>169</v>
      </c>
      <c r="J550" t="s">
        <v>258</v>
      </c>
      <c r="K550" t="s">
        <v>360</v>
      </c>
      <c r="L550" t="s">
        <v>358</v>
      </c>
      <c r="N550" t="s">
        <v>361</v>
      </c>
      <c r="O550" t="s">
        <v>134</v>
      </c>
      <c r="Q550" t="s">
        <v>208</v>
      </c>
      <c r="R550" t="s">
        <v>172</v>
      </c>
      <c r="S550" t="s">
        <v>128</v>
      </c>
      <c r="T550" t="s">
        <v>181</v>
      </c>
      <c r="U550" t="s">
        <v>129</v>
      </c>
      <c r="V550" t="s">
        <v>74</v>
      </c>
      <c r="W550" s="58">
        <v>43348</v>
      </c>
      <c r="X550" s="59">
        <v>0.65277777777777779</v>
      </c>
      <c r="Y550" s="59">
        <v>0.69444444444444453</v>
      </c>
      <c r="Z550" s="59">
        <v>4.1666666666666664E-2</v>
      </c>
      <c r="AA550">
        <v>0</v>
      </c>
      <c r="AC550">
        <v>23</v>
      </c>
      <c r="AD550">
        <v>9.5</v>
      </c>
      <c r="AE550" s="59">
        <v>0.65277777777777779</v>
      </c>
      <c r="AF550" s="59">
        <v>0.69374999999999998</v>
      </c>
      <c r="AG550">
        <v>37.5</v>
      </c>
    </row>
    <row r="551" spans="1:33" x14ac:dyDescent="0.25">
      <c r="A551" t="s">
        <v>258</v>
      </c>
      <c r="B551" t="s">
        <v>314</v>
      </c>
      <c r="C551" t="s">
        <v>315</v>
      </c>
      <c r="D551">
        <v>72</v>
      </c>
      <c r="E551" t="s">
        <v>316</v>
      </c>
      <c r="F551" t="s">
        <v>317</v>
      </c>
      <c r="G551" t="s">
        <v>218</v>
      </c>
      <c r="H551" t="s">
        <v>168</v>
      </c>
      <c r="I551" t="s">
        <v>169</v>
      </c>
      <c r="J551" t="s">
        <v>258</v>
      </c>
      <c r="K551" t="s">
        <v>360</v>
      </c>
      <c r="L551" t="s">
        <v>358</v>
      </c>
      <c r="N551" t="s">
        <v>361</v>
      </c>
      <c r="O551" t="s">
        <v>134</v>
      </c>
      <c r="Q551" t="s">
        <v>208</v>
      </c>
      <c r="R551" t="s">
        <v>170</v>
      </c>
      <c r="S551" t="s">
        <v>128</v>
      </c>
      <c r="T551" t="s">
        <v>181</v>
      </c>
      <c r="U551" t="s">
        <v>129</v>
      </c>
      <c r="V551" t="s">
        <v>74</v>
      </c>
      <c r="W551" s="58">
        <v>43348</v>
      </c>
      <c r="X551" s="59">
        <v>0.70416666666666661</v>
      </c>
      <c r="Y551" s="59">
        <v>0.74583333333333324</v>
      </c>
      <c r="Z551" s="59">
        <v>4.1666666666666664E-2</v>
      </c>
      <c r="AA551">
        <v>2</v>
      </c>
      <c r="AB551">
        <v>0.62839999999999996</v>
      </c>
      <c r="AC551">
        <v>23</v>
      </c>
      <c r="AD551">
        <v>9.5</v>
      </c>
      <c r="AE551" s="59">
        <v>0.70416666666666661</v>
      </c>
      <c r="AF551" s="59">
        <v>0.74513888888888891</v>
      </c>
      <c r="AG551">
        <v>37.5</v>
      </c>
    </row>
    <row r="552" spans="1:33" x14ac:dyDescent="0.25">
      <c r="A552" t="s">
        <v>258</v>
      </c>
      <c r="B552" t="s">
        <v>270</v>
      </c>
      <c r="C552" t="s">
        <v>271</v>
      </c>
      <c r="D552" t="s">
        <v>272</v>
      </c>
      <c r="E552" t="s">
        <v>273</v>
      </c>
      <c r="F552" t="s">
        <v>134</v>
      </c>
      <c r="H552" t="s">
        <v>138</v>
      </c>
      <c r="I552" t="s">
        <v>139</v>
      </c>
      <c r="J552" t="s">
        <v>258</v>
      </c>
      <c r="K552" t="s">
        <v>360</v>
      </c>
      <c r="L552" t="s">
        <v>358</v>
      </c>
      <c r="N552" t="s">
        <v>361</v>
      </c>
      <c r="O552" t="s">
        <v>134</v>
      </c>
      <c r="Q552" t="s">
        <v>208</v>
      </c>
      <c r="R552" t="s">
        <v>140</v>
      </c>
      <c r="S552" t="s">
        <v>128</v>
      </c>
      <c r="T552" t="s">
        <v>181</v>
      </c>
      <c r="U552" t="s">
        <v>129</v>
      </c>
      <c r="V552" t="s">
        <v>74</v>
      </c>
      <c r="W552" s="58">
        <v>43348</v>
      </c>
      <c r="X552" s="59">
        <v>0.76041666666666663</v>
      </c>
      <c r="Y552" s="59">
        <v>0.79166666666666663</v>
      </c>
      <c r="Z552" s="59">
        <v>3.125E-2</v>
      </c>
      <c r="AA552">
        <v>10</v>
      </c>
      <c r="AB552">
        <v>6.5953999999999997</v>
      </c>
      <c r="AC552">
        <v>17.25</v>
      </c>
      <c r="AD552">
        <v>7.125</v>
      </c>
      <c r="AE552" s="59">
        <v>0.76041666666666663</v>
      </c>
      <c r="AF552" s="59">
        <v>0.7909722222222223</v>
      </c>
      <c r="AG552">
        <v>37.5</v>
      </c>
    </row>
    <row r="553" spans="1:33" x14ac:dyDescent="0.25">
      <c r="A553" t="s">
        <v>274</v>
      </c>
      <c r="B553" t="s">
        <v>275</v>
      </c>
      <c r="C553" t="s">
        <v>276</v>
      </c>
      <c r="E553" t="s">
        <v>277</v>
      </c>
      <c r="F553" t="s">
        <v>134</v>
      </c>
      <c r="H553" t="s">
        <v>141</v>
      </c>
      <c r="I553" t="s">
        <v>142</v>
      </c>
      <c r="J553" t="s">
        <v>258</v>
      </c>
      <c r="K553" t="s">
        <v>360</v>
      </c>
      <c r="L553" t="s">
        <v>358</v>
      </c>
      <c r="N553" t="s">
        <v>361</v>
      </c>
      <c r="O553" t="s">
        <v>134</v>
      </c>
      <c r="Q553" t="s">
        <v>208</v>
      </c>
      <c r="R553" t="s">
        <v>143</v>
      </c>
      <c r="S553" t="s">
        <v>128</v>
      </c>
      <c r="T553" t="s">
        <v>181</v>
      </c>
      <c r="U553" t="s">
        <v>129</v>
      </c>
      <c r="V553" t="s">
        <v>74</v>
      </c>
      <c r="W553" s="58">
        <v>43348</v>
      </c>
      <c r="X553" s="59">
        <v>0.8125</v>
      </c>
      <c r="Y553" s="59">
        <v>0.83333333333333337</v>
      </c>
      <c r="Z553" s="59">
        <v>2.0833333333333332E-2</v>
      </c>
      <c r="AA553">
        <v>2</v>
      </c>
      <c r="AB553">
        <v>0.9</v>
      </c>
      <c r="AC553">
        <v>11.5</v>
      </c>
      <c r="AD553">
        <v>4.75</v>
      </c>
      <c r="AE553" s="59">
        <v>0.8125</v>
      </c>
      <c r="AF553" s="59">
        <v>0.83263888888888893</v>
      </c>
      <c r="AG553">
        <v>37.5</v>
      </c>
    </row>
    <row r="554" spans="1:33" x14ac:dyDescent="0.25">
      <c r="A554" t="s">
        <v>266</v>
      </c>
      <c r="B554" t="s">
        <v>348</v>
      </c>
      <c r="C554" t="s">
        <v>349</v>
      </c>
      <c r="E554" t="s">
        <v>350</v>
      </c>
      <c r="F554" t="s">
        <v>134</v>
      </c>
      <c r="H554" t="s">
        <v>202</v>
      </c>
      <c r="I554" t="s">
        <v>139</v>
      </c>
      <c r="J554" t="s">
        <v>258</v>
      </c>
      <c r="K554" t="s">
        <v>360</v>
      </c>
      <c r="L554" t="s">
        <v>358</v>
      </c>
      <c r="N554" t="s">
        <v>361</v>
      </c>
      <c r="O554" t="s">
        <v>134</v>
      </c>
      <c r="Q554" t="s">
        <v>208</v>
      </c>
      <c r="R554" t="s">
        <v>203</v>
      </c>
      <c r="S554" t="s">
        <v>128</v>
      </c>
      <c r="T554" t="s">
        <v>181</v>
      </c>
      <c r="U554" t="s">
        <v>151</v>
      </c>
      <c r="V554" t="s">
        <v>75</v>
      </c>
      <c r="W554" s="58">
        <v>43349</v>
      </c>
      <c r="X554" s="59">
        <v>0.29166666666666669</v>
      </c>
      <c r="Y554" s="59">
        <v>0.33333333333333331</v>
      </c>
      <c r="Z554" s="59">
        <v>4.1666666666666664E-2</v>
      </c>
      <c r="AA554">
        <v>0</v>
      </c>
      <c r="AC554">
        <v>20</v>
      </c>
      <c r="AD554">
        <v>9.5</v>
      </c>
      <c r="AE554" s="59">
        <v>0.29166666666666669</v>
      </c>
      <c r="AF554" s="59">
        <v>0.33263888888888887</v>
      </c>
      <c r="AG554">
        <v>37.5</v>
      </c>
    </row>
    <row r="555" spans="1:33" x14ac:dyDescent="0.25">
      <c r="A555" t="s">
        <v>274</v>
      </c>
      <c r="B555" t="s">
        <v>336</v>
      </c>
      <c r="C555" t="s">
        <v>337</v>
      </c>
      <c r="E555" t="s">
        <v>338</v>
      </c>
      <c r="F555" t="s">
        <v>134</v>
      </c>
      <c r="H555" t="s">
        <v>186</v>
      </c>
      <c r="I555" t="s">
        <v>147</v>
      </c>
      <c r="J555" t="s">
        <v>258</v>
      </c>
      <c r="K555" t="s">
        <v>360</v>
      </c>
      <c r="L555" t="s">
        <v>358</v>
      </c>
      <c r="N555" t="s">
        <v>361</v>
      </c>
      <c r="O555" t="s">
        <v>134</v>
      </c>
      <c r="Q555" t="s">
        <v>208</v>
      </c>
      <c r="R555" t="s">
        <v>187</v>
      </c>
      <c r="S555" t="s">
        <v>128</v>
      </c>
      <c r="T555" t="s">
        <v>181</v>
      </c>
      <c r="U555" t="s">
        <v>151</v>
      </c>
      <c r="V555" t="s">
        <v>75</v>
      </c>
      <c r="W555" s="58">
        <v>43349</v>
      </c>
      <c r="X555" s="59">
        <v>0.36805555555555558</v>
      </c>
      <c r="Y555" s="59">
        <v>0.40972222222222227</v>
      </c>
      <c r="Z555" s="59">
        <v>4.1666666666666664E-2</v>
      </c>
      <c r="AA555">
        <v>14</v>
      </c>
      <c r="AB555">
        <v>11.6204</v>
      </c>
      <c r="AC555">
        <v>20</v>
      </c>
      <c r="AD555">
        <v>9.5</v>
      </c>
      <c r="AE555" s="59">
        <v>0.36805555555555558</v>
      </c>
      <c r="AF555" s="59">
        <v>0.40902777777777777</v>
      </c>
      <c r="AG555">
        <v>37.5</v>
      </c>
    </row>
    <row r="556" spans="1:33" x14ac:dyDescent="0.25">
      <c r="B556" t="s">
        <v>307</v>
      </c>
      <c r="C556" t="s">
        <v>308</v>
      </c>
      <c r="D556" t="s">
        <v>309</v>
      </c>
      <c r="E556" t="s">
        <v>134</v>
      </c>
      <c r="H556" t="s">
        <v>171</v>
      </c>
      <c r="I556" t="s">
        <v>169</v>
      </c>
      <c r="J556" t="s">
        <v>258</v>
      </c>
      <c r="K556" t="s">
        <v>360</v>
      </c>
      <c r="L556" t="s">
        <v>358</v>
      </c>
      <c r="N556" t="s">
        <v>361</v>
      </c>
      <c r="O556" t="s">
        <v>134</v>
      </c>
      <c r="Q556" t="s">
        <v>208</v>
      </c>
      <c r="R556" t="s">
        <v>172</v>
      </c>
      <c r="S556" t="s">
        <v>128</v>
      </c>
      <c r="T556" t="s">
        <v>181</v>
      </c>
      <c r="U556" t="s">
        <v>129</v>
      </c>
      <c r="V556" t="s">
        <v>75</v>
      </c>
      <c r="W556" s="58">
        <v>43349</v>
      </c>
      <c r="X556" s="59">
        <v>0.65625</v>
      </c>
      <c r="Y556" s="59">
        <v>0.69791666666666663</v>
      </c>
      <c r="Z556" s="59">
        <v>4.1666666666666664E-2</v>
      </c>
      <c r="AA556">
        <v>0</v>
      </c>
      <c r="AC556">
        <v>23</v>
      </c>
      <c r="AD556">
        <v>9.5</v>
      </c>
      <c r="AE556" s="59">
        <v>0.65625</v>
      </c>
      <c r="AF556" s="59">
        <v>0.6972222222222223</v>
      </c>
      <c r="AG556">
        <v>37.5</v>
      </c>
    </row>
    <row r="557" spans="1:33" x14ac:dyDescent="0.25">
      <c r="A557" t="s">
        <v>258</v>
      </c>
      <c r="B557" t="s">
        <v>278</v>
      </c>
      <c r="C557" t="s">
        <v>279</v>
      </c>
      <c r="E557" t="s">
        <v>280</v>
      </c>
      <c r="F557" t="s">
        <v>134</v>
      </c>
      <c r="H557" t="s">
        <v>144</v>
      </c>
      <c r="I557" t="s">
        <v>133</v>
      </c>
      <c r="J557" t="s">
        <v>258</v>
      </c>
      <c r="K557" t="s">
        <v>360</v>
      </c>
      <c r="L557" t="s">
        <v>358</v>
      </c>
      <c r="N557" t="s">
        <v>361</v>
      </c>
      <c r="O557" t="s">
        <v>134</v>
      </c>
      <c r="Q557" t="s">
        <v>208</v>
      </c>
      <c r="R557" t="s">
        <v>145</v>
      </c>
      <c r="S557" t="s">
        <v>128</v>
      </c>
      <c r="T557" t="s">
        <v>181</v>
      </c>
      <c r="U557" t="s">
        <v>129</v>
      </c>
      <c r="V557" t="s">
        <v>75</v>
      </c>
      <c r="W557" s="58">
        <v>43349</v>
      </c>
      <c r="X557" s="59">
        <v>0.70833333333333337</v>
      </c>
      <c r="Y557" s="59">
        <v>0.75</v>
      </c>
      <c r="Z557" s="59">
        <v>4.1666666666666664E-2</v>
      </c>
      <c r="AA557">
        <v>10</v>
      </c>
      <c r="AB557">
        <v>6.3113999999999999</v>
      </c>
      <c r="AC557">
        <v>23</v>
      </c>
      <c r="AD557">
        <v>9.5</v>
      </c>
      <c r="AE557" s="59">
        <v>0.70833333333333337</v>
      </c>
      <c r="AF557" s="59">
        <v>0.74930555555555556</v>
      </c>
      <c r="AG557">
        <v>37.5</v>
      </c>
    </row>
    <row r="558" spans="1:33" x14ac:dyDescent="0.25">
      <c r="A558" t="s">
        <v>274</v>
      </c>
      <c r="B558" t="s">
        <v>334</v>
      </c>
      <c r="C558" t="s">
        <v>285</v>
      </c>
      <c r="E558" t="s">
        <v>335</v>
      </c>
      <c r="F558" t="s">
        <v>134</v>
      </c>
      <c r="H558" t="s">
        <v>192</v>
      </c>
      <c r="I558" t="s">
        <v>155</v>
      </c>
      <c r="J558" t="s">
        <v>258</v>
      </c>
      <c r="K558" t="s">
        <v>360</v>
      </c>
      <c r="L558" t="s">
        <v>358</v>
      </c>
      <c r="N558" t="s">
        <v>361</v>
      </c>
      <c r="O558" t="s">
        <v>134</v>
      </c>
      <c r="Q558" t="s">
        <v>208</v>
      </c>
      <c r="R558" t="s">
        <v>193</v>
      </c>
      <c r="S558" t="s">
        <v>128</v>
      </c>
      <c r="T558" t="s">
        <v>181</v>
      </c>
      <c r="U558" t="s">
        <v>129</v>
      </c>
      <c r="V558" t="s">
        <v>75</v>
      </c>
      <c r="W558" s="58">
        <v>43349</v>
      </c>
      <c r="X558" s="59">
        <v>0.76041666666666663</v>
      </c>
      <c r="Y558" s="59">
        <v>0.80208333333333337</v>
      </c>
      <c r="Z558" s="59">
        <v>4.1666666666666664E-2</v>
      </c>
      <c r="AA558">
        <v>17</v>
      </c>
      <c r="AB558">
        <v>9.2021999999999995</v>
      </c>
      <c r="AC558">
        <v>23</v>
      </c>
      <c r="AD558">
        <v>9.5</v>
      </c>
      <c r="AE558" s="59">
        <v>0.76041666666666663</v>
      </c>
      <c r="AF558" s="59">
        <v>0.80138888888888893</v>
      </c>
      <c r="AG558">
        <v>37.5</v>
      </c>
    </row>
    <row r="559" spans="1:33" x14ac:dyDescent="0.25">
      <c r="A559" t="s">
        <v>274</v>
      </c>
      <c r="B559" t="s">
        <v>321</v>
      </c>
      <c r="C559" t="s">
        <v>322</v>
      </c>
      <c r="D559" t="s">
        <v>323</v>
      </c>
      <c r="E559" t="s">
        <v>324</v>
      </c>
      <c r="F559" t="s">
        <v>134</v>
      </c>
      <c r="H559" t="s">
        <v>184</v>
      </c>
      <c r="I559" t="s">
        <v>147</v>
      </c>
      <c r="J559" t="s">
        <v>258</v>
      </c>
      <c r="K559" t="s">
        <v>360</v>
      </c>
      <c r="L559" t="s">
        <v>358</v>
      </c>
      <c r="N559" t="s">
        <v>361</v>
      </c>
      <c r="O559" t="s">
        <v>134</v>
      </c>
      <c r="Q559" t="s">
        <v>208</v>
      </c>
      <c r="R559" t="s">
        <v>185</v>
      </c>
      <c r="S559" t="s">
        <v>128</v>
      </c>
      <c r="T559" t="s">
        <v>181</v>
      </c>
      <c r="U559" t="s">
        <v>151</v>
      </c>
      <c r="V559" t="s">
        <v>75</v>
      </c>
      <c r="W559" s="58">
        <v>43349</v>
      </c>
      <c r="X559" s="59">
        <v>0.8125</v>
      </c>
      <c r="Y559" s="59">
        <v>0.84375</v>
      </c>
      <c r="Z559" s="59">
        <v>3.125E-2</v>
      </c>
      <c r="AA559">
        <v>12</v>
      </c>
      <c r="AB559">
        <v>8.8659999999999997</v>
      </c>
      <c r="AC559">
        <v>15</v>
      </c>
      <c r="AD559">
        <v>7.125</v>
      </c>
      <c r="AE559" s="59">
        <v>0.8125</v>
      </c>
      <c r="AF559" s="59">
        <v>0.84305555555555556</v>
      </c>
      <c r="AG559">
        <v>37.5</v>
      </c>
    </row>
    <row r="560" spans="1:33" x14ac:dyDescent="0.25">
      <c r="A560" t="s">
        <v>258</v>
      </c>
      <c r="B560" t="s">
        <v>314</v>
      </c>
      <c r="C560" t="s">
        <v>315</v>
      </c>
      <c r="D560">
        <v>72</v>
      </c>
      <c r="E560" t="s">
        <v>316</v>
      </c>
      <c r="F560" t="s">
        <v>317</v>
      </c>
      <c r="G560" t="s">
        <v>218</v>
      </c>
      <c r="H560" t="s">
        <v>168</v>
      </c>
      <c r="I560" t="s">
        <v>169</v>
      </c>
      <c r="J560" t="s">
        <v>258</v>
      </c>
      <c r="K560" t="s">
        <v>360</v>
      </c>
      <c r="L560" t="s">
        <v>358</v>
      </c>
      <c r="N560" t="s">
        <v>361</v>
      </c>
      <c r="O560" t="s">
        <v>134</v>
      </c>
      <c r="Q560" t="s">
        <v>208</v>
      </c>
      <c r="R560" t="s">
        <v>170</v>
      </c>
      <c r="S560" t="s">
        <v>128</v>
      </c>
      <c r="T560" t="s">
        <v>181</v>
      </c>
      <c r="U560" t="s">
        <v>129</v>
      </c>
      <c r="V560" t="s">
        <v>76</v>
      </c>
      <c r="W560" s="58">
        <v>43350</v>
      </c>
      <c r="X560" s="59">
        <v>0.33333333333333331</v>
      </c>
      <c r="Y560" s="59">
        <v>0.35416666666666669</v>
      </c>
      <c r="Z560" s="59">
        <v>2.0833333333333332E-2</v>
      </c>
      <c r="AA560">
        <v>10</v>
      </c>
      <c r="AC560">
        <v>11.5</v>
      </c>
      <c r="AD560">
        <v>4.75</v>
      </c>
      <c r="AE560" s="59">
        <v>0.33333333333333331</v>
      </c>
      <c r="AF560" s="59">
        <v>0.35347222222222219</v>
      </c>
      <c r="AG560">
        <v>37.5</v>
      </c>
    </row>
    <row r="561" spans="1:33" x14ac:dyDescent="0.25">
      <c r="B561" t="s">
        <v>307</v>
      </c>
      <c r="C561" t="s">
        <v>308</v>
      </c>
      <c r="D561" t="s">
        <v>309</v>
      </c>
      <c r="E561" t="s">
        <v>134</v>
      </c>
      <c r="H561" t="s">
        <v>171</v>
      </c>
      <c r="I561" t="s">
        <v>169</v>
      </c>
      <c r="J561" t="s">
        <v>258</v>
      </c>
      <c r="K561" t="s">
        <v>360</v>
      </c>
      <c r="L561" t="s">
        <v>358</v>
      </c>
      <c r="N561" t="s">
        <v>361</v>
      </c>
      <c r="O561" t="s">
        <v>134</v>
      </c>
      <c r="Q561" t="s">
        <v>208</v>
      </c>
      <c r="R561" t="s">
        <v>172</v>
      </c>
      <c r="S561" t="s">
        <v>128</v>
      </c>
      <c r="T561" t="s">
        <v>181</v>
      </c>
      <c r="U561" t="s">
        <v>129</v>
      </c>
      <c r="V561" t="s">
        <v>76</v>
      </c>
      <c r="W561" s="58">
        <v>43350</v>
      </c>
      <c r="X561" s="59">
        <v>0.3576388888888889</v>
      </c>
      <c r="Y561" s="59">
        <v>0.40972222222222227</v>
      </c>
      <c r="Z561" s="59">
        <v>5.2083333333333336E-2</v>
      </c>
      <c r="AA561">
        <v>2</v>
      </c>
      <c r="AB561">
        <v>0.62839999999999996</v>
      </c>
      <c r="AC561">
        <v>28.75</v>
      </c>
      <c r="AD561">
        <v>11.875</v>
      </c>
      <c r="AE561" s="59">
        <v>0.3576388888888889</v>
      </c>
      <c r="AF561" s="59">
        <v>0.40902777777777777</v>
      </c>
      <c r="AG561">
        <v>37.5</v>
      </c>
    </row>
    <row r="562" spans="1:33" x14ac:dyDescent="0.25">
      <c r="A562" t="s">
        <v>258</v>
      </c>
      <c r="B562" t="s">
        <v>362</v>
      </c>
      <c r="C562" t="s">
        <v>363</v>
      </c>
      <c r="E562" t="s">
        <v>364</v>
      </c>
      <c r="F562" t="s">
        <v>134</v>
      </c>
      <c r="H562" t="s">
        <v>209</v>
      </c>
      <c r="I562" t="s">
        <v>147</v>
      </c>
      <c r="J562" t="s">
        <v>258</v>
      </c>
      <c r="K562" t="s">
        <v>360</v>
      </c>
      <c r="L562" t="s">
        <v>358</v>
      </c>
      <c r="N562" t="s">
        <v>361</v>
      </c>
      <c r="O562" t="s">
        <v>134</v>
      </c>
      <c r="Q562" t="s">
        <v>208</v>
      </c>
      <c r="R562" t="s">
        <v>210</v>
      </c>
      <c r="S562" t="s">
        <v>128</v>
      </c>
      <c r="T562" t="s">
        <v>181</v>
      </c>
      <c r="U562" t="s">
        <v>129</v>
      </c>
      <c r="V562" t="s">
        <v>76</v>
      </c>
      <c r="W562" s="58">
        <v>43350</v>
      </c>
      <c r="X562" s="59">
        <v>0.41666666666666669</v>
      </c>
      <c r="Y562" s="59">
        <v>0.44791666666666669</v>
      </c>
      <c r="Z562" s="59">
        <v>3.125E-2</v>
      </c>
      <c r="AA562">
        <v>7</v>
      </c>
      <c r="AB562">
        <v>3.5966</v>
      </c>
      <c r="AC562">
        <v>17.25</v>
      </c>
      <c r="AD562">
        <v>7.125</v>
      </c>
      <c r="AE562" s="59">
        <v>0.41666666666666669</v>
      </c>
      <c r="AF562" s="59">
        <v>0.44722222222222219</v>
      </c>
      <c r="AG562">
        <v>37.5</v>
      </c>
    </row>
    <row r="563" spans="1:33" x14ac:dyDescent="0.25">
      <c r="A563" t="s">
        <v>274</v>
      </c>
      <c r="B563" t="s">
        <v>336</v>
      </c>
      <c r="C563" t="s">
        <v>337</v>
      </c>
      <c r="E563" t="s">
        <v>338</v>
      </c>
      <c r="F563" t="s">
        <v>134</v>
      </c>
      <c r="H563" t="s">
        <v>186</v>
      </c>
      <c r="I563" t="s">
        <v>147</v>
      </c>
      <c r="J563" t="s">
        <v>258</v>
      </c>
      <c r="K563" t="s">
        <v>360</v>
      </c>
      <c r="L563" t="s">
        <v>358</v>
      </c>
      <c r="N563" t="s">
        <v>361</v>
      </c>
      <c r="O563" t="s">
        <v>134</v>
      </c>
      <c r="Q563" t="s">
        <v>208</v>
      </c>
      <c r="R563" t="s">
        <v>187</v>
      </c>
      <c r="S563" t="s">
        <v>128</v>
      </c>
      <c r="T563" t="s">
        <v>181</v>
      </c>
      <c r="U563" t="s">
        <v>151</v>
      </c>
      <c r="V563" t="s">
        <v>76</v>
      </c>
      <c r="W563" s="58">
        <v>43350</v>
      </c>
      <c r="X563" s="59">
        <v>0.47916666666666669</v>
      </c>
      <c r="Y563" s="59">
        <v>0.5625</v>
      </c>
      <c r="Z563" s="59">
        <v>8.3333333333333329E-2</v>
      </c>
      <c r="AA563">
        <v>2</v>
      </c>
      <c r="AB563">
        <v>1.3011999999999999</v>
      </c>
      <c r="AC563">
        <v>40</v>
      </c>
      <c r="AD563">
        <v>19</v>
      </c>
      <c r="AE563" s="59">
        <v>0.47916666666666669</v>
      </c>
      <c r="AF563" s="59">
        <v>0.56180555555555556</v>
      </c>
      <c r="AG563">
        <v>37.5</v>
      </c>
    </row>
    <row r="564" spans="1:33" x14ac:dyDescent="0.25">
      <c r="B564" t="s">
        <v>307</v>
      </c>
      <c r="C564" t="s">
        <v>308</v>
      </c>
      <c r="D564" t="s">
        <v>309</v>
      </c>
      <c r="E564" t="s">
        <v>134</v>
      </c>
      <c r="H564" t="s">
        <v>171</v>
      </c>
      <c r="I564" t="s">
        <v>169</v>
      </c>
      <c r="J564" t="s">
        <v>258</v>
      </c>
      <c r="K564" t="s">
        <v>360</v>
      </c>
      <c r="L564" t="s">
        <v>358</v>
      </c>
      <c r="N564" t="s">
        <v>361</v>
      </c>
      <c r="O564" t="s">
        <v>134</v>
      </c>
      <c r="Q564" t="s">
        <v>208</v>
      </c>
      <c r="R564" t="s">
        <v>172</v>
      </c>
      <c r="S564" t="s">
        <v>128</v>
      </c>
      <c r="T564" t="s">
        <v>181</v>
      </c>
      <c r="U564" t="s">
        <v>129</v>
      </c>
      <c r="V564" t="s">
        <v>76</v>
      </c>
      <c r="W564" s="58">
        <v>43350</v>
      </c>
      <c r="X564" s="59">
        <v>0.65277777777777779</v>
      </c>
      <c r="Y564" s="59">
        <v>0.69444444444444453</v>
      </c>
      <c r="Z564" s="59">
        <v>4.1666666666666664E-2</v>
      </c>
      <c r="AA564">
        <v>7</v>
      </c>
      <c r="AB564">
        <v>4.6454000000000004</v>
      </c>
      <c r="AC564">
        <v>23</v>
      </c>
      <c r="AD564">
        <v>9.5</v>
      </c>
      <c r="AE564" s="59">
        <v>0.65277777777777779</v>
      </c>
      <c r="AF564" s="59">
        <v>0.69374999999999998</v>
      </c>
      <c r="AG564">
        <v>37.5</v>
      </c>
    </row>
    <row r="565" spans="1:33" x14ac:dyDescent="0.25">
      <c r="A565" t="s">
        <v>258</v>
      </c>
      <c r="B565" t="s">
        <v>278</v>
      </c>
      <c r="C565" t="s">
        <v>279</v>
      </c>
      <c r="E565" t="s">
        <v>280</v>
      </c>
      <c r="F565" t="s">
        <v>134</v>
      </c>
      <c r="H565" t="s">
        <v>144</v>
      </c>
      <c r="I565" t="s">
        <v>133</v>
      </c>
      <c r="J565" t="s">
        <v>258</v>
      </c>
      <c r="K565" t="s">
        <v>360</v>
      </c>
      <c r="L565" t="s">
        <v>358</v>
      </c>
      <c r="N565" t="s">
        <v>361</v>
      </c>
      <c r="O565" t="s">
        <v>134</v>
      </c>
      <c r="Q565" t="s">
        <v>208</v>
      </c>
      <c r="R565" t="s">
        <v>145</v>
      </c>
      <c r="S565" t="s">
        <v>128</v>
      </c>
      <c r="T565" t="s">
        <v>181</v>
      </c>
      <c r="U565" t="s">
        <v>129</v>
      </c>
      <c r="V565" t="s">
        <v>76</v>
      </c>
      <c r="W565" s="58">
        <v>43350</v>
      </c>
      <c r="X565" s="59">
        <v>0.70833333333333337</v>
      </c>
      <c r="Y565" s="59">
        <v>0.75</v>
      </c>
      <c r="Z565" s="59">
        <v>4.1666666666666664E-2</v>
      </c>
      <c r="AA565">
        <v>10</v>
      </c>
      <c r="AB565">
        <v>6.3113999999999999</v>
      </c>
      <c r="AC565">
        <v>23</v>
      </c>
      <c r="AD565">
        <v>9.5</v>
      </c>
      <c r="AE565" s="59">
        <v>0.70833333333333337</v>
      </c>
      <c r="AF565" s="59">
        <v>0.74930555555555556</v>
      </c>
      <c r="AG565">
        <v>37.5</v>
      </c>
    </row>
    <row r="566" spans="1:33" x14ac:dyDescent="0.25">
      <c r="A566" t="s">
        <v>258</v>
      </c>
      <c r="B566" t="s">
        <v>270</v>
      </c>
      <c r="C566" t="s">
        <v>271</v>
      </c>
      <c r="D566" t="s">
        <v>272</v>
      </c>
      <c r="E566" t="s">
        <v>273</v>
      </c>
      <c r="F566" t="s">
        <v>134</v>
      </c>
      <c r="H566" t="s">
        <v>138</v>
      </c>
      <c r="I566" t="s">
        <v>139</v>
      </c>
      <c r="J566" t="s">
        <v>258</v>
      </c>
      <c r="K566" t="s">
        <v>360</v>
      </c>
      <c r="L566" t="s">
        <v>358</v>
      </c>
      <c r="N566" t="s">
        <v>361</v>
      </c>
      <c r="O566" t="s">
        <v>134</v>
      </c>
      <c r="Q566" t="s">
        <v>208</v>
      </c>
      <c r="R566" t="s">
        <v>140</v>
      </c>
      <c r="S566" t="s">
        <v>128</v>
      </c>
      <c r="T566" t="s">
        <v>181</v>
      </c>
      <c r="U566" t="s">
        <v>129</v>
      </c>
      <c r="V566" t="s">
        <v>76</v>
      </c>
      <c r="W566" s="58">
        <v>43350</v>
      </c>
      <c r="X566" s="59">
        <v>0.76041666666666663</v>
      </c>
      <c r="Y566" s="59">
        <v>0.80208333333333337</v>
      </c>
      <c r="Z566" s="59">
        <v>4.1666666666666664E-2</v>
      </c>
      <c r="AA566">
        <v>5</v>
      </c>
      <c r="AB566">
        <v>2.2465999999999999</v>
      </c>
      <c r="AC566">
        <v>23</v>
      </c>
      <c r="AD566">
        <v>9.5</v>
      </c>
      <c r="AE566" s="59">
        <v>0.76041666666666663</v>
      </c>
      <c r="AF566" s="59">
        <v>0.80138888888888893</v>
      </c>
      <c r="AG566">
        <v>37.5</v>
      </c>
    </row>
    <row r="567" spans="1:33" x14ac:dyDescent="0.25">
      <c r="A567" t="s">
        <v>258</v>
      </c>
      <c r="B567" t="s">
        <v>314</v>
      </c>
      <c r="C567" t="s">
        <v>315</v>
      </c>
      <c r="D567">
        <v>72</v>
      </c>
      <c r="E567" t="s">
        <v>316</v>
      </c>
      <c r="F567" t="s">
        <v>317</v>
      </c>
      <c r="G567" t="s">
        <v>218</v>
      </c>
      <c r="H567" t="s">
        <v>168</v>
      </c>
      <c r="I567" t="s">
        <v>169</v>
      </c>
      <c r="J567" t="s">
        <v>258</v>
      </c>
      <c r="K567" t="s">
        <v>360</v>
      </c>
      <c r="L567" t="s">
        <v>358</v>
      </c>
      <c r="N567" t="s">
        <v>361</v>
      </c>
      <c r="O567" t="s">
        <v>134</v>
      </c>
      <c r="Q567" t="s">
        <v>208</v>
      </c>
      <c r="R567" t="s">
        <v>170</v>
      </c>
      <c r="S567" t="s">
        <v>128</v>
      </c>
      <c r="T567" t="s">
        <v>181</v>
      </c>
      <c r="U567" t="s">
        <v>129</v>
      </c>
      <c r="V567" t="s">
        <v>77</v>
      </c>
      <c r="W567" s="58">
        <v>43351</v>
      </c>
      <c r="X567" s="59">
        <v>0.33333333333333331</v>
      </c>
      <c r="Y567" s="59">
        <v>0.35416666666666669</v>
      </c>
      <c r="Z567" s="59">
        <v>2.0833333333333332E-2</v>
      </c>
      <c r="AA567">
        <v>0</v>
      </c>
      <c r="AC567">
        <v>11.5</v>
      </c>
      <c r="AD567">
        <v>5.25</v>
      </c>
      <c r="AE567" s="59">
        <v>0.33333333333333331</v>
      </c>
      <c r="AF567" s="59">
        <v>0.35347222222222219</v>
      </c>
      <c r="AG567">
        <v>37.5</v>
      </c>
    </row>
    <row r="568" spans="1:33" x14ac:dyDescent="0.25">
      <c r="B568" t="s">
        <v>307</v>
      </c>
      <c r="C568" t="s">
        <v>308</v>
      </c>
      <c r="D568" t="s">
        <v>309</v>
      </c>
      <c r="E568" t="s">
        <v>134</v>
      </c>
      <c r="H568" t="s">
        <v>171</v>
      </c>
      <c r="I568" t="s">
        <v>169</v>
      </c>
      <c r="J568" t="s">
        <v>258</v>
      </c>
      <c r="K568" t="s">
        <v>360</v>
      </c>
      <c r="L568" t="s">
        <v>358</v>
      </c>
      <c r="N568" t="s">
        <v>361</v>
      </c>
      <c r="O568" t="s">
        <v>134</v>
      </c>
      <c r="Q568" t="s">
        <v>208</v>
      </c>
      <c r="R568" t="s">
        <v>172</v>
      </c>
      <c r="S568" t="s">
        <v>128</v>
      </c>
      <c r="T568" t="s">
        <v>181</v>
      </c>
      <c r="U568" t="s">
        <v>129</v>
      </c>
      <c r="V568" t="s">
        <v>77</v>
      </c>
      <c r="W568" s="58">
        <v>43351</v>
      </c>
      <c r="X568" s="59">
        <v>0.3611111111111111</v>
      </c>
      <c r="Y568" s="59">
        <v>0.41319444444444442</v>
      </c>
      <c r="Z568" s="59">
        <v>5.2083333333333336E-2</v>
      </c>
      <c r="AA568">
        <v>2</v>
      </c>
      <c r="AB568">
        <v>0.62839999999999996</v>
      </c>
      <c r="AC568">
        <v>28.75</v>
      </c>
      <c r="AD568">
        <v>13.125</v>
      </c>
      <c r="AE568" s="59">
        <v>0.3611111111111111</v>
      </c>
      <c r="AF568" s="59">
        <v>0.41250000000000003</v>
      </c>
      <c r="AG568">
        <v>37.5</v>
      </c>
    </row>
    <row r="569" spans="1:33" x14ac:dyDescent="0.25">
      <c r="A569" t="s">
        <v>258</v>
      </c>
      <c r="B569" t="s">
        <v>278</v>
      </c>
      <c r="C569" t="s">
        <v>279</v>
      </c>
      <c r="E569" t="s">
        <v>280</v>
      </c>
      <c r="F569" t="s">
        <v>134</v>
      </c>
      <c r="H569" t="s">
        <v>144</v>
      </c>
      <c r="I569" t="s">
        <v>133</v>
      </c>
      <c r="J569" t="s">
        <v>258</v>
      </c>
      <c r="K569" t="s">
        <v>360</v>
      </c>
      <c r="L569" t="s">
        <v>358</v>
      </c>
      <c r="N569" t="s">
        <v>361</v>
      </c>
      <c r="O569" t="s">
        <v>134</v>
      </c>
      <c r="Q569" t="s">
        <v>208</v>
      </c>
      <c r="R569" t="s">
        <v>145</v>
      </c>
      <c r="S569" t="s">
        <v>128</v>
      </c>
      <c r="T569" t="s">
        <v>181</v>
      </c>
      <c r="U569" t="s">
        <v>129</v>
      </c>
      <c r="V569" t="s">
        <v>77</v>
      </c>
      <c r="W569" s="58">
        <v>43351</v>
      </c>
      <c r="X569" s="59">
        <v>0.42708333333333331</v>
      </c>
      <c r="Y569" s="59">
        <v>0.46875</v>
      </c>
      <c r="Z569" s="59">
        <v>4.1666666666666664E-2</v>
      </c>
      <c r="AA569">
        <v>10</v>
      </c>
      <c r="AB569">
        <v>6.3113999999999999</v>
      </c>
      <c r="AC569">
        <v>23</v>
      </c>
      <c r="AD569">
        <v>10.5</v>
      </c>
      <c r="AE569" s="59">
        <v>0.42708333333333331</v>
      </c>
      <c r="AF569" s="59">
        <v>0.4680555555555555</v>
      </c>
      <c r="AG569">
        <v>37.5</v>
      </c>
    </row>
    <row r="570" spans="1:33" x14ac:dyDescent="0.25">
      <c r="B570" t="s">
        <v>307</v>
      </c>
      <c r="C570" t="s">
        <v>308</v>
      </c>
      <c r="D570" t="s">
        <v>309</v>
      </c>
      <c r="E570" t="s">
        <v>134</v>
      </c>
      <c r="H570" t="s">
        <v>171</v>
      </c>
      <c r="I570" t="s">
        <v>169</v>
      </c>
      <c r="J570" t="s">
        <v>258</v>
      </c>
      <c r="K570" t="s">
        <v>360</v>
      </c>
      <c r="L570" t="s">
        <v>358</v>
      </c>
      <c r="N570" t="s">
        <v>361</v>
      </c>
      <c r="O570" t="s">
        <v>134</v>
      </c>
      <c r="Q570" t="s">
        <v>208</v>
      </c>
      <c r="R570" t="s">
        <v>172</v>
      </c>
      <c r="S570" t="s">
        <v>128</v>
      </c>
      <c r="T570" t="s">
        <v>181</v>
      </c>
      <c r="U570" t="s">
        <v>129</v>
      </c>
      <c r="V570" t="s">
        <v>77</v>
      </c>
      <c r="W570" s="58">
        <v>43351</v>
      </c>
      <c r="X570" s="59">
        <v>0.65416666666666667</v>
      </c>
      <c r="Y570" s="59">
        <v>0.6958333333333333</v>
      </c>
      <c r="Z570" s="59">
        <v>4.1666666666666664E-2</v>
      </c>
      <c r="AA570">
        <v>0</v>
      </c>
      <c r="AC570">
        <v>23</v>
      </c>
      <c r="AD570">
        <v>10.5</v>
      </c>
      <c r="AE570" s="59">
        <v>0.65416666666666667</v>
      </c>
      <c r="AF570" s="59">
        <v>0.69513888888888886</v>
      </c>
      <c r="AG570">
        <v>37.5</v>
      </c>
    </row>
    <row r="571" spans="1:33" x14ac:dyDescent="0.25">
      <c r="A571" t="s">
        <v>258</v>
      </c>
      <c r="B571" t="s">
        <v>314</v>
      </c>
      <c r="C571" t="s">
        <v>315</v>
      </c>
      <c r="D571">
        <v>72</v>
      </c>
      <c r="E571" t="s">
        <v>316</v>
      </c>
      <c r="F571" t="s">
        <v>317</v>
      </c>
      <c r="G571" t="s">
        <v>218</v>
      </c>
      <c r="H571" t="s">
        <v>168</v>
      </c>
      <c r="I571" t="s">
        <v>169</v>
      </c>
      <c r="J571" t="s">
        <v>258</v>
      </c>
      <c r="K571" t="s">
        <v>360</v>
      </c>
      <c r="L571" t="s">
        <v>358</v>
      </c>
      <c r="N571" t="s">
        <v>361</v>
      </c>
      <c r="O571" t="s">
        <v>134</v>
      </c>
      <c r="Q571" t="s">
        <v>208</v>
      </c>
      <c r="R571" t="s">
        <v>170</v>
      </c>
      <c r="S571" t="s">
        <v>128</v>
      </c>
      <c r="T571" t="s">
        <v>181</v>
      </c>
      <c r="U571" t="s">
        <v>129</v>
      </c>
      <c r="V571" t="s">
        <v>77</v>
      </c>
      <c r="W571" s="58">
        <v>43351</v>
      </c>
      <c r="X571" s="59">
        <v>0.70416666666666661</v>
      </c>
      <c r="Y571" s="59">
        <v>0.74583333333333324</v>
      </c>
      <c r="Z571" s="59">
        <v>4.1666666666666664E-2</v>
      </c>
      <c r="AA571">
        <v>2</v>
      </c>
      <c r="AB571">
        <v>0.62839999999999996</v>
      </c>
      <c r="AC571">
        <v>23</v>
      </c>
      <c r="AD571">
        <v>10.5</v>
      </c>
      <c r="AE571" s="59">
        <v>0.70416666666666661</v>
      </c>
      <c r="AF571" s="59">
        <v>0.74513888888888891</v>
      </c>
      <c r="AG571">
        <v>37.5</v>
      </c>
    </row>
    <row r="572" spans="1:33" x14ac:dyDescent="0.25">
      <c r="A572" t="s">
        <v>258</v>
      </c>
      <c r="B572" t="s">
        <v>270</v>
      </c>
      <c r="C572" t="s">
        <v>271</v>
      </c>
      <c r="D572" t="s">
        <v>272</v>
      </c>
      <c r="E572" t="s">
        <v>273</v>
      </c>
      <c r="F572" t="s">
        <v>134</v>
      </c>
      <c r="H572" t="s">
        <v>138</v>
      </c>
      <c r="I572" t="s">
        <v>139</v>
      </c>
      <c r="J572" t="s">
        <v>258</v>
      </c>
      <c r="K572" t="s">
        <v>360</v>
      </c>
      <c r="L572" t="s">
        <v>358</v>
      </c>
      <c r="N572" t="s">
        <v>361</v>
      </c>
      <c r="O572" t="s">
        <v>134</v>
      </c>
      <c r="Q572" t="s">
        <v>208</v>
      </c>
      <c r="R572" t="s">
        <v>140</v>
      </c>
      <c r="S572" t="s">
        <v>128</v>
      </c>
      <c r="T572" t="s">
        <v>181</v>
      </c>
      <c r="U572" t="s">
        <v>129</v>
      </c>
      <c r="V572" t="s">
        <v>77</v>
      </c>
      <c r="W572" s="58">
        <v>43351</v>
      </c>
      <c r="X572" s="59">
        <v>0.76041666666666663</v>
      </c>
      <c r="Y572" s="59">
        <v>0.80208333333333337</v>
      </c>
      <c r="Z572" s="59">
        <v>4.1666666666666664E-2</v>
      </c>
      <c r="AA572">
        <v>10</v>
      </c>
      <c r="AB572">
        <v>6.5953999999999997</v>
      </c>
      <c r="AC572">
        <v>23</v>
      </c>
      <c r="AD572">
        <v>10.5</v>
      </c>
      <c r="AE572" s="59">
        <v>0.76041666666666663</v>
      </c>
      <c r="AF572" s="59">
        <v>0.80138888888888893</v>
      </c>
      <c r="AG572">
        <v>37.5</v>
      </c>
    </row>
    <row r="573" spans="1:33" x14ac:dyDescent="0.25">
      <c r="A573" t="s">
        <v>274</v>
      </c>
      <c r="B573" t="s">
        <v>275</v>
      </c>
      <c r="C573" t="s">
        <v>276</v>
      </c>
      <c r="E573" t="s">
        <v>277</v>
      </c>
      <c r="F573" t="s">
        <v>134</v>
      </c>
      <c r="H573" t="s">
        <v>141</v>
      </c>
      <c r="I573" t="s">
        <v>142</v>
      </c>
      <c r="J573" t="s">
        <v>258</v>
      </c>
      <c r="K573" t="s">
        <v>360</v>
      </c>
      <c r="L573" t="s">
        <v>358</v>
      </c>
      <c r="N573" t="s">
        <v>361</v>
      </c>
      <c r="O573" t="s">
        <v>134</v>
      </c>
      <c r="Q573" t="s">
        <v>208</v>
      </c>
      <c r="R573" t="s">
        <v>143</v>
      </c>
      <c r="S573" t="s">
        <v>128</v>
      </c>
      <c r="T573" t="s">
        <v>181</v>
      </c>
      <c r="U573" t="s">
        <v>129</v>
      </c>
      <c r="V573" t="s">
        <v>77</v>
      </c>
      <c r="W573" s="58">
        <v>43351</v>
      </c>
      <c r="X573" s="59">
        <v>0.8125</v>
      </c>
      <c r="Y573" s="59">
        <v>0.83333333333333337</v>
      </c>
      <c r="Z573" s="59">
        <v>2.0833333333333332E-2</v>
      </c>
      <c r="AA573">
        <v>2</v>
      </c>
      <c r="AB573">
        <v>0.9</v>
      </c>
      <c r="AC573">
        <v>11.5</v>
      </c>
      <c r="AD573">
        <v>5.25</v>
      </c>
      <c r="AE573" s="59">
        <v>0.8125</v>
      </c>
      <c r="AF573" s="59">
        <v>0.83263888888888893</v>
      </c>
      <c r="AG573">
        <v>37.5</v>
      </c>
    </row>
    <row r="574" spans="1:33" x14ac:dyDescent="0.25">
      <c r="A574" t="s">
        <v>274</v>
      </c>
      <c r="B574" t="s">
        <v>321</v>
      </c>
      <c r="C574" t="s">
        <v>322</v>
      </c>
      <c r="D574" t="s">
        <v>323</v>
      </c>
      <c r="E574" t="s">
        <v>324</v>
      </c>
      <c r="F574" t="s">
        <v>134</v>
      </c>
      <c r="H574" t="s">
        <v>184</v>
      </c>
      <c r="I574" t="s">
        <v>147</v>
      </c>
      <c r="J574" t="s">
        <v>258</v>
      </c>
      <c r="K574" t="s">
        <v>360</v>
      </c>
      <c r="L574" t="s">
        <v>358</v>
      </c>
      <c r="N574" t="s">
        <v>361</v>
      </c>
      <c r="O574" t="s">
        <v>134</v>
      </c>
      <c r="Q574" t="s">
        <v>208</v>
      </c>
      <c r="R574" t="s">
        <v>185</v>
      </c>
      <c r="S574" t="s">
        <v>128</v>
      </c>
      <c r="T574" t="s">
        <v>181</v>
      </c>
      <c r="U574" t="s">
        <v>151</v>
      </c>
      <c r="V574" t="s">
        <v>77</v>
      </c>
      <c r="W574" s="58">
        <v>43351</v>
      </c>
      <c r="X574" s="59">
        <v>0.84375</v>
      </c>
      <c r="Y574" s="59">
        <v>0.875</v>
      </c>
      <c r="Z574" s="59">
        <v>3.125E-2</v>
      </c>
      <c r="AA574">
        <v>11</v>
      </c>
      <c r="AB574">
        <v>9.7805999999999997</v>
      </c>
      <c r="AC574">
        <v>15</v>
      </c>
      <c r="AD574">
        <v>7.875</v>
      </c>
      <c r="AE574" s="59">
        <v>0.84375</v>
      </c>
      <c r="AF574" s="59">
        <v>0.87430555555555556</v>
      </c>
      <c r="AG574">
        <v>37.5</v>
      </c>
    </row>
    <row r="575" spans="1:33" x14ac:dyDescent="0.25">
      <c r="A575" t="s">
        <v>258</v>
      </c>
      <c r="B575" t="s">
        <v>310</v>
      </c>
      <c r="C575" t="s">
        <v>311</v>
      </c>
      <c r="D575" t="s">
        <v>312</v>
      </c>
      <c r="E575" t="s">
        <v>313</v>
      </c>
      <c r="F575" t="s">
        <v>134</v>
      </c>
      <c r="H575" t="s">
        <v>175</v>
      </c>
      <c r="I575" t="s">
        <v>127</v>
      </c>
      <c r="J575" t="s">
        <v>258</v>
      </c>
      <c r="K575" t="s">
        <v>360</v>
      </c>
      <c r="L575" t="s">
        <v>358</v>
      </c>
      <c r="N575" t="s">
        <v>361</v>
      </c>
      <c r="O575" t="s">
        <v>134</v>
      </c>
      <c r="Q575" t="s">
        <v>208</v>
      </c>
      <c r="R575" t="s">
        <v>176</v>
      </c>
      <c r="S575" t="s">
        <v>128</v>
      </c>
      <c r="T575" t="s">
        <v>181</v>
      </c>
      <c r="U575" t="s">
        <v>151</v>
      </c>
      <c r="V575" t="s">
        <v>77</v>
      </c>
      <c r="W575" s="58">
        <v>43351</v>
      </c>
      <c r="X575" s="59">
        <v>0.88541666666666663</v>
      </c>
      <c r="Y575" s="59">
        <v>0.90625</v>
      </c>
      <c r="Z575" s="59">
        <v>2.0833333333333332E-2</v>
      </c>
      <c r="AA575">
        <v>7</v>
      </c>
      <c r="AB575">
        <v>4.8944000000000001</v>
      </c>
      <c r="AC575">
        <v>10</v>
      </c>
      <c r="AD575">
        <v>5.25</v>
      </c>
      <c r="AE575" s="59">
        <v>0.88541666666666663</v>
      </c>
      <c r="AF575" s="59">
        <v>0.90555555555555556</v>
      </c>
      <c r="AG575">
        <v>37.5</v>
      </c>
    </row>
    <row r="576" spans="1:33" x14ac:dyDescent="0.25">
      <c r="A576" t="s">
        <v>258</v>
      </c>
      <c r="B576" t="s">
        <v>342</v>
      </c>
      <c r="C576" t="s">
        <v>343</v>
      </c>
      <c r="E576" t="s">
        <v>344</v>
      </c>
      <c r="F576" t="s">
        <v>134</v>
      </c>
      <c r="H576" t="s">
        <v>197</v>
      </c>
      <c r="I576" t="s">
        <v>198</v>
      </c>
      <c r="J576" t="s">
        <v>258</v>
      </c>
      <c r="K576" t="s">
        <v>360</v>
      </c>
      <c r="L576" t="s">
        <v>358</v>
      </c>
      <c r="N576" t="s">
        <v>361</v>
      </c>
      <c r="O576" t="s">
        <v>134</v>
      </c>
      <c r="Q576" t="s">
        <v>208</v>
      </c>
      <c r="R576" t="s">
        <v>199</v>
      </c>
      <c r="S576" t="s">
        <v>128</v>
      </c>
      <c r="T576" t="s">
        <v>181</v>
      </c>
      <c r="U576" t="s">
        <v>151</v>
      </c>
      <c r="V576" t="s">
        <v>71</v>
      </c>
      <c r="W576" s="58">
        <v>43352</v>
      </c>
      <c r="X576" s="59">
        <v>0.33333333333333331</v>
      </c>
      <c r="Y576" s="59">
        <v>0.375</v>
      </c>
      <c r="Z576" s="59">
        <v>4.1666666666666664E-2</v>
      </c>
      <c r="AA576">
        <v>0</v>
      </c>
      <c r="AC576">
        <v>20</v>
      </c>
      <c r="AD576">
        <v>10.5</v>
      </c>
      <c r="AE576" s="59">
        <v>0.33333333333333331</v>
      </c>
      <c r="AF576" s="59">
        <v>0.3743055555555555</v>
      </c>
      <c r="AG576">
        <v>37.5</v>
      </c>
    </row>
    <row r="577" spans="1:33" x14ac:dyDescent="0.25">
      <c r="A577" t="s">
        <v>274</v>
      </c>
      <c r="B577" t="s">
        <v>334</v>
      </c>
      <c r="C577" t="s">
        <v>285</v>
      </c>
      <c r="E577" t="s">
        <v>335</v>
      </c>
      <c r="F577" t="s">
        <v>134</v>
      </c>
      <c r="H577" t="s">
        <v>192</v>
      </c>
      <c r="I577" t="s">
        <v>155</v>
      </c>
      <c r="J577" t="s">
        <v>258</v>
      </c>
      <c r="K577" t="s">
        <v>360</v>
      </c>
      <c r="L577" t="s">
        <v>358</v>
      </c>
      <c r="N577" t="s">
        <v>361</v>
      </c>
      <c r="O577" t="s">
        <v>134</v>
      </c>
      <c r="Q577" t="s">
        <v>208</v>
      </c>
      <c r="R577" t="s">
        <v>193</v>
      </c>
      <c r="S577" t="s">
        <v>128</v>
      </c>
      <c r="T577" t="s">
        <v>181</v>
      </c>
      <c r="U577" t="s">
        <v>129</v>
      </c>
      <c r="V577" t="s">
        <v>71</v>
      </c>
      <c r="W577" s="58">
        <v>43352</v>
      </c>
      <c r="X577" s="59">
        <v>0.38541666666666669</v>
      </c>
      <c r="Y577" s="59">
        <v>0.42708333333333331</v>
      </c>
      <c r="Z577" s="59">
        <v>4.1666666666666664E-2</v>
      </c>
      <c r="AA577">
        <v>4</v>
      </c>
      <c r="AB577">
        <v>2.1818</v>
      </c>
      <c r="AC577">
        <v>23</v>
      </c>
      <c r="AD577">
        <v>10.5</v>
      </c>
      <c r="AE577" s="59">
        <v>0.38541666666666669</v>
      </c>
      <c r="AF577" s="59">
        <v>0.42638888888888887</v>
      </c>
      <c r="AG577">
        <v>37.5</v>
      </c>
    </row>
    <row r="578" spans="1:33" x14ac:dyDescent="0.25">
      <c r="A578" t="s">
        <v>258</v>
      </c>
      <c r="B578" t="s">
        <v>354</v>
      </c>
      <c r="C578" t="s">
        <v>355</v>
      </c>
      <c r="E578" t="s">
        <v>356</v>
      </c>
      <c r="F578" t="s">
        <v>134</v>
      </c>
      <c r="H578" t="s">
        <v>205</v>
      </c>
      <c r="I578" t="s">
        <v>198</v>
      </c>
      <c r="J578" t="s">
        <v>258</v>
      </c>
      <c r="K578" t="s">
        <v>360</v>
      </c>
      <c r="L578" t="s">
        <v>358</v>
      </c>
      <c r="N578" t="s">
        <v>361</v>
      </c>
      <c r="O578" t="s">
        <v>134</v>
      </c>
      <c r="Q578" t="s">
        <v>208</v>
      </c>
      <c r="R578" t="s">
        <v>206</v>
      </c>
      <c r="S578" t="s">
        <v>128</v>
      </c>
      <c r="T578" t="s">
        <v>181</v>
      </c>
      <c r="U578" t="s">
        <v>129</v>
      </c>
      <c r="V578" t="s">
        <v>71</v>
      </c>
      <c r="W578" s="58">
        <v>43352</v>
      </c>
      <c r="X578" s="59">
        <v>0.43402777777777773</v>
      </c>
      <c r="Y578" s="59">
        <v>0.47569444444444442</v>
      </c>
      <c r="Z578" s="59">
        <v>4.1666666666666664E-2</v>
      </c>
      <c r="AA578">
        <v>8</v>
      </c>
      <c r="AB578">
        <v>3.5215999999999998</v>
      </c>
      <c r="AC578">
        <v>23</v>
      </c>
      <c r="AD578">
        <v>10.5</v>
      </c>
      <c r="AE578" s="59">
        <v>0.43402777777777773</v>
      </c>
      <c r="AF578" s="59">
        <v>0.47500000000000003</v>
      </c>
      <c r="AG578">
        <v>37.5</v>
      </c>
    </row>
    <row r="579" spans="1:33" x14ac:dyDescent="0.25">
      <c r="A579" t="s">
        <v>258</v>
      </c>
      <c r="B579" t="s">
        <v>281</v>
      </c>
      <c r="C579" t="s">
        <v>282</v>
      </c>
      <c r="E579" t="s">
        <v>283</v>
      </c>
      <c r="F579" t="s">
        <v>134</v>
      </c>
      <c r="G579" t="s">
        <v>218</v>
      </c>
      <c r="H579" t="s">
        <v>146</v>
      </c>
      <c r="I579" t="s">
        <v>147</v>
      </c>
      <c r="J579" t="s">
        <v>258</v>
      </c>
      <c r="K579" t="s">
        <v>360</v>
      </c>
      <c r="L579" t="s">
        <v>358</v>
      </c>
      <c r="N579" t="s">
        <v>361</v>
      </c>
      <c r="O579" t="s">
        <v>134</v>
      </c>
      <c r="Q579" t="s">
        <v>208</v>
      </c>
      <c r="R579" t="s">
        <v>148</v>
      </c>
      <c r="S579" t="s">
        <v>128</v>
      </c>
      <c r="T579" t="s">
        <v>181</v>
      </c>
      <c r="U579" t="s">
        <v>129</v>
      </c>
      <c r="V579" t="s">
        <v>71</v>
      </c>
      <c r="W579" s="58">
        <v>43352</v>
      </c>
      <c r="X579" s="59">
        <v>0.47916666666666669</v>
      </c>
      <c r="Y579" s="59">
        <v>0.52083333333333337</v>
      </c>
      <c r="Z579" s="59">
        <v>4.1666666666666664E-2</v>
      </c>
      <c r="AA579">
        <v>8</v>
      </c>
      <c r="AB579">
        <v>6.0045999999999999</v>
      </c>
      <c r="AC579">
        <v>23</v>
      </c>
      <c r="AD579">
        <v>10.5</v>
      </c>
      <c r="AE579" s="59">
        <v>0.47916666666666669</v>
      </c>
      <c r="AF579" s="59">
        <v>0.52013888888888882</v>
      </c>
      <c r="AG579">
        <v>37.5</v>
      </c>
    </row>
    <row r="580" spans="1:33" x14ac:dyDescent="0.25">
      <c r="B580" t="s">
        <v>307</v>
      </c>
      <c r="C580" t="s">
        <v>308</v>
      </c>
      <c r="D580" t="s">
        <v>309</v>
      </c>
      <c r="E580" t="s">
        <v>134</v>
      </c>
      <c r="H580" t="s">
        <v>171</v>
      </c>
      <c r="I580" t="s">
        <v>169</v>
      </c>
      <c r="J580" t="s">
        <v>258</v>
      </c>
      <c r="K580" t="s">
        <v>360</v>
      </c>
      <c r="L580" t="s">
        <v>358</v>
      </c>
      <c r="N580" t="s">
        <v>361</v>
      </c>
      <c r="O580" t="s">
        <v>134</v>
      </c>
      <c r="Q580" t="s">
        <v>208</v>
      </c>
      <c r="R580" t="s">
        <v>172</v>
      </c>
      <c r="S580" t="s">
        <v>128</v>
      </c>
      <c r="T580" t="s">
        <v>181</v>
      </c>
      <c r="U580" t="s">
        <v>129</v>
      </c>
      <c r="V580" t="s">
        <v>71</v>
      </c>
      <c r="W580" s="58">
        <v>43352</v>
      </c>
      <c r="X580" s="59">
        <v>0.6875</v>
      </c>
      <c r="Y580" s="59">
        <v>0.72916666666666663</v>
      </c>
      <c r="Z580" s="59">
        <v>4.1666666666666664E-2</v>
      </c>
      <c r="AA580">
        <v>0</v>
      </c>
      <c r="AC580">
        <v>23</v>
      </c>
      <c r="AD580">
        <v>10.5</v>
      </c>
      <c r="AE580" s="59">
        <v>0.6875</v>
      </c>
      <c r="AF580" s="59">
        <v>0.7284722222222223</v>
      </c>
      <c r="AG580">
        <v>37.5</v>
      </c>
    </row>
    <row r="581" spans="1:33" x14ac:dyDescent="0.25">
      <c r="A581" t="s">
        <v>274</v>
      </c>
      <c r="B581" t="s">
        <v>334</v>
      </c>
      <c r="C581" t="s">
        <v>285</v>
      </c>
      <c r="E581" t="s">
        <v>335</v>
      </c>
      <c r="F581" t="s">
        <v>134</v>
      </c>
      <c r="H581" t="s">
        <v>192</v>
      </c>
      <c r="I581" t="s">
        <v>155</v>
      </c>
      <c r="J581" t="s">
        <v>258</v>
      </c>
      <c r="K581" t="s">
        <v>360</v>
      </c>
      <c r="L581" t="s">
        <v>358</v>
      </c>
      <c r="N581" t="s">
        <v>361</v>
      </c>
      <c r="O581" t="s">
        <v>134</v>
      </c>
      <c r="Q581" t="s">
        <v>208</v>
      </c>
      <c r="R581" t="s">
        <v>193</v>
      </c>
      <c r="S581" t="s">
        <v>128</v>
      </c>
      <c r="T581" t="s">
        <v>181</v>
      </c>
      <c r="U581" t="s">
        <v>129</v>
      </c>
      <c r="V581" t="s">
        <v>71</v>
      </c>
      <c r="W581" s="58">
        <v>43352</v>
      </c>
      <c r="X581" s="59">
        <v>0.75</v>
      </c>
      <c r="Y581" s="59">
        <v>0.79166666666666663</v>
      </c>
      <c r="Z581" s="59">
        <v>4.1666666666666664E-2</v>
      </c>
      <c r="AA581">
        <v>14</v>
      </c>
      <c r="AB581">
        <v>8.3000000000000007</v>
      </c>
      <c r="AC581">
        <v>23</v>
      </c>
      <c r="AD581">
        <v>10.5</v>
      </c>
      <c r="AE581" s="59">
        <v>0.75</v>
      </c>
      <c r="AF581" s="59">
        <v>0.7909722222222223</v>
      </c>
      <c r="AG581">
        <v>37.5</v>
      </c>
    </row>
    <row r="582" spans="1:33" x14ac:dyDescent="0.25">
      <c r="A582" t="s">
        <v>274</v>
      </c>
      <c r="B582" t="s">
        <v>321</v>
      </c>
      <c r="C582" t="s">
        <v>322</v>
      </c>
      <c r="D582" t="s">
        <v>323</v>
      </c>
      <c r="E582" t="s">
        <v>324</v>
      </c>
      <c r="F582" t="s">
        <v>134</v>
      </c>
      <c r="H582" t="s">
        <v>184</v>
      </c>
      <c r="I582" t="s">
        <v>147</v>
      </c>
      <c r="J582" t="s">
        <v>258</v>
      </c>
      <c r="K582" t="s">
        <v>360</v>
      </c>
      <c r="L582" t="s">
        <v>358</v>
      </c>
      <c r="N582" t="s">
        <v>361</v>
      </c>
      <c r="O582" t="s">
        <v>134</v>
      </c>
      <c r="Q582" t="s">
        <v>208</v>
      </c>
      <c r="R582" t="s">
        <v>185</v>
      </c>
      <c r="S582" t="s">
        <v>128</v>
      </c>
      <c r="T582" t="s">
        <v>181</v>
      </c>
      <c r="U582" t="s">
        <v>151</v>
      </c>
      <c r="V582" t="s">
        <v>71</v>
      </c>
      <c r="W582" s="58">
        <v>43352</v>
      </c>
      <c r="X582" s="59">
        <v>0.8125</v>
      </c>
      <c r="Y582" s="59">
        <v>0.84375</v>
      </c>
      <c r="Z582" s="59">
        <v>3.125E-2</v>
      </c>
      <c r="AA582">
        <v>12</v>
      </c>
      <c r="AB582">
        <v>8.8659999999999997</v>
      </c>
      <c r="AC582">
        <v>15</v>
      </c>
      <c r="AD582">
        <v>7.875</v>
      </c>
      <c r="AE582" s="59">
        <v>0.8125</v>
      </c>
      <c r="AF582" s="59">
        <v>0.84305555555555556</v>
      </c>
      <c r="AG582">
        <v>37.5</v>
      </c>
    </row>
    <row r="583" spans="1:33" x14ac:dyDescent="0.25">
      <c r="A583" t="s">
        <v>258</v>
      </c>
      <c r="B583" t="s">
        <v>310</v>
      </c>
      <c r="C583" t="s">
        <v>311</v>
      </c>
      <c r="D583" t="s">
        <v>312</v>
      </c>
      <c r="E583" t="s">
        <v>313</v>
      </c>
      <c r="F583" t="s">
        <v>134</v>
      </c>
      <c r="H583" t="s">
        <v>175</v>
      </c>
      <c r="I583" t="s">
        <v>127</v>
      </c>
      <c r="J583" t="s">
        <v>258</v>
      </c>
      <c r="K583" t="s">
        <v>360</v>
      </c>
      <c r="L583" t="s">
        <v>358</v>
      </c>
      <c r="N583" t="s">
        <v>361</v>
      </c>
      <c r="O583" t="s">
        <v>134</v>
      </c>
      <c r="Q583" t="s">
        <v>208</v>
      </c>
      <c r="R583" t="s">
        <v>176</v>
      </c>
      <c r="S583" t="s">
        <v>128</v>
      </c>
      <c r="T583" t="s">
        <v>181</v>
      </c>
      <c r="U583" t="s">
        <v>151</v>
      </c>
      <c r="V583" t="s">
        <v>71</v>
      </c>
      <c r="W583" s="58">
        <v>43352</v>
      </c>
      <c r="X583" s="59">
        <v>0.85416666666666663</v>
      </c>
      <c r="Y583" s="59">
        <v>0.875</v>
      </c>
      <c r="Z583" s="59">
        <v>2.0833333333333332E-2</v>
      </c>
      <c r="AA583">
        <v>7</v>
      </c>
      <c r="AB583">
        <v>4.8944000000000001</v>
      </c>
      <c r="AC583">
        <v>10</v>
      </c>
      <c r="AD583">
        <v>5.25</v>
      </c>
      <c r="AE583" s="59">
        <v>0.85416666666666663</v>
      </c>
      <c r="AF583" s="59">
        <v>0.87430555555555556</v>
      </c>
      <c r="AG583">
        <v>37.5</v>
      </c>
    </row>
    <row r="584" spans="1:33" x14ac:dyDescent="0.25">
      <c r="A584" t="s">
        <v>258</v>
      </c>
      <c r="B584" t="s">
        <v>314</v>
      </c>
      <c r="C584" t="s">
        <v>315</v>
      </c>
      <c r="D584">
        <v>72</v>
      </c>
      <c r="E584" t="s">
        <v>316</v>
      </c>
      <c r="F584" t="s">
        <v>317</v>
      </c>
      <c r="G584" t="s">
        <v>218</v>
      </c>
      <c r="H584" t="s">
        <v>168</v>
      </c>
      <c r="I584" t="s">
        <v>169</v>
      </c>
      <c r="J584" t="s">
        <v>258</v>
      </c>
      <c r="K584" t="s">
        <v>360</v>
      </c>
      <c r="L584" t="s">
        <v>358</v>
      </c>
      <c r="N584" t="s">
        <v>361</v>
      </c>
      <c r="O584" t="s">
        <v>134</v>
      </c>
      <c r="Q584" t="s">
        <v>208</v>
      </c>
      <c r="R584" t="s">
        <v>170</v>
      </c>
      <c r="S584" t="s">
        <v>128</v>
      </c>
      <c r="T584" t="s">
        <v>181</v>
      </c>
      <c r="U584" t="s">
        <v>129</v>
      </c>
      <c r="V584" t="s">
        <v>72</v>
      </c>
      <c r="W584" s="58">
        <v>43353</v>
      </c>
      <c r="X584" s="59">
        <v>0.33333333333333331</v>
      </c>
      <c r="Y584" s="59">
        <v>0.35416666666666669</v>
      </c>
      <c r="Z584" s="59">
        <v>2.0833333333333332E-2</v>
      </c>
      <c r="AA584">
        <v>10</v>
      </c>
      <c r="AC584">
        <v>11.5</v>
      </c>
      <c r="AD584">
        <v>4.75</v>
      </c>
      <c r="AE584" s="59">
        <v>0.33333333333333331</v>
      </c>
      <c r="AF584" s="59">
        <v>0.35347222222222219</v>
      </c>
      <c r="AG584">
        <v>37.5</v>
      </c>
    </row>
    <row r="585" spans="1:33" x14ac:dyDescent="0.25">
      <c r="B585" t="s">
        <v>307</v>
      </c>
      <c r="C585" t="s">
        <v>308</v>
      </c>
      <c r="D585" t="s">
        <v>309</v>
      </c>
      <c r="E585" t="s">
        <v>134</v>
      </c>
      <c r="H585" t="s">
        <v>171</v>
      </c>
      <c r="I585" t="s">
        <v>169</v>
      </c>
      <c r="J585" t="s">
        <v>258</v>
      </c>
      <c r="K585" t="s">
        <v>360</v>
      </c>
      <c r="L585" t="s">
        <v>358</v>
      </c>
      <c r="N585" t="s">
        <v>361</v>
      </c>
      <c r="O585" t="s">
        <v>134</v>
      </c>
      <c r="Q585" t="s">
        <v>208</v>
      </c>
      <c r="R585" t="s">
        <v>172</v>
      </c>
      <c r="S585" t="s">
        <v>128</v>
      </c>
      <c r="T585" t="s">
        <v>181</v>
      </c>
      <c r="U585" t="s">
        <v>129</v>
      </c>
      <c r="V585" t="s">
        <v>72</v>
      </c>
      <c r="W585" s="58">
        <v>43353</v>
      </c>
      <c r="X585" s="59">
        <v>0.36458333333333331</v>
      </c>
      <c r="Y585" s="59">
        <v>0.5</v>
      </c>
      <c r="Z585" s="59">
        <v>0.13541666666666666</v>
      </c>
      <c r="AA585">
        <v>2</v>
      </c>
      <c r="AB585">
        <v>0.62839999999999996</v>
      </c>
      <c r="AC585">
        <v>74.75</v>
      </c>
      <c r="AD585">
        <v>30.875</v>
      </c>
      <c r="AE585" s="59">
        <v>0.36458333333333331</v>
      </c>
      <c r="AF585" s="59">
        <v>0.4993055555555555</v>
      </c>
      <c r="AG585">
        <v>37.5</v>
      </c>
    </row>
    <row r="586" spans="1:33" x14ac:dyDescent="0.25">
      <c r="A586" t="s">
        <v>258</v>
      </c>
      <c r="B586" t="s">
        <v>281</v>
      </c>
      <c r="C586" t="s">
        <v>282</v>
      </c>
      <c r="E586" t="s">
        <v>283</v>
      </c>
      <c r="F586" t="s">
        <v>134</v>
      </c>
      <c r="G586" t="s">
        <v>218</v>
      </c>
      <c r="H586" t="s">
        <v>146</v>
      </c>
      <c r="I586" t="s">
        <v>147</v>
      </c>
      <c r="J586" t="s">
        <v>258</v>
      </c>
      <c r="K586" t="s">
        <v>360</v>
      </c>
      <c r="L586" t="s">
        <v>358</v>
      </c>
      <c r="N586" t="s">
        <v>361</v>
      </c>
      <c r="O586" t="s">
        <v>134</v>
      </c>
      <c r="Q586" t="s">
        <v>208</v>
      </c>
      <c r="R586" t="s">
        <v>148</v>
      </c>
      <c r="S586" t="s">
        <v>128</v>
      </c>
      <c r="T586" t="s">
        <v>181</v>
      </c>
      <c r="U586" t="s">
        <v>129</v>
      </c>
      <c r="V586" t="s">
        <v>72</v>
      </c>
      <c r="W586" s="58">
        <v>43353</v>
      </c>
      <c r="X586" s="59">
        <v>0.53472222222222221</v>
      </c>
      <c r="Y586" s="59">
        <v>0.57638888888888895</v>
      </c>
      <c r="Z586" s="59">
        <v>4.1666666666666664E-2</v>
      </c>
      <c r="AA586">
        <v>6</v>
      </c>
      <c r="AB586">
        <v>3.8250000000000002</v>
      </c>
      <c r="AC586">
        <v>23</v>
      </c>
      <c r="AD586">
        <v>9.5</v>
      </c>
      <c r="AE586" s="59">
        <v>0.53472222222222221</v>
      </c>
      <c r="AF586" s="59">
        <v>0.5756944444444444</v>
      </c>
      <c r="AG586">
        <v>37.5</v>
      </c>
    </row>
    <row r="587" spans="1:33" x14ac:dyDescent="0.25">
      <c r="A587" t="s">
        <v>258</v>
      </c>
      <c r="B587" t="s">
        <v>325</v>
      </c>
      <c r="C587" t="s">
        <v>326</v>
      </c>
      <c r="E587" t="s">
        <v>327</v>
      </c>
      <c r="F587" t="s">
        <v>134</v>
      </c>
      <c r="H587" t="s">
        <v>182</v>
      </c>
      <c r="I587" t="s">
        <v>147</v>
      </c>
      <c r="J587" t="s">
        <v>258</v>
      </c>
      <c r="K587" t="s">
        <v>360</v>
      </c>
      <c r="L587" t="s">
        <v>358</v>
      </c>
      <c r="N587" t="s">
        <v>361</v>
      </c>
      <c r="O587" t="s">
        <v>134</v>
      </c>
      <c r="Q587" t="s">
        <v>208</v>
      </c>
      <c r="R587" t="s">
        <v>183</v>
      </c>
      <c r="S587" t="s">
        <v>128</v>
      </c>
      <c r="T587" t="s">
        <v>181</v>
      </c>
      <c r="U587" t="s">
        <v>129</v>
      </c>
      <c r="V587" t="s">
        <v>75</v>
      </c>
      <c r="W587" s="58">
        <v>43356</v>
      </c>
      <c r="X587" s="59">
        <v>0.36458333333333331</v>
      </c>
      <c r="Y587" s="59">
        <v>0.40625</v>
      </c>
      <c r="Z587" s="59">
        <v>4.1666666666666664E-2</v>
      </c>
      <c r="AA587">
        <v>0</v>
      </c>
      <c r="AC587">
        <v>23</v>
      </c>
      <c r="AD587">
        <v>9.5</v>
      </c>
      <c r="AE587" s="59">
        <v>0.36458333333333331</v>
      </c>
      <c r="AF587" s="59">
        <v>0.4055555555555555</v>
      </c>
      <c r="AG587">
        <v>37.5</v>
      </c>
    </row>
    <row r="588" spans="1:33" x14ac:dyDescent="0.25">
      <c r="A588" t="s">
        <v>274</v>
      </c>
      <c r="B588" t="s">
        <v>321</v>
      </c>
      <c r="C588" t="s">
        <v>322</v>
      </c>
      <c r="D588" t="s">
        <v>323</v>
      </c>
      <c r="E588" t="s">
        <v>324</v>
      </c>
      <c r="F588" t="s">
        <v>134</v>
      </c>
      <c r="H588" t="s">
        <v>184</v>
      </c>
      <c r="I588" t="s">
        <v>147</v>
      </c>
      <c r="J588" t="s">
        <v>258</v>
      </c>
      <c r="K588" t="s">
        <v>360</v>
      </c>
      <c r="L588" t="s">
        <v>358</v>
      </c>
      <c r="N588" t="s">
        <v>361</v>
      </c>
      <c r="O588" t="s">
        <v>134</v>
      </c>
      <c r="Q588" t="s">
        <v>208</v>
      </c>
      <c r="R588" t="s">
        <v>185</v>
      </c>
      <c r="S588" t="s">
        <v>128</v>
      </c>
      <c r="T588" t="s">
        <v>181</v>
      </c>
      <c r="U588" t="s">
        <v>151</v>
      </c>
      <c r="V588" t="s">
        <v>75</v>
      </c>
      <c r="W588" s="58">
        <v>43356</v>
      </c>
      <c r="X588" s="59">
        <v>0.41666666666666669</v>
      </c>
      <c r="Y588" s="59">
        <v>0.45833333333333331</v>
      </c>
      <c r="Z588" s="59">
        <v>4.1666666666666664E-2</v>
      </c>
      <c r="AA588">
        <v>4</v>
      </c>
      <c r="AB588">
        <v>2.2181999999999999</v>
      </c>
      <c r="AC588">
        <v>20</v>
      </c>
      <c r="AD588">
        <v>9.5</v>
      </c>
      <c r="AE588" s="59">
        <v>0.41666666666666669</v>
      </c>
      <c r="AF588" s="59">
        <v>0.45763888888888887</v>
      </c>
      <c r="AG588">
        <v>37.5</v>
      </c>
    </row>
    <row r="589" spans="1:33" x14ac:dyDescent="0.25">
      <c r="B589" t="s">
        <v>307</v>
      </c>
      <c r="C589" t="s">
        <v>308</v>
      </c>
      <c r="D589" t="s">
        <v>309</v>
      </c>
      <c r="E589" t="s">
        <v>134</v>
      </c>
      <c r="H589" t="s">
        <v>171</v>
      </c>
      <c r="I589" t="s">
        <v>169</v>
      </c>
      <c r="J589" t="s">
        <v>258</v>
      </c>
      <c r="K589" t="s">
        <v>360</v>
      </c>
      <c r="L589" t="s">
        <v>358</v>
      </c>
      <c r="N589" t="s">
        <v>361</v>
      </c>
      <c r="O589" t="s">
        <v>134</v>
      </c>
      <c r="Q589" t="s">
        <v>208</v>
      </c>
      <c r="R589" t="s">
        <v>172</v>
      </c>
      <c r="S589" t="s">
        <v>128</v>
      </c>
      <c r="T589" t="s">
        <v>181</v>
      </c>
      <c r="U589" t="s">
        <v>129</v>
      </c>
      <c r="V589" t="s">
        <v>75</v>
      </c>
      <c r="W589" s="58">
        <v>43356</v>
      </c>
      <c r="X589" s="59">
        <v>0.65833333333333333</v>
      </c>
      <c r="Y589" s="59">
        <v>0.70000000000000007</v>
      </c>
      <c r="Z589" s="59">
        <v>4.1666666666666664E-2</v>
      </c>
      <c r="AA589">
        <v>0</v>
      </c>
      <c r="AC589">
        <v>23</v>
      </c>
      <c r="AD589">
        <v>9.5</v>
      </c>
      <c r="AE589" s="59">
        <v>0.65833333333333333</v>
      </c>
      <c r="AF589" s="59">
        <v>0.69930555555555562</v>
      </c>
      <c r="AG589">
        <v>37.5</v>
      </c>
    </row>
    <row r="590" spans="1:33" x14ac:dyDescent="0.25">
      <c r="A590" t="s">
        <v>258</v>
      </c>
      <c r="B590" t="s">
        <v>278</v>
      </c>
      <c r="C590" t="s">
        <v>279</v>
      </c>
      <c r="E590" t="s">
        <v>280</v>
      </c>
      <c r="F590" t="s">
        <v>134</v>
      </c>
      <c r="H590" t="s">
        <v>144</v>
      </c>
      <c r="I590" t="s">
        <v>133</v>
      </c>
      <c r="J590" t="s">
        <v>258</v>
      </c>
      <c r="K590" t="s">
        <v>360</v>
      </c>
      <c r="L590" t="s">
        <v>358</v>
      </c>
      <c r="N590" t="s">
        <v>361</v>
      </c>
      <c r="O590" t="s">
        <v>134</v>
      </c>
      <c r="Q590" t="s">
        <v>208</v>
      </c>
      <c r="R590" t="s">
        <v>145</v>
      </c>
      <c r="S590" t="s">
        <v>128</v>
      </c>
      <c r="T590" t="s">
        <v>181</v>
      </c>
      <c r="U590" t="s">
        <v>129</v>
      </c>
      <c r="V590" t="s">
        <v>75</v>
      </c>
      <c r="W590" s="58">
        <v>43356</v>
      </c>
      <c r="X590" s="59">
        <v>0.70833333333333337</v>
      </c>
      <c r="Y590" s="59">
        <v>0.75</v>
      </c>
      <c r="Z590" s="59">
        <v>4.1666666666666664E-2</v>
      </c>
      <c r="AA590">
        <v>10</v>
      </c>
      <c r="AB590">
        <v>6.3113999999999999</v>
      </c>
      <c r="AC590">
        <v>23</v>
      </c>
      <c r="AD590">
        <v>9.5</v>
      </c>
      <c r="AE590" s="59">
        <v>0.70833333333333337</v>
      </c>
      <c r="AF590" s="59">
        <v>0.74930555555555556</v>
      </c>
      <c r="AG590">
        <v>37.5</v>
      </c>
    </row>
    <row r="591" spans="1:33" x14ac:dyDescent="0.25">
      <c r="A591" t="s">
        <v>258</v>
      </c>
      <c r="B591" t="s">
        <v>270</v>
      </c>
      <c r="C591" t="s">
        <v>271</v>
      </c>
      <c r="D591" t="s">
        <v>272</v>
      </c>
      <c r="E591" t="s">
        <v>273</v>
      </c>
      <c r="F591" t="s">
        <v>134</v>
      </c>
      <c r="H591" t="s">
        <v>138</v>
      </c>
      <c r="I591" t="s">
        <v>139</v>
      </c>
      <c r="J591" t="s">
        <v>258</v>
      </c>
      <c r="K591" t="s">
        <v>360</v>
      </c>
      <c r="L591" t="s">
        <v>358</v>
      </c>
      <c r="N591" t="s">
        <v>361</v>
      </c>
      <c r="O591" t="s">
        <v>134</v>
      </c>
      <c r="Q591" t="s">
        <v>208</v>
      </c>
      <c r="R591" t="s">
        <v>140</v>
      </c>
      <c r="S591" t="s">
        <v>128</v>
      </c>
      <c r="T591" t="s">
        <v>181</v>
      </c>
      <c r="U591" t="s">
        <v>129</v>
      </c>
      <c r="V591" t="s">
        <v>75</v>
      </c>
      <c r="W591" s="58">
        <v>43356</v>
      </c>
      <c r="X591" s="59">
        <v>0.76041666666666663</v>
      </c>
      <c r="Y591" s="59">
        <v>0.80208333333333337</v>
      </c>
      <c r="Z591" s="59">
        <v>4.1666666666666664E-2</v>
      </c>
      <c r="AA591">
        <v>5</v>
      </c>
      <c r="AB591">
        <v>2.2465999999999999</v>
      </c>
      <c r="AC591">
        <v>23</v>
      </c>
      <c r="AD591">
        <v>9.5</v>
      </c>
      <c r="AE591" s="59">
        <v>0.76041666666666663</v>
      </c>
      <c r="AF591" s="59">
        <v>0.80138888888888893</v>
      </c>
      <c r="AG591">
        <v>37.5</v>
      </c>
    </row>
    <row r="592" spans="1:33" x14ac:dyDescent="0.25">
      <c r="A592" t="s">
        <v>258</v>
      </c>
      <c r="B592" t="s">
        <v>278</v>
      </c>
      <c r="C592" t="s">
        <v>279</v>
      </c>
      <c r="E592" t="s">
        <v>280</v>
      </c>
      <c r="F592" t="s">
        <v>134</v>
      </c>
      <c r="H592" t="s">
        <v>144</v>
      </c>
      <c r="I592" t="s">
        <v>133</v>
      </c>
      <c r="J592" t="s">
        <v>258</v>
      </c>
      <c r="K592" t="s">
        <v>360</v>
      </c>
      <c r="L592" t="s">
        <v>358</v>
      </c>
      <c r="N592" t="s">
        <v>361</v>
      </c>
      <c r="O592" t="s">
        <v>134</v>
      </c>
      <c r="Q592" t="s">
        <v>208</v>
      </c>
      <c r="R592" t="s">
        <v>145</v>
      </c>
      <c r="S592" t="s">
        <v>128</v>
      </c>
      <c r="T592" t="s">
        <v>181</v>
      </c>
      <c r="U592" t="s">
        <v>129</v>
      </c>
      <c r="V592" t="s">
        <v>75</v>
      </c>
      <c r="W592" s="58">
        <v>43356</v>
      </c>
      <c r="X592" s="59">
        <v>0.83680555555555547</v>
      </c>
      <c r="Y592" s="59">
        <v>0.87847222222222221</v>
      </c>
      <c r="Z592" s="59">
        <v>4.1666666666666664E-2</v>
      </c>
      <c r="AA592">
        <v>5</v>
      </c>
      <c r="AB592">
        <v>2.2488000000000001</v>
      </c>
      <c r="AC592">
        <v>23</v>
      </c>
      <c r="AD592">
        <v>9.5</v>
      </c>
      <c r="AE592" s="59">
        <v>0.83680555555555547</v>
      </c>
      <c r="AF592" s="59">
        <v>0.87777777777777777</v>
      </c>
      <c r="AG592">
        <v>37.5</v>
      </c>
    </row>
    <row r="593" spans="1:33" x14ac:dyDescent="0.25">
      <c r="A593" t="s">
        <v>258</v>
      </c>
      <c r="B593" t="s">
        <v>314</v>
      </c>
      <c r="C593" t="s">
        <v>315</v>
      </c>
      <c r="D593">
        <v>72</v>
      </c>
      <c r="E593" t="s">
        <v>316</v>
      </c>
      <c r="F593" t="s">
        <v>317</v>
      </c>
      <c r="G593" t="s">
        <v>218</v>
      </c>
      <c r="H593" t="s">
        <v>168</v>
      </c>
      <c r="I593" t="s">
        <v>169</v>
      </c>
      <c r="J593" t="s">
        <v>258</v>
      </c>
      <c r="K593" t="s">
        <v>360</v>
      </c>
      <c r="L593" t="s">
        <v>358</v>
      </c>
      <c r="N593" t="s">
        <v>361</v>
      </c>
      <c r="O593" t="s">
        <v>134</v>
      </c>
      <c r="Q593" t="s">
        <v>208</v>
      </c>
      <c r="R593" t="s">
        <v>170</v>
      </c>
      <c r="S593" t="s">
        <v>128</v>
      </c>
      <c r="T593" t="s">
        <v>181</v>
      </c>
      <c r="U593" t="s">
        <v>129</v>
      </c>
      <c r="V593" t="s">
        <v>76</v>
      </c>
      <c r="W593" s="58">
        <v>43357</v>
      </c>
      <c r="X593" s="59">
        <v>0.33333333333333331</v>
      </c>
      <c r="Y593" s="59">
        <v>0.35416666666666669</v>
      </c>
      <c r="Z593" s="59">
        <v>2.0833333333333332E-2</v>
      </c>
      <c r="AA593">
        <v>10</v>
      </c>
      <c r="AC593">
        <v>11.5</v>
      </c>
      <c r="AD593">
        <v>4.75</v>
      </c>
      <c r="AE593" s="59">
        <v>0.33333333333333331</v>
      </c>
      <c r="AF593" s="59">
        <v>0.35347222222222219</v>
      </c>
      <c r="AG593">
        <v>37.5</v>
      </c>
    </row>
    <row r="594" spans="1:33" x14ac:dyDescent="0.25">
      <c r="A594" t="s">
        <v>258</v>
      </c>
      <c r="B594" t="s">
        <v>325</v>
      </c>
      <c r="C594" t="s">
        <v>326</v>
      </c>
      <c r="E594" t="s">
        <v>327</v>
      </c>
      <c r="F594" t="s">
        <v>134</v>
      </c>
      <c r="H594" t="s">
        <v>182</v>
      </c>
      <c r="I594" t="s">
        <v>147</v>
      </c>
      <c r="J594" t="s">
        <v>258</v>
      </c>
      <c r="K594" t="s">
        <v>360</v>
      </c>
      <c r="L594" t="s">
        <v>358</v>
      </c>
      <c r="N594" t="s">
        <v>361</v>
      </c>
      <c r="O594" t="s">
        <v>134</v>
      </c>
      <c r="Q594" t="s">
        <v>208</v>
      </c>
      <c r="R594" t="s">
        <v>183</v>
      </c>
      <c r="S594" t="s">
        <v>128</v>
      </c>
      <c r="T594" t="s">
        <v>181</v>
      </c>
      <c r="U594" t="s">
        <v>129</v>
      </c>
      <c r="V594" t="s">
        <v>76</v>
      </c>
      <c r="W594" s="58">
        <v>43357</v>
      </c>
      <c r="X594" s="59">
        <v>0.36458333333333331</v>
      </c>
      <c r="Y594" s="59">
        <v>0.40625</v>
      </c>
      <c r="Z594" s="59">
        <v>4.1666666666666664E-2</v>
      </c>
      <c r="AA594">
        <v>6</v>
      </c>
      <c r="AB594">
        <v>3.7126000000000001</v>
      </c>
      <c r="AC594">
        <v>23</v>
      </c>
      <c r="AD594">
        <v>9.5</v>
      </c>
      <c r="AE594" s="59">
        <v>0.36458333333333331</v>
      </c>
      <c r="AF594" s="59">
        <v>0.4055555555555555</v>
      </c>
      <c r="AG594">
        <v>37.5</v>
      </c>
    </row>
    <row r="595" spans="1:33" x14ac:dyDescent="0.25">
      <c r="A595" t="s">
        <v>274</v>
      </c>
      <c r="B595" t="s">
        <v>321</v>
      </c>
      <c r="C595" t="s">
        <v>322</v>
      </c>
      <c r="D595" t="s">
        <v>323</v>
      </c>
      <c r="E595" t="s">
        <v>324</v>
      </c>
      <c r="F595" t="s">
        <v>134</v>
      </c>
      <c r="H595" t="s">
        <v>184</v>
      </c>
      <c r="I595" t="s">
        <v>147</v>
      </c>
      <c r="J595" t="s">
        <v>258</v>
      </c>
      <c r="K595" t="s">
        <v>360</v>
      </c>
      <c r="L595" t="s">
        <v>358</v>
      </c>
      <c r="N595" t="s">
        <v>361</v>
      </c>
      <c r="O595" t="s">
        <v>134</v>
      </c>
      <c r="Q595" t="s">
        <v>208</v>
      </c>
      <c r="R595" t="s">
        <v>185</v>
      </c>
      <c r="S595" t="s">
        <v>128</v>
      </c>
      <c r="T595" t="s">
        <v>181</v>
      </c>
      <c r="U595" t="s">
        <v>151</v>
      </c>
      <c r="V595" t="s">
        <v>76</v>
      </c>
      <c r="W595" s="58">
        <v>43357</v>
      </c>
      <c r="X595" s="59">
        <v>0.41666666666666669</v>
      </c>
      <c r="Y595" s="59">
        <v>0.47916666666666669</v>
      </c>
      <c r="Z595" s="59">
        <v>6.25E-2</v>
      </c>
      <c r="AA595">
        <v>4</v>
      </c>
      <c r="AB595">
        <v>2.2181999999999999</v>
      </c>
      <c r="AC595">
        <v>30</v>
      </c>
      <c r="AD595">
        <v>14.25</v>
      </c>
      <c r="AE595" s="59">
        <v>0.41666666666666669</v>
      </c>
      <c r="AF595" s="59">
        <v>0.45763888888888887</v>
      </c>
      <c r="AG595">
        <v>37.5</v>
      </c>
    </row>
    <row r="596" spans="1:33" x14ac:dyDescent="0.25">
      <c r="A596" t="s">
        <v>274</v>
      </c>
      <c r="B596" t="s">
        <v>336</v>
      </c>
      <c r="C596" t="s">
        <v>337</v>
      </c>
      <c r="E596" t="s">
        <v>338</v>
      </c>
      <c r="F596" t="s">
        <v>134</v>
      </c>
      <c r="H596" t="s">
        <v>186</v>
      </c>
      <c r="I596" t="s">
        <v>147</v>
      </c>
      <c r="J596" t="s">
        <v>258</v>
      </c>
      <c r="K596" t="s">
        <v>360</v>
      </c>
      <c r="L596" t="s">
        <v>358</v>
      </c>
      <c r="N596" t="s">
        <v>361</v>
      </c>
      <c r="O596" t="s">
        <v>134</v>
      </c>
      <c r="Q596" t="s">
        <v>208</v>
      </c>
      <c r="R596" t="s">
        <v>187</v>
      </c>
      <c r="S596" t="s">
        <v>128</v>
      </c>
      <c r="T596" t="s">
        <v>181</v>
      </c>
      <c r="U596" t="s">
        <v>151</v>
      </c>
      <c r="V596" t="s">
        <v>76</v>
      </c>
      <c r="W596" s="58">
        <v>43357</v>
      </c>
      <c r="X596" s="59">
        <v>0.47916666666666669</v>
      </c>
      <c r="Y596" s="59">
        <v>0.5625</v>
      </c>
      <c r="Z596" s="59">
        <v>8.3333333333333329E-2</v>
      </c>
      <c r="AA596">
        <v>2</v>
      </c>
      <c r="AB596">
        <v>0.79659999999999997</v>
      </c>
      <c r="AC596">
        <v>40</v>
      </c>
      <c r="AD596">
        <v>19</v>
      </c>
      <c r="AE596" s="59">
        <v>0.47916666666666669</v>
      </c>
      <c r="AF596" s="59">
        <v>0.56180555555555556</v>
      </c>
      <c r="AG596">
        <v>37.5</v>
      </c>
    </row>
    <row r="597" spans="1:33" x14ac:dyDescent="0.25">
      <c r="B597" t="s">
        <v>307</v>
      </c>
      <c r="C597" t="s">
        <v>308</v>
      </c>
      <c r="D597" t="s">
        <v>309</v>
      </c>
      <c r="E597" t="s">
        <v>134</v>
      </c>
      <c r="H597" t="s">
        <v>171</v>
      </c>
      <c r="I597" t="s">
        <v>169</v>
      </c>
      <c r="J597" t="s">
        <v>258</v>
      </c>
      <c r="K597" t="s">
        <v>360</v>
      </c>
      <c r="L597" t="s">
        <v>358</v>
      </c>
      <c r="N597" t="s">
        <v>361</v>
      </c>
      <c r="O597" t="s">
        <v>134</v>
      </c>
      <c r="Q597" t="s">
        <v>208</v>
      </c>
      <c r="R597" t="s">
        <v>172</v>
      </c>
      <c r="S597" t="s">
        <v>128</v>
      </c>
      <c r="T597" t="s">
        <v>181</v>
      </c>
      <c r="U597" t="s">
        <v>129</v>
      </c>
      <c r="V597" t="s">
        <v>76</v>
      </c>
      <c r="W597" s="58">
        <v>43357</v>
      </c>
      <c r="X597" s="59">
        <v>0.6875</v>
      </c>
      <c r="Y597" s="59">
        <v>0.72916666666666663</v>
      </c>
      <c r="Z597" s="59">
        <v>4.1666666666666664E-2</v>
      </c>
      <c r="AA597">
        <v>0</v>
      </c>
      <c r="AC597">
        <v>23</v>
      </c>
      <c r="AD597">
        <v>9.5</v>
      </c>
      <c r="AE597" s="59">
        <v>0.6875</v>
      </c>
      <c r="AF597" s="59">
        <v>0.7284722222222223</v>
      </c>
      <c r="AG597">
        <v>37.5</v>
      </c>
    </row>
    <row r="598" spans="1:33" x14ac:dyDescent="0.25">
      <c r="A598" t="s">
        <v>258</v>
      </c>
      <c r="B598" t="s">
        <v>270</v>
      </c>
      <c r="C598" t="s">
        <v>271</v>
      </c>
      <c r="D598" t="s">
        <v>272</v>
      </c>
      <c r="E598" t="s">
        <v>273</v>
      </c>
      <c r="F598" t="s">
        <v>134</v>
      </c>
      <c r="H598" t="s">
        <v>138</v>
      </c>
      <c r="I598" t="s">
        <v>139</v>
      </c>
      <c r="J598" t="s">
        <v>258</v>
      </c>
      <c r="K598" t="s">
        <v>360</v>
      </c>
      <c r="L598" t="s">
        <v>358</v>
      </c>
      <c r="N598" t="s">
        <v>361</v>
      </c>
      <c r="O598" t="s">
        <v>134</v>
      </c>
      <c r="Q598" t="s">
        <v>208</v>
      </c>
      <c r="R598" t="s">
        <v>140</v>
      </c>
      <c r="S598" t="s">
        <v>128</v>
      </c>
      <c r="T598" t="s">
        <v>181</v>
      </c>
      <c r="U598" t="s">
        <v>129</v>
      </c>
      <c r="V598" t="s">
        <v>76</v>
      </c>
      <c r="W598" s="58">
        <v>43357</v>
      </c>
      <c r="X598" s="59">
        <v>0.76041666666666663</v>
      </c>
      <c r="Y598" s="59">
        <v>0.80208333333333337</v>
      </c>
      <c r="Z598" s="59">
        <v>4.1666666666666664E-2</v>
      </c>
      <c r="AA598">
        <v>10</v>
      </c>
      <c r="AB598">
        <v>5.9931999999999999</v>
      </c>
      <c r="AC598">
        <v>23</v>
      </c>
      <c r="AD598">
        <v>9.5</v>
      </c>
      <c r="AE598" s="59">
        <v>0.76041666666666663</v>
      </c>
      <c r="AF598" s="59">
        <v>0.80138888888888893</v>
      </c>
      <c r="AG598">
        <v>37.5</v>
      </c>
    </row>
    <row r="599" spans="1:33" x14ac:dyDescent="0.25">
      <c r="A599" t="s">
        <v>258</v>
      </c>
      <c r="B599" t="s">
        <v>278</v>
      </c>
      <c r="C599" t="s">
        <v>279</v>
      </c>
      <c r="E599" t="s">
        <v>280</v>
      </c>
      <c r="F599" t="s">
        <v>134</v>
      </c>
      <c r="H599" t="s">
        <v>144</v>
      </c>
      <c r="I599" t="s">
        <v>133</v>
      </c>
      <c r="J599" t="s">
        <v>258</v>
      </c>
      <c r="K599" t="s">
        <v>360</v>
      </c>
      <c r="L599" t="s">
        <v>358</v>
      </c>
      <c r="N599" t="s">
        <v>361</v>
      </c>
      <c r="O599" t="s">
        <v>134</v>
      </c>
      <c r="Q599" t="s">
        <v>208</v>
      </c>
      <c r="R599" t="s">
        <v>145</v>
      </c>
      <c r="S599" t="s">
        <v>128</v>
      </c>
      <c r="T599" t="s">
        <v>181</v>
      </c>
      <c r="U599" t="s">
        <v>129</v>
      </c>
      <c r="V599" t="s">
        <v>76</v>
      </c>
      <c r="W599" s="58">
        <v>43357</v>
      </c>
      <c r="X599" s="59">
        <v>0.84375</v>
      </c>
      <c r="Y599" s="59">
        <v>0.88541666666666663</v>
      </c>
      <c r="Z599" s="59">
        <v>4.1666666666666664E-2</v>
      </c>
      <c r="AA599">
        <v>5</v>
      </c>
      <c r="AB599">
        <v>2.2488000000000001</v>
      </c>
      <c r="AC599">
        <v>23</v>
      </c>
      <c r="AD599">
        <v>9.5</v>
      </c>
      <c r="AE599" s="59">
        <v>0.84375</v>
      </c>
      <c r="AF599" s="59">
        <v>0.8847222222222223</v>
      </c>
      <c r="AG599">
        <v>37.5</v>
      </c>
    </row>
    <row r="600" spans="1:33" x14ac:dyDescent="0.25">
      <c r="A600" t="s">
        <v>258</v>
      </c>
      <c r="B600" t="s">
        <v>342</v>
      </c>
      <c r="C600" t="s">
        <v>343</v>
      </c>
      <c r="E600" t="s">
        <v>344</v>
      </c>
      <c r="F600" t="s">
        <v>134</v>
      </c>
      <c r="H600" t="s">
        <v>197</v>
      </c>
      <c r="I600" t="s">
        <v>198</v>
      </c>
      <c r="J600" t="s">
        <v>266</v>
      </c>
      <c r="K600" t="s">
        <v>365</v>
      </c>
      <c r="L600" t="s">
        <v>366</v>
      </c>
      <c r="N600" t="s">
        <v>367</v>
      </c>
      <c r="O600" t="s">
        <v>134</v>
      </c>
      <c r="Q600" t="s">
        <v>211</v>
      </c>
      <c r="R600" t="s">
        <v>199</v>
      </c>
      <c r="S600" t="s">
        <v>128</v>
      </c>
      <c r="T600" t="s">
        <v>165</v>
      </c>
      <c r="U600" t="s">
        <v>151</v>
      </c>
      <c r="V600" t="s">
        <v>71</v>
      </c>
      <c r="W600" s="58">
        <v>43310</v>
      </c>
      <c r="X600" s="59">
        <v>0.33333333333333331</v>
      </c>
      <c r="Y600" s="59">
        <v>0.375</v>
      </c>
      <c r="Z600" s="59">
        <v>4.1666666666666664E-2</v>
      </c>
      <c r="AA600">
        <v>0</v>
      </c>
      <c r="AC600">
        <v>20</v>
      </c>
      <c r="AD600">
        <v>10</v>
      </c>
      <c r="AE600" s="59">
        <v>0.33333333333333331</v>
      </c>
      <c r="AF600" s="59">
        <v>0.3743055555555555</v>
      </c>
      <c r="AG600">
        <v>0</v>
      </c>
    </row>
    <row r="601" spans="1:33" x14ac:dyDescent="0.25">
      <c r="A601" t="s">
        <v>274</v>
      </c>
      <c r="B601" t="s">
        <v>334</v>
      </c>
      <c r="C601" t="s">
        <v>285</v>
      </c>
      <c r="E601" t="s">
        <v>335</v>
      </c>
      <c r="F601" t="s">
        <v>134</v>
      </c>
      <c r="H601" t="s">
        <v>192</v>
      </c>
      <c r="I601" t="s">
        <v>155</v>
      </c>
      <c r="J601" t="s">
        <v>266</v>
      </c>
      <c r="K601" t="s">
        <v>365</v>
      </c>
      <c r="L601" t="s">
        <v>366</v>
      </c>
      <c r="N601" t="s">
        <v>367</v>
      </c>
      <c r="O601" t="s">
        <v>134</v>
      </c>
      <c r="Q601" t="s">
        <v>211</v>
      </c>
      <c r="R601" t="s">
        <v>193</v>
      </c>
      <c r="S601" t="s">
        <v>128</v>
      </c>
      <c r="T601" t="s">
        <v>165</v>
      </c>
      <c r="U601" t="s">
        <v>129</v>
      </c>
      <c r="V601" t="s">
        <v>71</v>
      </c>
      <c r="W601" s="58">
        <v>43310</v>
      </c>
      <c r="X601" s="59">
        <v>0.38541666666666669</v>
      </c>
      <c r="Y601" s="59">
        <v>0.42708333333333331</v>
      </c>
      <c r="Z601" s="59">
        <v>4.1666666666666664E-2</v>
      </c>
      <c r="AA601">
        <v>0</v>
      </c>
      <c r="AB601">
        <v>2.1818</v>
      </c>
      <c r="AC601">
        <v>23</v>
      </c>
      <c r="AD601">
        <v>10</v>
      </c>
      <c r="AE601" s="59">
        <v>0.38541666666666669</v>
      </c>
      <c r="AF601" s="59">
        <v>0.42638888888888887</v>
      </c>
      <c r="AG601">
        <v>0</v>
      </c>
    </row>
    <row r="602" spans="1:33" x14ac:dyDescent="0.25">
      <c r="A602" t="s">
        <v>258</v>
      </c>
      <c r="B602" t="s">
        <v>278</v>
      </c>
      <c r="C602" t="s">
        <v>279</v>
      </c>
      <c r="E602" t="s">
        <v>280</v>
      </c>
      <c r="F602" t="s">
        <v>134</v>
      </c>
      <c r="H602" t="s">
        <v>144</v>
      </c>
      <c r="I602" t="s">
        <v>133</v>
      </c>
      <c r="J602" t="s">
        <v>266</v>
      </c>
      <c r="K602" t="s">
        <v>365</v>
      </c>
      <c r="L602" t="s">
        <v>366</v>
      </c>
      <c r="N602" t="s">
        <v>367</v>
      </c>
      <c r="O602" t="s">
        <v>134</v>
      </c>
      <c r="Q602" t="s">
        <v>211</v>
      </c>
      <c r="R602" t="s">
        <v>145</v>
      </c>
      <c r="S602" t="s">
        <v>128</v>
      </c>
      <c r="T602" t="s">
        <v>165</v>
      </c>
      <c r="U602" t="s">
        <v>129</v>
      </c>
      <c r="V602" t="s">
        <v>77</v>
      </c>
      <c r="W602" s="58">
        <v>43337</v>
      </c>
      <c r="X602" s="59">
        <v>0.4375</v>
      </c>
      <c r="Y602" s="59">
        <v>0.47916666666666669</v>
      </c>
      <c r="Z602" s="59">
        <v>4.1666666666666664E-2</v>
      </c>
      <c r="AA602">
        <v>0</v>
      </c>
      <c r="AD602">
        <v>10</v>
      </c>
      <c r="AE602" s="59">
        <v>0.4375</v>
      </c>
      <c r="AF602" s="59">
        <v>0.47847222222222219</v>
      </c>
      <c r="AG602">
        <v>0</v>
      </c>
    </row>
    <row r="603" spans="1:33" x14ac:dyDescent="0.25">
      <c r="A603" t="s">
        <v>258</v>
      </c>
      <c r="B603" t="s">
        <v>278</v>
      </c>
      <c r="C603" t="s">
        <v>279</v>
      </c>
      <c r="E603" t="s">
        <v>280</v>
      </c>
      <c r="F603" t="s">
        <v>134</v>
      </c>
      <c r="H603" t="s">
        <v>144</v>
      </c>
      <c r="I603" t="s">
        <v>133</v>
      </c>
      <c r="J603" t="s">
        <v>266</v>
      </c>
      <c r="K603" t="s">
        <v>365</v>
      </c>
      <c r="L603" t="s">
        <v>366</v>
      </c>
      <c r="N603" t="s">
        <v>367</v>
      </c>
      <c r="O603" t="s">
        <v>134</v>
      </c>
      <c r="Q603" t="s">
        <v>211</v>
      </c>
      <c r="R603" t="s">
        <v>145</v>
      </c>
      <c r="S603" t="s">
        <v>128</v>
      </c>
      <c r="T603" t="s">
        <v>165</v>
      </c>
      <c r="U603" t="s">
        <v>129</v>
      </c>
      <c r="V603" t="s">
        <v>77</v>
      </c>
      <c r="W603" s="58">
        <v>43337</v>
      </c>
      <c r="X603" s="59">
        <v>0.54166666666666663</v>
      </c>
      <c r="Y603" s="59">
        <v>0.58333333333333337</v>
      </c>
      <c r="Z603" s="59">
        <v>4.1666666666666664E-2</v>
      </c>
      <c r="AA603">
        <v>0</v>
      </c>
      <c r="AB603">
        <v>0</v>
      </c>
      <c r="AC603">
        <v>23</v>
      </c>
      <c r="AD603">
        <v>10</v>
      </c>
      <c r="AE603" s="59">
        <v>0.54166666666666663</v>
      </c>
      <c r="AF603" s="59">
        <v>0.58263888888888882</v>
      </c>
      <c r="AG603">
        <v>0</v>
      </c>
    </row>
    <row r="604" spans="1:33" x14ac:dyDescent="0.25">
      <c r="B604" t="s">
        <v>307</v>
      </c>
      <c r="C604" t="s">
        <v>308</v>
      </c>
      <c r="D604" t="s">
        <v>309</v>
      </c>
      <c r="E604" t="s">
        <v>134</v>
      </c>
      <c r="H604" t="s">
        <v>171</v>
      </c>
      <c r="I604" t="s">
        <v>169</v>
      </c>
      <c r="J604" t="s">
        <v>266</v>
      </c>
      <c r="K604" t="s">
        <v>365</v>
      </c>
      <c r="L604" t="s">
        <v>366</v>
      </c>
      <c r="N604" t="s">
        <v>367</v>
      </c>
      <c r="O604" t="s">
        <v>134</v>
      </c>
      <c r="Q604" t="s">
        <v>211</v>
      </c>
      <c r="R604" t="s">
        <v>172</v>
      </c>
      <c r="S604" t="s">
        <v>128</v>
      </c>
      <c r="T604" t="s">
        <v>165</v>
      </c>
      <c r="U604" t="s">
        <v>129</v>
      </c>
      <c r="V604" t="s">
        <v>77</v>
      </c>
      <c r="W604" s="58">
        <v>43337</v>
      </c>
      <c r="X604" s="59">
        <v>0.65625</v>
      </c>
      <c r="Y604" s="59">
        <v>0.6875</v>
      </c>
      <c r="Z604" s="59">
        <v>3.125E-2</v>
      </c>
      <c r="AA604">
        <v>0</v>
      </c>
      <c r="AB604">
        <v>6.3272000000000004</v>
      </c>
      <c r="AC604">
        <v>17.25</v>
      </c>
      <c r="AD604">
        <v>7.5</v>
      </c>
      <c r="AE604" s="59">
        <v>0.65625</v>
      </c>
      <c r="AF604" s="59">
        <v>0.68680555555555556</v>
      </c>
      <c r="AG604">
        <v>0</v>
      </c>
    </row>
    <row r="605" spans="1:33" x14ac:dyDescent="0.25">
      <c r="A605" t="s">
        <v>258</v>
      </c>
      <c r="B605" t="s">
        <v>314</v>
      </c>
      <c r="C605" t="s">
        <v>315</v>
      </c>
      <c r="D605">
        <v>72</v>
      </c>
      <c r="E605" t="s">
        <v>316</v>
      </c>
      <c r="F605" t="s">
        <v>317</v>
      </c>
      <c r="G605" t="s">
        <v>218</v>
      </c>
      <c r="H605" t="s">
        <v>168</v>
      </c>
      <c r="I605" t="s">
        <v>169</v>
      </c>
      <c r="J605" t="s">
        <v>266</v>
      </c>
      <c r="K605" t="s">
        <v>365</v>
      </c>
      <c r="L605" t="s">
        <v>366</v>
      </c>
      <c r="N605" t="s">
        <v>367</v>
      </c>
      <c r="O605" t="s">
        <v>134</v>
      </c>
      <c r="Q605" t="s">
        <v>211</v>
      </c>
      <c r="R605" t="s">
        <v>170</v>
      </c>
      <c r="S605" t="s">
        <v>128</v>
      </c>
      <c r="T605" t="s">
        <v>165</v>
      </c>
      <c r="U605" t="s">
        <v>129</v>
      </c>
      <c r="V605" t="s">
        <v>77</v>
      </c>
      <c r="W605" s="58">
        <v>43337</v>
      </c>
      <c r="X605" s="59">
        <v>0.69791666666666663</v>
      </c>
      <c r="Y605" s="59">
        <v>0.73958333333333337</v>
      </c>
      <c r="Z605" s="59">
        <v>4.1666666666666664E-2</v>
      </c>
      <c r="AA605">
        <v>0</v>
      </c>
      <c r="AB605">
        <v>0.62839999999999996</v>
      </c>
      <c r="AC605">
        <v>23</v>
      </c>
      <c r="AD605">
        <v>10</v>
      </c>
      <c r="AE605" s="59">
        <v>0.69791666666666663</v>
      </c>
      <c r="AF605" s="59">
        <v>0.73888888888888893</v>
      </c>
      <c r="AG605">
        <v>0</v>
      </c>
    </row>
    <row r="606" spans="1:33" x14ac:dyDescent="0.25">
      <c r="A606" t="s">
        <v>258</v>
      </c>
      <c r="B606" t="s">
        <v>281</v>
      </c>
      <c r="C606" t="s">
        <v>282</v>
      </c>
      <c r="E606" t="s">
        <v>283</v>
      </c>
      <c r="F606" t="s">
        <v>134</v>
      </c>
      <c r="G606" t="s">
        <v>218</v>
      </c>
      <c r="H606" t="s">
        <v>146</v>
      </c>
      <c r="I606" t="s">
        <v>147</v>
      </c>
      <c r="J606" t="s">
        <v>266</v>
      </c>
      <c r="K606" t="s">
        <v>365</v>
      </c>
      <c r="L606" t="s">
        <v>366</v>
      </c>
      <c r="N606" t="s">
        <v>367</v>
      </c>
      <c r="O606" t="s">
        <v>134</v>
      </c>
      <c r="Q606" t="s">
        <v>211</v>
      </c>
      <c r="R606" t="s">
        <v>148</v>
      </c>
      <c r="S606" t="s">
        <v>128</v>
      </c>
      <c r="T606" t="s">
        <v>165</v>
      </c>
      <c r="U606" t="s">
        <v>129</v>
      </c>
      <c r="V606" t="s">
        <v>77</v>
      </c>
      <c r="W606" s="58">
        <v>43337</v>
      </c>
      <c r="X606" s="59">
        <v>0.76041666666666663</v>
      </c>
      <c r="Y606" s="59">
        <v>0.80208333333333337</v>
      </c>
      <c r="Z606" s="59">
        <v>4.1666666666666664E-2</v>
      </c>
      <c r="AA606">
        <v>0</v>
      </c>
      <c r="AB606">
        <v>3.6886000000000001</v>
      </c>
      <c r="AD606">
        <v>10</v>
      </c>
      <c r="AE606" s="59">
        <v>0.76041666666666663</v>
      </c>
      <c r="AF606" s="59">
        <v>0.80138888888888893</v>
      </c>
      <c r="AG606">
        <v>0</v>
      </c>
    </row>
    <row r="607" spans="1:33" x14ac:dyDescent="0.25">
      <c r="A607" t="s">
        <v>258</v>
      </c>
      <c r="B607" t="s">
        <v>342</v>
      </c>
      <c r="C607" t="s">
        <v>343</v>
      </c>
      <c r="E607" t="s">
        <v>344</v>
      </c>
      <c r="F607" t="s">
        <v>134</v>
      </c>
      <c r="H607" t="s">
        <v>197</v>
      </c>
      <c r="I607" t="s">
        <v>198</v>
      </c>
      <c r="J607" t="s">
        <v>266</v>
      </c>
      <c r="K607" t="s">
        <v>365</v>
      </c>
      <c r="L607" t="s">
        <v>366</v>
      </c>
      <c r="N607" t="s">
        <v>367</v>
      </c>
      <c r="O607" t="s">
        <v>134</v>
      </c>
      <c r="Q607" t="s">
        <v>211</v>
      </c>
      <c r="R607" t="s">
        <v>199</v>
      </c>
      <c r="S607" t="s">
        <v>128</v>
      </c>
      <c r="T607" t="s">
        <v>165</v>
      </c>
      <c r="U607" t="s">
        <v>151</v>
      </c>
      <c r="V607" t="s">
        <v>71</v>
      </c>
      <c r="W607" s="58">
        <v>43338</v>
      </c>
      <c r="X607" s="59">
        <v>0.33333333333333331</v>
      </c>
      <c r="Y607" s="59">
        <v>0.375</v>
      </c>
      <c r="Z607" s="59">
        <v>4.1666666666666664E-2</v>
      </c>
      <c r="AA607">
        <v>0</v>
      </c>
      <c r="AC607">
        <v>20</v>
      </c>
      <c r="AD607">
        <v>10</v>
      </c>
      <c r="AE607" s="59">
        <v>0.33333333333333331</v>
      </c>
      <c r="AF607" s="59">
        <v>0.3743055555555555</v>
      </c>
      <c r="AG607">
        <v>0</v>
      </c>
    </row>
    <row r="608" spans="1:33" x14ac:dyDescent="0.25">
      <c r="A608" t="s">
        <v>274</v>
      </c>
      <c r="B608" t="s">
        <v>334</v>
      </c>
      <c r="C608" t="s">
        <v>285</v>
      </c>
      <c r="E608" t="s">
        <v>335</v>
      </c>
      <c r="F608" t="s">
        <v>134</v>
      </c>
      <c r="H608" t="s">
        <v>192</v>
      </c>
      <c r="I608" t="s">
        <v>155</v>
      </c>
      <c r="J608" t="s">
        <v>266</v>
      </c>
      <c r="K608" t="s">
        <v>365</v>
      </c>
      <c r="L608" t="s">
        <v>366</v>
      </c>
      <c r="N608" t="s">
        <v>367</v>
      </c>
      <c r="O608" t="s">
        <v>134</v>
      </c>
      <c r="Q608" t="s">
        <v>211</v>
      </c>
      <c r="R608" t="s">
        <v>193</v>
      </c>
      <c r="S608" t="s">
        <v>128</v>
      </c>
      <c r="T608" t="s">
        <v>165</v>
      </c>
      <c r="U608" t="s">
        <v>129</v>
      </c>
      <c r="V608" t="s">
        <v>71</v>
      </c>
      <c r="W608" s="58">
        <v>43338</v>
      </c>
      <c r="X608" s="59">
        <v>0.39583333333333331</v>
      </c>
      <c r="Y608" s="59">
        <v>0.4375</v>
      </c>
      <c r="Z608" s="59">
        <v>4.1666666666666664E-2</v>
      </c>
      <c r="AA608">
        <v>0</v>
      </c>
      <c r="AB608">
        <v>2.1818</v>
      </c>
      <c r="AC608">
        <v>23</v>
      </c>
      <c r="AD608">
        <v>10</v>
      </c>
      <c r="AE608" s="59">
        <v>0.39583333333333331</v>
      </c>
      <c r="AF608" s="59">
        <v>0.4368055555555555</v>
      </c>
      <c r="AG608">
        <v>0</v>
      </c>
    </row>
    <row r="609" spans="1:33" x14ac:dyDescent="0.25">
      <c r="A609" t="s">
        <v>274</v>
      </c>
      <c r="B609" t="s">
        <v>334</v>
      </c>
      <c r="C609" t="s">
        <v>285</v>
      </c>
      <c r="E609" t="s">
        <v>335</v>
      </c>
      <c r="F609" t="s">
        <v>134</v>
      </c>
      <c r="H609" t="s">
        <v>192</v>
      </c>
      <c r="I609" t="s">
        <v>155</v>
      </c>
      <c r="J609" t="s">
        <v>266</v>
      </c>
      <c r="K609" t="s">
        <v>365</v>
      </c>
      <c r="L609" t="s">
        <v>366</v>
      </c>
      <c r="N609" t="s">
        <v>367</v>
      </c>
      <c r="O609" t="s">
        <v>134</v>
      </c>
      <c r="Q609" t="s">
        <v>211</v>
      </c>
      <c r="R609" t="s">
        <v>193</v>
      </c>
      <c r="S609" t="s">
        <v>128</v>
      </c>
      <c r="T609" t="s">
        <v>165</v>
      </c>
      <c r="U609" t="s">
        <v>129</v>
      </c>
      <c r="V609" t="s">
        <v>72</v>
      </c>
      <c r="W609" s="58">
        <v>43339</v>
      </c>
      <c r="X609" s="59">
        <v>0.39583333333333331</v>
      </c>
      <c r="Y609" s="59">
        <v>0.4375</v>
      </c>
      <c r="Z609" s="59">
        <v>4.1666666666666664E-2</v>
      </c>
      <c r="AA609">
        <v>0</v>
      </c>
      <c r="AC609">
        <v>23</v>
      </c>
      <c r="AD609">
        <v>9</v>
      </c>
      <c r="AE609" s="59">
        <v>0.39583333333333331</v>
      </c>
      <c r="AF609" s="59">
        <v>0.4368055555555555</v>
      </c>
      <c r="AG609">
        <v>0</v>
      </c>
    </row>
    <row r="610" spans="1:33" x14ac:dyDescent="0.25">
      <c r="A610" t="s">
        <v>258</v>
      </c>
      <c r="B610" t="s">
        <v>290</v>
      </c>
      <c r="C610" t="s">
        <v>291</v>
      </c>
      <c r="E610" t="s">
        <v>292</v>
      </c>
      <c r="F610" t="s">
        <v>134</v>
      </c>
      <c r="H610" t="s">
        <v>154</v>
      </c>
      <c r="I610" t="s">
        <v>155</v>
      </c>
      <c r="J610" t="s">
        <v>266</v>
      </c>
      <c r="K610" t="s">
        <v>365</v>
      </c>
      <c r="L610" t="s">
        <v>366</v>
      </c>
      <c r="N610" t="s">
        <v>367</v>
      </c>
      <c r="O610" t="s">
        <v>134</v>
      </c>
      <c r="Q610" t="s">
        <v>211</v>
      </c>
      <c r="R610" t="s">
        <v>156</v>
      </c>
      <c r="S610" t="s">
        <v>128</v>
      </c>
      <c r="T610" t="s">
        <v>165</v>
      </c>
      <c r="U610" t="s">
        <v>151</v>
      </c>
      <c r="V610" t="s">
        <v>72</v>
      </c>
      <c r="W610" s="58">
        <v>43339</v>
      </c>
      <c r="X610" s="59">
        <v>0.44791666666666669</v>
      </c>
      <c r="Y610" s="59">
        <v>0.5</v>
      </c>
      <c r="Z610" s="59">
        <v>5.2083333333333336E-2</v>
      </c>
      <c r="AA610">
        <v>0</v>
      </c>
      <c r="AB610">
        <v>2.9318</v>
      </c>
      <c r="AC610">
        <v>25</v>
      </c>
      <c r="AD610">
        <v>11.25</v>
      </c>
      <c r="AE610" s="59">
        <v>0.44791666666666669</v>
      </c>
      <c r="AF610" s="59">
        <v>0.4993055555555555</v>
      </c>
      <c r="AG610">
        <v>0</v>
      </c>
    </row>
    <row r="611" spans="1:33" x14ac:dyDescent="0.25">
      <c r="A611" t="s">
        <v>274</v>
      </c>
      <c r="B611" t="s">
        <v>334</v>
      </c>
      <c r="C611" t="s">
        <v>285</v>
      </c>
      <c r="E611" t="s">
        <v>335</v>
      </c>
      <c r="F611" t="s">
        <v>134</v>
      </c>
      <c r="H611" t="s">
        <v>192</v>
      </c>
      <c r="I611" t="s">
        <v>155</v>
      </c>
      <c r="J611" t="s">
        <v>266</v>
      </c>
      <c r="K611" t="s">
        <v>365</v>
      </c>
      <c r="L611" t="s">
        <v>366</v>
      </c>
      <c r="N611" t="s">
        <v>367</v>
      </c>
      <c r="O611" t="s">
        <v>134</v>
      </c>
      <c r="Q611" t="s">
        <v>211</v>
      </c>
      <c r="R611" t="s">
        <v>193</v>
      </c>
      <c r="S611" t="s">
        <v>128</v>
      </c>
      <c r="T611" t="s">
        <v>165</v>
      </c>
      <c r="U611" t="s">
        <v>129</v>
      </c>
      <c r="V611" t="s">
        <v>72</v>
      </c>
      <c r="W611" s="58">
        <v>43339</v>
      </c>
      <c r="X611" s="59">
        <v>0.70833333333333337</v>
      </c>
      <c r="Y611" s="59">
        <v>0.75</v>
      </c>
      <c r="Z611" s="59">
        <v>4.1666666666666664E-2</v>
      </c>
      <c r="AA611">
        <v>0</v>
      </c>
      <c r="AC611">
        <v>23</v>
      </c>
      <c r="AD611">
        <v>9</v>
      </c>
      <c r="AE611" s="59">
        <v>0.70833333333333337</v>
      </c>
      <c r="AF611" s="59">
        <v>0.74930555555555556</v>
      </c>
      <c r="AG611">
        <v>0</v>
      </c>
    </row>
    <row r="612" spans="1:33" x14ac:dyDescent="0.25">
      <c r="A612" t="s">
        <v>258</v>
      </c>
      <c r="B612" t="s">
        <v>342</v>
      </c>
      <c r="C612" t="s">
        <v>343</v>
      </c>
      <c r="E612" t="s">
        <v>344</v>
      </c>
      <c r="F612" t="s">
        <v>134</v>
      </c>
      <c r="H612" t="s">
        <v>197</v>
      </c>
      <c r="I612" t="s">
        <v>198</v>
      </c>
      <c r="J612" t="s">
        <v>266</v>
      </c>
      <c r="K612" t="s">
        <v>365</v>
      </c>
      <c r="L612" t="s">
        <v>366</v>
      </c>
      <c r="N612" t="s">
        <v>367</v>
      </c>
      <c r="O612" t="s">
        <v>134</v>
      </c>
      <c r="Q612" t="s">
        <v>211</v>
      </c>
      <c r="R612" t="s">
        <v>199</v>
      </c>
      <c r="S612" t="s">
        <v>128</v>
      </c>
      <c r="T612" t="s">
        <v>165</v>
      </c>
      <c r="U612" t="s">
        <v>151</v>
      </c>
      <c r="V612" t="s">
        <v>73</v>
      </c>
      <c r="W612" s="58">
        <v>43340</v>
      </c>
      <c r="X612" s="59">
        <v>0.33333333333333331</v>
      </c>
      <c r="Y612" s="59">
        <v>0.375</v>
      </c>
      <c r="Z612" s="59">
        <v>4.1666666666666664E-2</v>
      </c>
      <c r="AA612">
        <v>0</v>
      </c>
      <c r="AC612">
        <v>20</v>
      </c>
      <c r="AD612">
        <v>9</v>
      </c>
      <c r="AE612" s="59">
        <v>0.33333333333333331</v>
      </c>
      <c r="AF612" s="59">
        <v>0.3743055555555555</v>
      </c>
      <c r="AG612">
        <v>0</v>
      </c>
    </row>
    <row r="613" spans="1:33" x14ac:dyDescent="0.25">
      <c r="A613" t="s">
        <v>258</v>
      </c>
      <c r="B613" t="s">
        <v>354</v>
      </c>
      <c r="C613" t="s">
        <v>355</v>
      </c>
      <c r="E613" t="s">
        <v>356</v>
      </c>
      <c r="F613" t="s">
        <v>134</v>
      </c>
      <c r="H613" t="s">
        <v>205</v>
      </c>
      <c r="I613" t="s">
        <v>198</v>
      </c>
      <c r="J613" t="s">
        <v>266</v>
      </c>
      <c r="K613" t="s">
        <v>365</v>
      </c>
      <c r="L613" t="s">
        <v>366</v>
      </c>
      <c r="N613" t="s">
        <v>367</v>
      </c>
      <c r="O613" t="s">
        <v>134</v>
      </c>
      <c r="Q613" t="s">
        <v>211</v>
      </c>
      <c r="R613" t="s">
        <v>206</v>
      </c>
      <c r="S613" t="s">
        <v>128</v>
      </c>
      <c r="T613" t="s">
        <v>165</v>
      </c>
      <c r="U613" t="s">
        <v>129</v>
      </c>
      <c r="V613" t="s">
        <v>73</v>
      </c>
      <c r="W613" s="58">
        <v>43340</v>
      </c>
      <c r="X613" s="59">
        <v>0.3888888888888889</v>
      </c>
      <c r="Y613" s="59">
        <v>0.43055555555555558</v>
      </c>
      <c r="Z613" s="59">
        <v>4.1666666666666664E-2</v>
      </c>
      <c r="AA613">
        <v>0</v>
      </c>
      <c r="AB613">
        <v>2.1305999999999998</v>
      </c>
      <c r="AC613">
        <v>23</v>
      </c>
      <c r="AD613">
        <v>13.5</v>
      </c>
      <c r="AE613" s="59">
        <v>0.3888888888888889</v>
      </c>
      <c r="AF613" s="59">
        <v>0.42986111111111108</v>
      </c>
      <c r="AG613">
        <v>0</v>
      </c>
    </row>
    <row r="614" spans="1:33" x14ac:dyDescent="0.25">
      <c r="A614" t="s">
        <v>258</v>
      </c>
      <c r="B614" t="s">
        <v>278</v>
      </c>
      <c r="C614" t="s">
        <v>279</v>
      </c>
      <c r="E614" t="s">
        <v>280</v>
      </c>
      <c r="F614" t="s">
        <v>134</v>
      </c>
      <c r="H614" t="s">
        <v>144</v>
      </c>
      <c r="I614" t="s">
        <v>133</v>
      </c>
      <c r="J614" t="s">
        <v>266</v>
      </c>
      <c r="K614" t="s">
        <v>365</v>
      </c>
      <c r="L614" t="s">
        <v>366</v>
      </c>
      <c r="N614" t="s">
        <v>367</v>
      </c>
      <c r="O614" t="s">
        <v>134</v>
      </c>
      <c r="Q614" t="s">
        <v>211</v>
      </c>
      <c r="R614" t="s">
        <v>145</v>
      </c>
      <c r="S614" t="s">
        <v>128</v>
      </c>
      <c r="T614" t="s">
        <v>165</v>
      </c>
      <c r="U614" t="s">
        <v>129</v>
      </c>
      <c r="V614" t="s">
        <v>73</v>
      </c>
      <c r="W614" s="58">
        <v>43340</v>
      </c>
      <c r="X614" s="59">
        <v>0.5</v>
      </c>
      <c r="Y614" s="59">
        <v>0.54166666666666663</v>
      </c>
      <c r="Z614" s="59">
        <v>4.1666666666666664E-2</v>
      </c>
      <c r="AA614">
        <v>0</v>
      </c>
      <c r="AB614">
        <v>5.9363999999999999</v>
      </c>
      <c r="AC614">
        <v>23</v>
      </c>
      <c r="AD614">
        <v>9</v>
      </c>
      <c r="AE614" s="59">
        <v>0.5</v>
      </c>
      <c r="AF614" s="59">
        <v>0.54097222222222219</v>
      </c>
      <c r="AG614">
        <v>0</v>
      </c>
    </row>
    <row r="615" spans="1:33" x14ac:dyDescent="0.25">
      <c r="A615" t="s">
        <v>274</v>
      </c>
      <c r="B615" t="s">
        <v>334</v>
      </c>
      <c r="C615" t="s">
        <v>285</v>
      </c>
      <c r="E615" t="s">
        <v>335</v>
      </c>
      <c r="F615" t="s">
        <v>134</v>
      </c>
      <c r="H615" t="s">
        <v>192</v>
      </c>
      <c r="I615" t="s">
        <v>155</v>
      </c>
      <c r="J615" t="s">
        <v>266</v>
      </c>
      <c r="K615" t="s">
        <v>365</v>
      </c>
      <c r="L615" t="s">
        <v>366</v>
      </c>
      <c r="N615" t="s">
        <v>367</v>
      </c>
      <c r="O615" t="s">
        <v>134</v>
      </c>
      <c r="Q615" t="s">
        <v>211</v>
      </c>
      <c r="R615" t="s">
        <v>193</v>
      </c>
      <c r="S615" t="s">
        <v>128</v>
      </c>
      <c r="T615" t="s">
        <v>165</v>
      </c>
      <c r="U615" t="s">
        <v>129</v>
      </c>
      <c r="V615" t="s">
        <v>73</v>
      </c>
      <c r="W615" s="58">
        <v>43340</v>
      </c>
      <c r="X615" s="59">
        <v>0.75</v>
      </c>
      <c r="Y615" s="59">
        <v>0.79166666666666663</v>
      </c>
      <c r="Z615" s="59">
        <v>4.1666666666666664E-2</v>
      </c>
      <c r="AA615">
        <v>0</v>
      </c>
      <c r="AC615">
        <v>23</v>
      </c>
      <c r="AD615">
        <v>9</v>
      </c>
      <c r="AE615" s="59">
        <v>0.75</v>
      </c>
      <c r="AF615" s="59">
        <v>0.7909722222222223</v>
      </c>
      <c r="AG615">
        <v>0</v>
      </c>
    </row>
    <row r="616" spans="1:33" x14ac:dyDescent="0.25">
      <c r="A616" t="s">
        <v>258</v>
      </c>
      <c r="B616" t="s">
        <v>342</v>
      </c>
      <c r="C616" t="s">
        <v>343</v>
      </c>
      <c r="E616" t="s">
        <v>344</v>
      </c>
      <c r="F616" t="s">
        <v>134</v>
      </c>
      <c r="H616" t="s">
        <v>197</v>
      </c>
      <c r="I616" t="s">
        <v>198</v>
      </c>
      <c r="J616" t="s">
        <v>266</v>
      </c>
      <c r="K616" t="s">
        <v>365</v>
      </c>
      <c r="L616" t="s">
        <v>366</v>
      </c>
      <c r="N616" t="s">
        <v>367</v>
      </c>
      <c r="O616" t="s">
        <v>134</v>
      </c>
      <c r="Q616" t="s">
        <v>211</v>
      </c>
      <c r="R616" t="s">
        <v>199</v>
      </c>
      <c r="S616" t="s">
        <v>128</v>
      </c>
      <c r="T616" t="s">
        <v>165</v>
      </c>
      <c r="U616" t="s">
        <v>151</v>
      </c>
      <c r="V616" t="s">
        <v>74</v>
      </c>
      <c r="W616" s="58">
        <v>43341</v>
      </c>
      <c r="X616" s="59">
        <v>0.33333333333333331</v>
      </c>
      <c r="Y616" s="59">
        <v>0.375</v>
      </c>
      <c r="Z616" s="59">
        <v>4.1666666666666664E-2</v>
      </c>
      <c r="AA616">
        <v>0</v>
      </c>
      <c r="AC616">
        <v>20</v>
      </c>
      <c r="AD616">
        <v>9</v>
      </c>
      <c r="AE616" s="59">
        <v>0.33333333333333331</v>
      </c>
      <c r="AF616" s="59">
        <v>0.3743055555555555</v>
      </c>
      <c r="AG616">
        <v>0</v>
      </c>
    </row>
    <row r="617" spans="1:33" x14ac:dyDescent="0.25">
      <c r="A617" t="s">
        <v>274</v>
      </c>
      <c r="B617" t="s">
        <v>334</v>
      </c>
      <c r="C617" t="s">
        <v>285</v>
      </c>
      <c r="E617" t="s">
        <v>335</v>
      </c>
      <c r="F617" t="s">
        <v>134</v>
      </c>
      <c r="H617" t="s">
        <v>192</v>
      </c>
      <c r="I617" t="s">
        <v>155</v>
      </c>
      <c r="J617" t="s">
        <v>266</v>
      </c>
      <c r="K617" t="s">
        <v>365</v>
      </c>
      <c r="L617" t="s">
        <v>366</v>
      </c>
      <c r="N617" t="s">
        <v>367</v>
      </c>
      <c r="O617" t="s">
        <v>134</v>
      </c>
      <c r="Q617" t="s">
        <v>211</v>
      </c>
      <c r="R617" t="s">
        <v>193</v>
      </c>
      <c r="S617" t="s">
        <v>128</v>
      </c>
      <c r="T617" t="s">
        <v>165</v>
      </c>
      <c r="U617" t="s">
        <v>129</v>
      </c>
      <c r="V617" t="s">
        <v>74</v>
      </c>
      <c r="W617" s="58">
        <v>43341</v>
      </c>
      <c r="X617" s="59">
        <v>0.39583333333333331</v>
      </c>
      <c r="Y617" s="59">
        <v>0.4375</v>
      </c>
      <c r="Z617" s="59">
        <v>4.1666666666666664E-2</v>
      </c>
      <c r="AA617">
        <v>0</v>
      </c>
      <c r="AB617">
        <v>2.1818</v>
      </c>
      <c r="AC617">
        <v>23</v>
      </c>
      <c r="AD617">
        <v>9</v>
      </c>
      <c r="AE617" s="59">
        <v>0.39583333333333331</v>
      </c>
      <c r="AF617" s="59">
        <v>0.4368055555555555</v>
      </c>
      <c r="AG617">
        <v>0</v>
      </c>
    </row>
    <row r="618" spans="1:33" x14ac:dyDescent="0.25">
      <c r="A618" t="s">
        <v>258</v>
      </c>
      <c r="B618" t="s">
        <v>290</v>
      </c>
      <c r="C618" t="s">
        <v>291</v>
      </c>
      <c r="E618" t="s">
        <v>292</v>
      </c>
      <c r="F618" t="s">
        <v>134</v>
      </c>
      <c r="H618" t="s">
        <v>154</v>
      </c>
      <c r="I618" t="s">
        <v>155</v>
      </c>
      <c r="J618" t="s">
        <v>266</v>
      </c>
      <c r="K618" t="s">
        <v>365</v>
      </c>
      <c r="L618" t="s">
        <v>366</v>
      </c>
      <c r="N618" t="s">
        <v>367</v>
      </c>
      <c r="O618" t="s">
        <v>134</v>
      </c>
      <c r="Q618" t="s">
        <v>211</v>
      </c>
      <c r="R618" t="s">
        <v>156</v>
      </c>
      <c r="S618" t="s">
        <v>128</v>
      </c>
      <c r="T618" t="s">
        <v>165</v>
      </c>
      <c r="U618" t="s">
        <v>151</v>
      </c>
      <c r="V618" t="s">
        <v>74</v>
      </c>
      <c r="W618" s="58">
        <v>43341</v>
      </c>
      <c r="X618" s="59">
        <v>0.44791666666666669</v>
      </c>
      <c r="Y618" s="59">
        <v>0.5</v>
      </c>
      <c r="Z618" s="59">
        <v>5.2083333333333336E-2</v>
      </c>
      <c r="AA618">
        <v>0</v>
      </c>
      <c r="AB618">
        <v>2.9318</v>
      </c>
      <c r="AC618">
        <v>25</v>
      </c>
      <c r="AD618">
        <v>11.25</v>
      </c>
      <c r="AE618" s="59">
        <v>0.44791666666666669</v>
      </c>
      <c r="AF618" s="59">
        <v>0.4993055555555555</v>
      </c>
      <c r="AG618">
        <v>0</v>
      </c>
    </row>
    <row r="619" spans="1:33" x14ac:dyDescent="0.25">
      <c r="A619" t="s">
        <v>258</v>
      </c>
      <c r="B619" t="s">
        <v>278</v>
      </c>
      <c r="C619" t="s">
        <v>279</v>
      </c>
      <c r="E619" t="s">
        <v>280</v>
      </c>
      <c r="F619" t="s">
        <v>134</v>
      </c>
      <c r="H619" t="s">
        <v>144</v>
      </c>
      <c r="I619" t="s">
        <v>133</v>
      </c>
      <c r="J619" t="s">
        <v>266</v>
      </c>
      <c r="K619" t="s">
        <v>365</v>
      </c>
      <c r="L619" t="s">
        <v>366</v>
      </c>
      <c r="N619" t="s">
        <v>367</v>
      </c>
      <c r="O619" t="s">
        <v>134</v>
      </c>
      <c r="Q619" t="s">
        <v>211</v>
      </c>
      <c r="R619" t="s">
        <v>145</v>
      </c>
      <c r="S619" t="s">
        <v>128</v>
      </c>
      <c r="T619" t="s">
        <v>165</v>
      </c>
      <c r="U619" t="s">
        <v>129</v>
      </c>
      <c r="V619" t="s">
        <v>74</v>
      </c>
      <c r="W619" s="58">
        <v>43341</v>
      </c>
      <c r="X619" s="59">
        <v>0.54166666666666663</v>
      </c>
      <c r="Y619" s="59">
        <v>0.58333333333333337</v>
      </c>
      <c r="Z619" s="59">
        <v>4.1666666666666664E-2</v>
      </c>
      <c r="AA619">
        <v>0</v>
      </c>
      <c r="AB619">
        <v>10.896599999999999</v>
      </c>
      <c r="AC619">
        <v>23</v>
      </c>
      <c r="AD619">
        <v>9</v>
      </c>
      <c r="AE619" s="59">
        <v>0.54166666666666663</v>
      </c>
      <c r="AF619" s="59">
        <v>0.58263888888888882</v>
      </c>
      <c r="AG619">
        <v>0</v>
      </c>
    </row>
    <row r="620" spans="1:33" x14ac:dyDescent="0.25">
      <c r="A620" t="s">
        <v>368</v>
      </c>
      <c r="B620" t="s">
        <v>369</v>
      </c>
      <c r="C620" t="s">
        <v>370</v>
      </c>
      <c r="E620" t="s">
        <v>292</v>
      </c>
      <c r="F620" t="s">
        <v>134</v>
      </c>
      <c r="H620" t="s">
        <v>154</v>
      </c>
      <c r="I620" t="s">
        <v>155</v>
      </c>
      <c r="J620" t="s">
        <v>266</v>
      </c>
      <c r="K620" t="s">
        <v>365</v>
      </c>
      <c r="L620" t="s">
        <v>366</v>
      </c>
      <c r="N620" t="s">
        <v>367</v>
      </c>
      <c r="O620" t="s">
        <v>134</v>
      </c>
      <c r="Q620" t="s">
        <v>211</v>
      </c>
      <c r="R620" t="s">
        <v>212</v>
      </c>
      <c r="S620" t="s">
        <v>128</v>
      </c>
      <c r="T620" t="s">
        <v>165</v>
      </c>
      <c r="U620" t="s">
        <v>213</v>
      </c>
      <c r="V620" t="s">
        <v>74</v>
      </c>
      <c r="W620" s="58">
        <v>43341</v>
      </c>
      <c r="X620" s="59">
        <v>0.72916666666666663</v>
      </c>
      <c r="Y620" s="59">
        <v>0.94791666666666663</v>
      </c>
      <c r="Z620" s="59">
        <v>0.21875</v>
      </c>
      <c r="AA620">
        <v>0</v>
      </c>
      <c r="AC620">
        <v>105</v>
      </c>
      <c r="AD620">
        <v>47.25</v>
      </c>
      <c r="AE620" s="59">
        <v>0.72916666666666663</v>
      </c>
      <c r="AF620" s="59">
        <v>0.89513888888888893</v>
      </c>
      <c r="AG620">
        <v>0</v>
      </c>
    </row>
    <row r="621" spans="1:33" x14ac:dyDescent="0.25">
      <c r="A621" t="s">
        <v>258</v>
      </c>
      <c r="B621" t="s">
        <v>342</v>
      </c>
      <c r="C621" t="s">
        <v>343</v>
      </c>
      <c r="E621" t="s">
        <v>344</v>
      </c>
      <c r="F621" t="s">
        <v>134</v>
      </c>
      <c r="H621" t="s">
        <v>197</v>
      </c>
      <c r="I621" t="s">
        <v>198</v>
      </c>
      <c r="J621" t="s">
        <v>266</v>
      </c>
      <c r="K621" t="s">
        <v>365</v>
      </c>
      <c r="L621" t="s">
        <v>366</v>
      </c>
      <c r="N621" t="s">
        <v>367</v>
      </c>
      <c r="O621" t="s">
        <v>134</v>
      </c>
      <c r="Q621" t="s">
        <v>211</v>
      </c>
      <c r="R621" t="s">
        <v>199</v>
      </c>
      <c r="S621" t="s">
        <v>128</v>
      </c>
      <c r="T621" t="s">
        <v>165</v>
      </c>
      <c r="U621" t="s">
        <v>151</v>
      </c>
      <c r="V621" t="s">
        <v>75</v>
      </c>
      <c r="W621" s="58">
        <v>43342</v>
      </c>
      <c r="X621" s="59">
        <v>0.33333333333333331</v>
      </c>
      <c r="Y621" s="59">
        <v>0.375</v>
      </c>
      <c r="Z621" s="59">
        <v>4.1666666666666664E-2</v>
      </c>
      <c r="AA621">
        <v>0</v>
      </c>
      <c r="AC621">
        <v>20</v>
      </c>
      <c r="AD621">
        <v>9</v>
      </c>
      <c r="AE621" s="59">
        <v>0.33333333333333331</v>
      </c>
      <c r="AF621" s="59">
        <v>0.3743055555555555</v>
      </c>
      <c r="AG621">
        <v>0</v>
      </c>
    </row>
    <row r="622" spans="1:33" x14ac:dyDescent="0.25">
      <c r="A622" t="s">
        <v>258</v>
      </c>
      <c r="B622" t="s">
        <v>278</v>
      </c>
      <c r="C622" t="s">
        <v>279</v>
      </c>
      <c r="E622" t="s">
        <v>280</v>
      </c>
      <c r="F622" t="s">
        <v>134</v>
      </c>
      <c r="H622" t="s">
        <v>144</v>
      </c>
      <c r="I622" t="s">
        <v>133</v>
      </c>
      <c r="J622" t="s">
        <v>266</v>
      </c>
      <c r="K622" t="s">
        <v>365</v>
      </c>
      <c r="L622" t="s">
        <v>366</v>
      </c>
      <c r="N622" t="s">
        <v>367</v>
      </c>
      <c r="O622" t="s">
        <v>134</v>
      </c>
      <c r="Q622" t="s">
        <v>211</v>
      </c>
      <c r="R622" t="s">
        <v>145</v>
      </c>
      <c r="S622" t="s">
        <v>128</v>
      </c>
      <c r="T622" t="s">
        <v>165</v>
      </c>
      <c r="U622" t="s">
        <v>129</v>
      </c>
      <c r="V622" t="s">
        <v>75</v>
      </c>
      <c r="W622" s="58">
        <v>43342</v>
      </c>
      <c r="X622" s="59">
        <v>0.42708333333333331</v>
      </c>
      <c r="Y622" s="59">
        <v>0.46875</v>
      </c>
      <c r="Z622" s="59">
        <v>4.1666666666666664E-2</v>
      </c>
      <c r="AA622">
        <v>0</v>
      </c>
      <c r="AB622">
        <v>8.7148000000000003</v>
      </c>
      <c r="AC622">
        <v>23</v>
      </c>
      <c r="AD622">
        <v>9</v>
      </c>
      <c r="AE622" s="59">
        <v>0.42708333333333331</v>
      </c>
      <c r="AF622" s="59">
        <v>0.4680555555555555</v>
      </c>
      <c r="AG622">
        <v>0</v>
      </c>
    </row>
    <row r="623" spans="1:33" x14ac:dyDescent="0.25">
      <c r="A623" t="s">
        <v>274</v>
      </c>
      <c r="B623" t="s">
        <v>334</v>
      </c>
      <c r="C623" t="s">
        <v>285</v>
      </c>
      <c r="E623" t="s">
        <v>335</v>
      </c>
      <c r="F623" t="s">
        <v>134</v>
      </c>
      <c r="H623" t="s">
        <v>192</v>
      </c>
      <c r="I623" t="s">
        <v>155</v>
      </c>
      <c r="J623" t="s">
        <v>266</v>
      </c>
      <c r="K623" t="s">
        <v>365</v>
      </c>
      <c r="L623" t="s">
        <v>366</v>
      </c>
      <c r="N623" t="s">
        <v>367</v>
      </c>
      <c r="O623" t="s">
        <v>134</v>
      </c>
      <c r="Q623" t="s">
        <v>211</v>
      </c>
      <c r="R623" t="s">
        <v>193</v>
      </c>
      <c r="S623" t="s">
        <v>128</v>
      </c>
      <c r="T623" t="s">
        <v>165</v>
      </c>
      <c r="U623" t="s">
        <v>129</v>
      </c>
      <c r="V623" t="s">
        <v>75</v>
      </c>
      <c r="W623" s="58">
        <v>43342</v>
      </c>
      <c r="X623" s="59">
        <v>0.70833333333333337</v>
      </c>
      <c r="Y623" s="59">
        <v>0.75</v>
      </c>
      <c r="Z623" s="59">
        <v>4.1666666666666664E-2</v>
      </c>
      <c r="AA623">
        <v>0</v>
      </c>
      <c r="AC623">
        <v>23</v>
      </c>
      <c r="AD623">
        <v>9</v>
      </c>
      <c r="AE623" s="59">
        <v>0.70833333333333337</v>
      </c>
      <c r="AF623" s="59">
        <v>0.74930555555555556</v>
      </c>
      <c r="AG623">
        <v>0</v>
      </c>
    </row>
    <row r="624" spans="1:33" x14ac:dyDescent="0.25">
      <c r="A624" t="s">
        <v>258</v>
      </c>
      <c r="B624" t="s">
        <v>342</v>
      </c>
      <c r="C624" t="s">
        <v>343</v>
      </c>
      <c r="E624" t="s">
        <v>344</v>
      </c>
      <c r="F624" t="s">
        <v>134</v>
      </c>
      <c r="H624" t="s">
        <v>197</v>
      </c>
      <c r="I624" t="s">
        <v>198</v>
      </c>
      <c r="J624" t="s">
        <v>266</v>
      </c>
      <c r="K624" t="s">
        <v>365</v>
      </c>
      <c r="L624" t="s">
        <v>366</v>
      </c>
      <c r="N624" t="s">
        <v>367</v>
      </c>
      <c r="O624" t="s">
        <v>134</v>
      </c>
      <c r="Q624" t="s">
        <v>211</v>
      </c>
      <c r="R624" t="s">
        <v>199</v>
      </c>
      <c r="S624" t="s">
        <v>128</v>
      </c>
      <c r="T624" t="s">
        <v>165</v>
      </c>
      <c r="U624" t="s">
        <v>151</v>
      </c>
      <c r="V624" t="s">
        <v>76</v>
      </c>
      <c r="W624" s="58">
        <v>43343</v>
      </c>
      <c r="X624" s="59">
        <v>0.33333333333333331</v>
      </c>
      <c r="Y624" s="59">
        <v>0.375</v>
      </c>
      <c r="Z624" s="59">
        <v>4.1666666666666664E-2</v>
      </c>
      <c r="AA624">
        <v>0</v>
      </c>
      <c r="AC624">
        <v>20</v>
      </c>
      <c r="AD624">
        <v>9</v>
      </c>
      <c r="AE624" s="59">
        <v>0.33333333333333331</v>
      </c>
      <c r="AF624" s="59">
        <v>0.3743055555555555</v>
      </c>
      <c r="AG624">
        <v>0</v>
      </c>
    </row>
    <row r="625" spans="1:33" x14ac:dyDescent="0.25">
      <c r="A625" t="s">
        <v>258</v>
      </c>
      <c r="B625" t="s">
        <v>354</v>
      </c>
      <c r="C625" t="s">
        <v>355</v>
      </c>
      <c r="E625" t="s">
        <v>356</v>
      </c>
      <c r="F625" t="s">
        <v>134</v>
      </c>
      <c r="H625" t="s">
        <v>205</v>
      </c>
      <c r="I625" t="s">
        <v>198</v>
      </c>
      <c r="J625" t="s">
        <v>266</v>
      </c>
      <c r="K625" t="s">
        <v>365</v>
      </c>
      <c r="L625" t="s">
        <v>366</v>
      </c>
      <c r="N625" t="s">
        <v>367</v>
      </c>
      <c r="O625" t="s">
        <v>134</v>
      </c>
      <c r="Q625" t="s">
        <v>211</v>
      </c>
      <c r="R625" t="s">
        <v>206</v>
      </c>
      <c r="S625" t="s">
        <v>128</v>
      </c>
      <c r="T625" t="s">
        <v>165</v>
      </c>
      <c r="U625" t="s">
        <v>129</v>
      </c>
      <c r="V625" t="s">
        <v>76</v>
      </c>
      <c r="W625" s="58">
        <v>43343</v>
      </c>
      <c r="X625" s="59">
        <v>0.3888888888888889</v>
      </c>
      <c r="Y625" s="59">
        <v>0.43055555555555558</v>
      </c>
      <c r="Z625" s="59">
        <v>4.1666666666666664E-2</v>
      </c>
      <c r="AA625">
        <v>0</v>
      </c>
      <c r="AB625">
        <v>2.1305999999999998</v>
      </c>
      <c r="AC625">
        <v>23</v>
      </c>
      <c r="AD625">
        <v>9</v>
      </c>
      <c r="AE625" s="59">
        <v>0.3888888888888889</v>
      </c>
      <c r="AF625" s="59">
        <v>0.42986111111111108</v>
      </c>
      <c r="AG625">
        <v>0</v>
      </c>
    </row>
    <row r="626" spans="1:33" x14ac:dyDescent="0.25">
      <c r="A626" t="s">
        <v>258</v>
      </c>
      <c r="B626" t="s">
        <v>278</v>
      </c>
      <c r="C626" t="s">
        <v>279</v>
      </c>
      <c r="E626" t="s">
        <v>280</v>
      </c>
      <c r="F626" t="s">
        <v>134</v>
      </c>
      <c r="H626" t="s">
        <v>144</v>
      </c>
      <c r="I626" t="s">
        <v>133</v>
      </c>
      <c r="J626" t="s">
        <v>266</v>
      </c>
      <c r="K626" t="s">
        <v>365</v>
      </c>
      <c r="L626" t="s">
        <v>366</v>
      </c>
      <c r="N626" t="s">
        <v>367</v>
      </c>
      <c r="O626" t="s">
        <v>134</v>
      </c>
      <c r="Q626" t="s">
        <v>211</v>
      </c>
      <c r="R626" t="s">
        <v>145</v>
      </c>
      <c r="S626" t="s">
        <v>128</v>
      </c>
      <c r="T626" t="s">
        <v>165</v>
      </c>
      <c r="U626" t="s">
        <v>129</v>
      </c>
      <c r="V626" t="s">
        <v>76</v>
      </c>
      <c r="W626" s="58">
        <v>43343</v>
      </c>
      <c r="X626" s="59">
        <v>0.5</v>
      </c>
      <c r="Y626" s="59">
        <v>0.54166666666666663</v>
      </c>
      <c r="Z626" s="59">
        <v>4.1666666666666664E-2</v>
      </c>
      <c r="AA626">
        <v>0</v>
      </c>
      <c r="AB626">
        <v>5.9363999999999999</v>
      </c>
      <c r="AC626">
        <v>23</v>
      </c>
      <c r="AD626">
        <v>9</v>
      </c>
      <c r="AE626" s="59">
        <v>0.5</v>
      </c>
      <c r="AF626" s="59">
        <v>0.54097222222222219</v>
      </c>
      <c r="AG626">
        <v>0</v>
      </c>
    </row>
    <row r="627" spans="1:33" x14ac:dyDescent="0.25">
      <c r="A627" t="s">
        <v>258</v>
      </c>
      <c r="B627" t="s">
        <v>278</v>
      </c>
      <c r="C627" t="s">
        <v>279</v>
      </c>
      <c r="E627" t="s">
        <v>280</v>
      </c>
      <c r="F627" t="s">
        <v>134</v>
      </c>
      <c r="H627" t="s">
        <v>144</v>
      </c>
      <c r="I627" t="s">
        <v>133</v>
      </c>
      <c r="J627" t="s">
        <v>266</v>
      </c>
      <c r="K627" t="s">
        <v>365</v>
      </c>
      <c r="L627" t="s">
        <v>366</v>
      </c>
      <c r="N627" t="s">
        <v>367</v>
      </c>
      <c r="O627" t="s">
        <v>134</v>
      </c>
      <c r="Q627" t="s">
        <v>211</v>
      </c>
      <c r="R627" t="s">
        <v>145</v>
      </c>
      <c r="S627" t="s">
        <v>128</v>
      </c>
      <c r="T627" t="s">
        <v>165</v>
      </c>
      <c r="U627" t="s">
        <v>129</v>
      </c>
      <c r="V627" t="s">
        <v>76</v>
      </c>
      <c r="W627" s="58">
        <v>43343</v>
      </c>
      <c r="X627" s="59">
        <v>0.70833333333333337</v>
      </c>
      <c r="Y627" s="59">
        <v>0.75</v>
      </c>
      <c r="Z627" s="59">
        <v>4.1666666666666664E-2</v>
      </c>
      <c r="AA627">
        <v>0</v>
      </c>
      <c r="AC627">
        <v>23</v>
      </c>
      <c r="AD627">
        <v>9</v>
      </c>
      <c r="AE627" s="59">
        <v>0.70833333333333337</v>
      </c>
      <c r="AF627" s="59">
        <v>0.74930555555555556</v>
      </c>
      <c r="AG627">
        <v>0</v>
      </c>
    </row>
    <row r="628" spans="1:33" x14ac:dyDescent="0.25">
      <c r="A628" t="s">
        <v>258</v>
      </c>
      <c r="B628" t="s">
        <v>342</v>
      </c>
      <c r="C628" t="s">
        <v>343</v>
      </c>
      <c r="E628" t="s">
        <v>344</v>
      </c>
      <c r="F628" t="s">
        <v>134</v>
      </c>
      <c r="H628" t="s">
        <v>197</v>
      </c>
      <c r="I628" t="s">
        <v>198</v>
      </c>
      <c r="J628" t="s">
        <v>266</v>
      </c>
      <c r="K628" t="s">
        <v>365</v>
      </c>
      <c r="L628" t="s">
        <v>366</v>
      </c>
      <c r="N628" t="s">
        <v>367</v>
      </c>
      <c r="O628" t="s">
        <v>134</v>
      </c>
      <c r="Q628" t="s">
        <v>211</v>
      </c>
      <c r="R628" t="s">
        <v>199</v>
      </c>
      <c r="S628" t="s">
        <v>128</v>
      </c>
      <c r="T628" t="s">
        <v>165</v>
      </c>
      <c r="U628" t="s">
        <v>151</v>
      </c>
      <c r="V628" t="s">
        <v>77</v>
      </c>
      <c r="W628" s="58">
        <v>43344</v>
      </c>
      <c r="X628" s="59">
        <v>0.33333333333333331</v>
      </c>
      <c r="Y628" s="59">
        <v>0.375</v>
      </c>
      <c r="Z628" s="59">
        <v>4.1666666666666664E-2</v>
      </c>
      <c r="AA628">
        <v>0</v>
      </c>
      <c r="AC628">
        <v>20</v>
      </c>
      <c r="AD628">
        <v>10</v>
      </c>
      <c r="AE628" s="59">
        <v>0.33333333333333331</v>
      </c>
      <c r="AF628" s="59">
        <v>0.3743055555555555</v>
      </c>
      <c r="AG628">
        <v>0</v>
      </c>
    </row>
    <row r="629" spans="1:33" x14ac:dyDescent="0.25">
      <c r="A629" t="s">
        <v>258</v>
      </c>
      <c r="B629" t="s">
        <v>354</v>
      </c>
      <c r="C629" t="s">
        <v>355</v>
      </c>
      <c r="E629" t="s">
        <v>356</v>
      </c>
      <c r="F629" t="s">
        <v>134</v>
      </c>
      <c r="H629" t="s">
        <v>205</v>
      </c>
      <c r="I629" t="s">
        <v>198</v>
      </c>
      <c r="J629" t="s">
        <v>266</v>
      </c>
      <c r="K629" t="s">
        <v>365</v>
      </c>
      <c r="L629" t="s">
        <v>366</v>
      </c>
      <c r="N629" t="s">
        <v>367</v>
      </c>
      <c r="O629" t="s">
        <v>134</v>
      </c>
      <c r="Q629" t="s">
        <v>211</v>
      </c>
      <c r="R629" t="s">
        <v>206</v>
      </c>
      <c r="S629" t="s">
        <v>128</v>
      </c>
      <c r="T629" t="s">
        <v>165</v>
      </c>
      <c r="U629" t="s">
        <v>129</v>
      </c>
      <c r="V629" t="s">
        <v>77</v>
      </c>
      <c r="W629" s="58">
        <v>43344</v>
      </c>
      <c r="X629" s="59">
        <v>0.3888888888888889</v>
      </c>
      <c r="Y629" s="59">
        <v>0.43055555555555558</v>
      </c>
      <c r="Z629" s="59">
        <v>4.1666666666666664E-2</v>
      </c>
      <c r="AA629">
        <v>5</v>
      </c>
      <c r="AB629">
        <v>2.1305999999999998</v>
      </c>
      <c r="AC629">
        <v>23</v>
      </c>
      <c r="AD629">
        <v>10</v>
      </c>
      <c r="AE629" s="59">
        <v>0.3888888888888889</v>
      </c>
      <c r="AF629" s="59">
        <v>0.42986111111111108</v>
      </c>
      <c r="AG629">
        <v>0</v>
      </c>
    </row>
    <row r="630" spans="1:33" x14ac:dyDescent="0.25">
      <c r="A630" t="s">
        <v>258</v>
      </c>
      <c r="B630" t="s">
        <v>281</v>
      </c>
      <c r="C630" t="s">
        <v>282</v>
      </c>
      <c r="E630" t="s">
        <v>283</v>
      </c>
      <c r="F630" t="s">
        <v>134</v>
      </c>
      <c r="G630" t="s">
        <v>218</v>
      </c>
      <c r="H630" t="s">
        <v>146</v>
      </c>
      <c r="I630" t="s">
        <v>147</v>
      </c>
      <c r="J630" t="s">
        <v>266</v>
      </c>
      <c r="K630" t="s">
        <v>365</v>
      </c>
      <c r="L630" t="s">
        <v>366</v>
      </c>
      <c r="N630" t="s">
        <v>367</v>
      </c>
      <c r="O630" t="s">
        <v>134</v>
      </c>
      <c r="Q630" t="s">
        <v>211</v>
      </c>
      <c r="R630" t="s">
        <v>148</v>
      </c>
      <c r="S630" t="s">
        <v>128</v>
      </c>
      <c r="T630" t="s">
        <v>165</v>
      </c>
      <c r="U630" t="s">
        <v>129</v>
      </c>
      <c r="V630" t="s">
        <v>71</v>
      </c>
      <c r="W630" s="58">
        <v>43345</v>
      </c>
      <c r="X630" s="59">
        <v>0.75</v>
      </c>
      <c r="Y630" s="59">
        <v>0.79166666666666663</v>
      </c>
      <c r="Z630" s="59">
        <v>4.1666666666666664E-2</v>
      </c>
      <c r="AA630">
        <v>0</v>
      </c>
      <c r="AC630">
        <v>23</v>
      </c>
      <c r="AD630">
        <v>10</v>
      </c>
      <c r="AE630" s="59">
        <v>0.75</v>
      </c>
      <c r="AF630" s="59">
        <v>0.7909722222222223</v>
      </c>
      <c r="AG630">
        <v>0</v>
      </c>
    </row>
    <row r="631" spans="1:33" x14ac:dyDescent="0.25">
      <c r="A631" t="s">
        <v>258</v>
      </c>
      <c r="B631" t="s">
        <v>342</v>
      </c>
      <c r="C631" t="s">
        <v>343</v>
      </c>
      <c r="E631" t="s">
        <v>344</v>
      </c>
      <c r="F631" t="s">
        <v>134</v>
      </c>
      <c r="H631" t="s">
        <v>197</v>
      </c>
      <c r="I631" t="s">
        <v>198</v>
      </c>
      <c r="J631" t="s">
        <v>266</v>
      </c>
      <c r="K631" t="s">
        <v>365</v>
      </c>
      <c r="L631" t="s">
        <v>366</v>
      </c>
      <c r="N631" t="s">
        <v>367</v>
      </c>
      <c r="O631" t="s">
        <v>134</v>
      </c>
      <c r="Q631" t="s">
        <v>211</v>
      </c>
      <c r="R631" t="s">
        <v>199</v>
      </c>
      <c r="S631" t="s">
        <v>128</v>
      </c>
      <c r="T631" t="s">
        <v>165</v>
      </c>
      <c r="U631" t="s">
        <v>151</v>
      </c>
      <c r="V631" t="s">
        <v>75</v>
      </c>
      <c r="W631" s="58">
        <v>43356</v>
      </c>
      <c r="X631" s="59">
        <v>0.8125</v>
      </c>
      <c r="Y631" s="59">
        <v>0.85416666666666663</v>
      </c>
      <c r="Z631" s="59">
        <v>4.1666666666666664E-2</v>
      </c>
      <c r="AA631">
        <v>0</v>
      </c>
      <c r="AC631">
        <v>20</v>
      </c>
      <c r="AD631">
        <v>9</v>
      </c>
      <c r="AE631" s="59">
        <v>0.8125</v>
      </c>
      <c r="AF631" s="59">
        <v>0.8534722222222223</v>
      </c>
      <c r="AG631">
        <v>0</v>
      </c>
    </row>
    <row r="632" spans="1:33" x14ac:dyDescent="0.25">
      <c r="A632" t="s">
        <v>258</v>
      </c>
      <c r="B632" t="s">
        <v>342</v>
      </c>
      <c r="C632" t="s">
        <v>343</v>
      </c>
      <c r="E632" t="s">
        <v>344</v>
      </c>
      <c r="F632" t="s">
        <v>134</v>
      </c>
      <c r="H632" t="s">
        <v>197</v>
      </c>
      <c r="I632" t="s">
        <v>198</v>
      </c>
      <c r="J632" t="s">
        <v>258</v>
      </c>
      <c r="K632" t="s">
        <v>371</v>
      </c>
      <c r="L632" t="s">
        <v>372</v>
      </c>
      <c r="N632" t="s">
        <v>373</v>
      </c>
      <c r="O632" t="s">
        <v>134</v>
      </c>
      <c r="Q632" t="s">
        <v>214</v>
      </c>
      <c r="R632" t="s">
        <v>199</v>
      </c>
      <c r="S632" t="s">
        <v>128</v>
      </c>
      <c r="T632" t="s">
        <v>137</v>
      </c>
      <c r="U632" t="s">
        <v>151</v>
      </c>
      <c r="V632" t="s">
        <v>71</v>
      </c>
      <c r="W632" s="58">
        <v>43310</v>
      </c>
      <c r="X632" s="59">
        <v>0.33333333333333331</v>
      </c>
      <c r="Y632" s="59">
        <v>0.375</v>
      </c>
      <c r="Z632" s="59">
        <v>4.1666666666666664E-2</v>
      </c>
      <c r="AA632">
        <v>0</v>
      </c>
      <c r="AC632">
        <v>20</v>
      </c>
      <c r="AD632">
        <v>9.75</v>
      </c>
      <c r="AE632" s="59">
        <v>0.33333333333333331</v>
      </c>
      <c r="AF632" s="59">
        <v>0.3743055555555555</v>
      </c>
      <c r="AG632">
        <v>0</v>
      </c>
    </row>
    <row r="633" spans="1:33" x14ac:dyDescent="0.25">
      <c r="A633" t="s">
        <v>266</v>
      </c>
      <c r="B633" t="s">
        <v>293</v>
      </c>
      <c r="C633" t="s">
        <v>294</v>
      </c>
      <c r="E633" t="s">
        <v>295</v>
      </c>
      <c r="F633" t="s">
        <v>134</v>
      </c>
      <c r="H633" t="s">
        <v>157</v>
      </c>
      <c r="I633" t="s">
        <v>158</v>
      </c>
      <c r="J633" t="s">
        <v>258</v>
      </c>
      <c r="K633" t="s">
        <v>371</v>
      </c>
      <c r="L633" t="s">
        <v>372</v>
      </c>
      <c r="N633" t="s">
        <v>373</v>
      </c>
      <c r="O633" t="s">
        <v>134</v>
      </c>
      <c r="Q633" t="s">
        <v>214</v>
      </c>
      <c r="R633" t="s">
        <v>161</v>
      </c>
      <c r="S633" t="s">
        <v>128</v>
      </c>
      <c r="T633" t="s">
        <v>137</v>
      </c>
      <c r="U633" t="s">
        <v>163</v>
      </c>
      <c r="V633" t="s">
        <v>71</v>
      </c>
      <c r="W633" s="58">
        <v>43310</v>
      </c>
      <c r="X633" s="59">
        <v>0.38541666666666669</v>
      </c>
      <c r="Y633" s="59">
        <v>0.42708333333333331</v>
      </c>
      <c r="Z633" s="59">
        <v>4.1666666666666664E-2</v>
      </c>
      <c r="AA633">
        <v>0</v>
      </c>
      <c r="AB633">
        <v>9.4626000000000001</v>
      </c>
      <c r="AC633">
        <v>18</v>
      </c>
      <c r="AD633">
        <v>9.75</v>
      </c>
      <c r="AE633" s="59">
        <v>0.38541666666666669</v>
      </c>
      <c r="AF633" s="59">
        <v>0.42638888888888887</v>
      </c>
      <c r="AG633">
        <v>0</v>
      </c>
    </row>
    <row r="634" spans="1:33" x14ac:dyDescent="0.25">
      <c r="A634" t="s">
        <v>258</v>
      </c>
      <c r="B634" t="s">
        <v>325</v>
      </c>
      <c r="C634" t="s">
        <v>326</v>
      </c>
      <c r="E634" t="s">
        <v>327</v>
      </c>
      <c r="F634" t="s">
        <v>134</v>
      </c>
      <c r="H634" t="s">
        <v>182</v>
      </c>
      <c r="I634" t="s">
        <v>147</v>
      </c>
      <c r="J634" t="s">
        <v>258</v>
      </c>
      <c r="K634" t="s">
        <v>371</v>
      </c>
      <c r="L634" t="s">
        <v>372</v>
      </c>
      <c r="N634" t="s">
        <v>373</v>
      </c>
      <c r="O634" t="s">
        <v>134</v>
      </c>
      <c r="Q634" t="s">
        <v>214</v>
      </c>
      <c r="R634" t="s">
        <v>183</v>
      </c>
      <c r="S634" t="s">
        <v>128</v>
      </c>
      <c r="T634" t="s">
        <v>137</v>
      </c>
      <c r="U634" t="s">
        <v>129</v>
      </c>
      <c r="V634" t="s">
        <v>72</v>
      </c>
      <c r="W634" s="58">
        <v>43311</v>
      </c>
      <c r="X634" s="59">
        <v>0.36458333333333331</v>
      </c>
      <c r="Y634" s="59">
        <v>0.40625</v>
      </c>
      <c r="Z634" s="59">
        <v>4.1666666666666664E-2</v>
      </c>
      <c r="AA634">
        <v>0</v>
      </c>
      <c r="AC634">
        <v>23</v>
      </c>
      <c r="AD634">
        <v>8.75</v>
      </c>
      <c r="AE634" s="59">
        <v>0.36458333333333331</v>
      </c>
      <c r="AF634" s="59">
        <v>0.4055555555555555</v>
      </c>
      <c r="AG634">
        <v>0</v>
      </c>
    </row>
    <row r="635" spans="1:33" x14ac:dyDescent="0.25">
      <c r="A635" t="s">
        <v>274</v>
      </c>
      <c r="B635" t="s">
        <v>321</v>
      </c>
      <c r="C635" t="s">
        <v>322</v>
      </c>
      <c r="D635" t="s">
        <v>323</v>
      </c>
      <c r="E635" t="s">
        <v>324</v>
      </c>
      <c r="F635" t="s">
        <v>134</v>
      </c>
      <c r="H635" t="s">
        <v>184</v>
      </c>
      <c r="I635" t="s">
        <v>147</v>
      </c>
      <c r="J635" t="s">
        <v>258</v>
      </c>
      <c r="K635" t="s">
        <v>371</v>
      </c>
      <c r="L635" t="s">
        <v>372</v>
      </c>
      <c r="N635" t="s">
        <v>373</v>
      </c>
      <c r="O635" t="s">
        <v>134</v>
      </c>
      <c r="Q635" t="s">
        <v>214</v>
      </c>
      <c r="R635" t="s">
        <v>185</v>
      </c>
      <c r="S635" t="s">
        <v>128</v>
      </c>
      <c r="T635" t="s">
        <v>137</v>
      </c>
      <c r="U635" t="s">
        <v>151</v>
      </c>
      <c r="V635" t="s">
        <v>72</v>
      </c>
      <c r="W635" s="58">
        <v>43311</v>
      </c>
      <c r="X635" s="59">
        <v>0.41666666666666669</v>
      </c>
      <c r="Y635" s="59">
        <v>0.45833333333333331</v>
      </c>
      <c r="Z635" s="59">
        <v>4.1666666666666664E-2</v>
      </c>
      <c r="AA635">
        <v>0</v>
      </c>
      <c r="AB635">
        <v>2.2181999999999999</v>
      </c>
      <c r="AC635">
        <v>20</v>
      </c>
      <c r="AD635">
        <v>8.75</v>
      </c>
      <c r="AE635" s="59">
        <v>0.41666666666666669</v>
      </c>
      <c r="AF635" s="59">
        <v>0.45763888888888887</v>
      </c>
      <c r="AG635">
        <v>0</v>
      </c>
    </row>
    <row r="636" spans="1:33" x14ac:dyDescent="0.25">
      <c r="A636" t="s">
        <v>258</v>
      </c>
      <c r="B636" t="s">
        <v>314</v>
      </c>
      <c r="C636" t="s">
        <v>315</v>
      </c>
      <c r="D636">
        <v>72</v>
      </c>
      <c r="E636" t="s">
        <v>316</v>
      </c>
      <c r="F636" t="s">
        <v>317</v>
      </c>
      <c r="G636" t="s">
        <v>218</v>
      </c>
      <c r="H636" t="s">
        <v>168</v>
      </c>
      <c r="I636" t="s">
        <v>169</v>
      </c>
      <c r="J636" t="s">
        <v>258</v>
      </c>
      <c r="K636" t="s">
        <v>371</v>
      </c>
      <c r="L636" t="s">
        <v>372</v>
      </c>
      <c r="N636" t="s">
        <v>373</v>
      </c>
      <c r="O636" t="s">
        <v>134</v>
      </c>
      <c r="Q636" t="s">
        <v>214</v>
      </c>
      <c r="R636" t="s">
        <v>170</v>
      </c>
      <c r="S636" t="s">
        <v>128</v>
      </c>
      <c r="T636" t="s">
        <v>137</v>
      </c>
      <c r="U636" t="s">
        <v>129</v>
      </c>
      <c r="V636" t="s">
        <v>73</v>
      </c>
      <c r="W636" s="58">
        <v>43312</v>
      </c>
      <c r="X636" s="59">
        <v>0.33333333333333331</v>
      </c>
      <c r="Y636" s="59">
        <v>0.35416666666666669</v>
      </c>
      <c r="Z636" s="59">
        <v>2.0833333333333332E-2</v>
      </c>
      <c r="AA636">
        <v>0</v>
      </c>
      <c r="AC636">
        <v>11.5</v>
      </c>
      <c r="AD636">
        <v>4.375</v>
      </c>
      <c r="AE636" s="59">
        <v>0.33333333333333331</v>
      </c>
      <c r="AF636" s="59">
        <v>0.35347222222222219</v>
      </c>
      <c r="AG636">
        <v>0</v>
      </c>
    </row>
    <row r="637" spans="1:33" x14ac:dyDescent="0.25">
      <c r="A637" t="s">
        <v>258</v>
      </c>
      <c r="B637" t="s">
        <v>325</v>
      </c>
      <c r="C637" t="s">
        <v>326</v>
      </c>
      <c r="E637" t="s">
        <v>327</v>
      </c>
      <c r="F637" t="s">
        <v>134</v>
      </c>
      <c r="H637" t="s">
        <v>182</v>
      </c>
      <c r="I637" t="s">
        <v>147</v>
      </c>
      <c r="J637" t="s">
        <v>258</v>
      </c>
      <c r="K637" t="s">
        <v>371</v>
      </c>
      <c r="L637" t="s">
        <v>372</v>
      </c>
      <c r="N637" t="s">
        <v>373</v>
      </c>
      <c r="O637" t="s">
        <v>134</v>
      </c>
      <c r="Q637" t="s">
        <v>214</v>
      </c>
      <c r="R637" t="s">
        <v>183</v>
      </c>
      <c r="S637" t="s">
        <v>128</v>
      </c>
      <c r="T637" t="s">
        <v>137</v>
      </c>
      <c r="U637" t="s">
        <v>129</v>
      </c>
      <c r="V637" t="s">
        <v>73</v>
      </c>
      <c r="W637" s="58">
        <v>43312</v>
      </c>
      <c r="X637" s="59">
        <v>0.36458333333333331</v>
      </c>
      <c r="Y637" s="59">
        <v>0.40625</v>
      </c>
      <c r="Z637" s="59">
        <v>4.1666666666666664E-2</v>
      </c>
      <c r="AA637">
        <v>0</v>
      </c>
      <c r="AB637">
        <v>3.7126000000000001</v>
      </c>
      <c r="AC637">
        <v>23</v>
      </c>
      <c r="AD637">
        <v>8.75</v>
      </c>
      <c r="AE637" s="59">
        <v>0.36458333333333331</v>
      </c>
      <c r="AF637" s="59">
        <v>0.4055555555555555</v>
      </c>
      <c r="AG637">
        <v>0</v>
      </c>
    </row>
    <row r="638" spans="1:33" x14ac:dyDescent="0.25">
      <c r="A638" t="s">
        <v>274</v>
      </c>
      <c r="B638" t="s">
        <v>321</v>
      </c>
      <c r="C638" t="s">
        <v>322</v>
      </c>
      <c r="D638" t="s">
        <v>323</v>
      </c>
      <c r="E638" t="s">
        <v>324</v>
      </c>
      <c r="F638" t="s">
        <v>134</v>
      </c>
      <c r="H638" t="s">
        <v>184</v>
      </c>
      <c r="I638" t="s">
        <v>147</v>
      </c>
      <c r="J638" t="s">
        <v>258</v>
      </c>
      <c r="K638" t="s">
        <v>371</v>
      </c>
      <c r="L638" t="s">
        <v>372</v>
      </c>
      <c r="N638" t="s">
        <v>373</v>
      </c>
      <c r="O638" t="s">
        <v>134</v>
      </c>
      <c r="Q638" t="s">
        <v>214</v>
      </c>
      <c r="R638" t="s">
        <v>185</v>
      </c>
      <c r="S638" t="s">
        <v>128</v>
      </c>
      <c r="T638" t="s">
        <v>137</v>
      </c>
      <c r="U638" t="s">
        <v>151</v>
      </c>
      <c r="V638" t="s">
        <v>73</v>
      </c>
      <c r="W638" s="58">
        <v>43312</v>
      </c>
      <c r="X638" s="59">
        <v>0.41666666666666669</v>
      </c>
      <c r="Y638" s="59">
        <v>0.45833333333333331</v>
      </c>
      <c r="Z638" s="59">
        <v>4.1666666666666664E-2</v>
      </c>
      <c r="AA638">
        <v>0</v>
      </c>
      <c r="AB638">
        <v>2.2181999999999999</v>
      </c>
      <c r="AC638">
        <v>20</v>
      </c>
      <c r="AD638">
        <v>8.75</v>
      </c>
      <c r="AE638" s="59">
        <v>0.41666666666666669</v>
      </c>
      <c r="AF638" s="59">
        <v>0.45763888888888887</v>
      </c>
      <c r="AG638">
        <v>0</v>
      </c>
    </row>
    <row r="639" spans="1:33" x14ac:dyDescent="0.25">
      <c r="A639" t="s">
        <v>258</v>
      </c>
      <c r="B639" t="s">
        <v>325</v>
      </c>
      <c r="C639" t="s">
        <v>326</v>
      </c>
      <c r="E639" t="s">
        <v>327</v>
      </c>
      <c r="F639" t="s">
        <v>134</v>
      </c>
      <c r="H639" t="s">
        <v>182</v>
      </c>
      <c r="I639" t="s">
        <v>147</v>
      </c>
      <c r="J639" t="s">
        <v>258</v>
      </c>
      <c r="K639" t="s">
        <v>371</v>
      </c>
      <c r="L639" t="s">
        <v>372</v>
      </c>
      <c r="N639" t="s">
        <v>373</v>
      </c>
      <c r="O639" t="s">
        <v>134</v>
      </c>
      <c r="Q639" t="s">
        <v>214</v>
      </c>
      <c r="R639" t="s">
        <v>183</v>
      </c>
      <c r="S639" t="s">
        <v>128</v>
      </c>
      <c r="T639" t="s">
        <v>137</v>
      </c>
      <c r="U639" t="s">
        <v>129</v>
      </c>
      <c r="V639" t="s">
        <v>74</v>
      </c>
      <c r="W639" s="58">
        <v>43313</v>
      </c>
      <c r="X639" s="59">
        <v>0.36458333333333331</v>
      </c>
      <c r="Y639" s="59">
        <v>0.40625</v>
      </c>
      <c r="Z639" s="59">
        <v>4.1666666666666664E-2</v>
      </c>
      <c r="AA639">
        <v>0</v>
      </c>
      <c r="AC639">
        <v>23</v>
      </c>
      <c r="AD639">
        <v>8.75</v>
      </c>
      <c r="AE639" s="59">
        <v>0.36458333333333331</v>
      </c>
      <c r="AF639" s="59">
        <v>0.4055555555555555</v>
      </c>
      <c r="AG639">
        <v>0</v>
      </c>
    </row>
    <row r="640" spans="1:33" x14ac:dyDescent="0.25">
      <c r="A640" t="s">
        <v>274</v>
      </c>
      <c r="B640" t="s">
        <v>321</v>
      </c>
      <c r="C640" t="s">
        <v>322</v>
      </c>
      <c r="D640" t="s">
        <v>323</v>
      </c>
      <c r="E640" t="s">
        <v>324</v>
      </c>
      <c r="F640" t="s">
        <v>134</v>
      </c>
      <c r="H640" t="s">
        <v>184</v>
      </c>
      <c r="I640" t="s">
        <v>147</v>
      </c>
      <c r="J640" t="s">
        <v>258</v>
      </c>
      <c r="K640" t="s">
        <v>371</v>
      </c>
      <c r="L640" t="s">
        <v>372</v>
      </c>
      <c r="N640" t="s">
        <v>373</v>
      </c>
      <c r="O640" t="s">
        <v>134</v>
      </c>
      <c r="Q640" t="s">
        <v>214</v>
      </c>
      <c r="R640" t="s">
        <v>185</v>
      </c>
      <c r="S640" t="s">
        <v>128</v>
      </c>
      <c r="T640" t="s">
        <v>137</v>
      </c>
      <c r="U640" t="s">
        <v>151</v>
      </c>
      <c r="V640" t="s">
        <v>74</v>
      </c>
      <c r="W640" s="58">
        <v>43313</v>
      </c>
      <c r="X640" s="59">
        <v>0.41666666666666669</v>
      </c>
      <c r="Y640" s="59">
        <v>0.45833333333333331</v>
      </c>
      <c r="Z640" s="59">
        <v>4.1666666666666664E-2</v>
      </c>
      <c r="AA640">
        <v>0</v>
      </c>
      <c r="AB640">
        <v>2.2181999999999999</v>
      </c>
      <c r="AC640">
        <v>20</v>
      </c>
      <c r="AD640">
        <v>8.75</v>
      </c>
      <c r="AE640" s="59">
        <v>0.41666666666666669</v>
      </c>
      <c r="AF640" s="59">
        <v>0.45763888888888887</v>
      </c>
      <c r="AG640">
        <v>0</v>
      </c>
    </row>
    <row r="641" spans="1:33" x14ac:dyDescent="0.25">
      <c r="A641" t="s">
        <v>274</v>
      </c>
      <c r="B641" t="s">
        <v>336</v>
      </c>
      <c r="C641" t="s">
        <v>337</v>
      </c>
      <c r="E641" t="s">
        <v>338</v>
      </c>
      <c r="F641" t="s">
        <v>134</v>
      </c>
      <c r="H641" t="s">
        <v>186</v>
      </c>
      <c r="I641" t="s">
        <v>147</v>
      </c>
      <c r="J641" t="s">
        <v>258</v>
      </c>
      <c r="K641" t="s">
        <v>371</v>
      </c>
      <c r="L641" t="s">
        <v>372</v>
      </c>
      <c r="N641" t="s">
        <v>373</v>
      </c>
      <c r="O641" t="s">
        <v>134</v>
      </c>
      <c r="Q641" t="s">
        <v>214</v>
      </c>
      <c r="R641" t="s">
        <v>187</v>
      </c>
      <c r="S641" t="s">
        <v>128</v>
      </c>
      <c r="T641" t="s">
        <v>137</v>
      </c>
      <c r="U641" t="s">
        <v>151</v>
      </c>
      <c r="V641" t="s">
        <v>75</v>
      </c>
      <c r="W641" s="58">
        <v>43314</v>
      </c>
      <c r="X641" s="59">
        <v>0.38541666666666669</v>
      </c>
      <c r="Y641" s="59">
        <v>0.42708333333333331</v>
      </c>
      <c r="Z641" s="59">
        <v>4.1666666666666664E-2</v>
      </c>
      <c r="AA641">
        <v>0</v>
      </c>
      <c r="AC641">
        <v>20</v>
      </c>
      <c r="AD641">
        <v>8.75</v>
      </c>
      <c r="AE641" s="59">
        <v>0.38541666666666669</v>
      </c>
      <c r="AF641" s="59">
        <v>0.42638888888888887</v>
      </c>
      <c r="AG641">
        <v>0</v>
      </c>
    </row>
    <row r="642" spans="1:33" x14ac:dyDescent="0.25">
      <c r="A642" t="s">
        <v>258</v>
      </c>
      <c r="B642" t="s">
        <v>270</v>
      </c>
      <c r="C642" t="s">
        <v>271</v>
      </c>
      <c r="D642" t="s">
        <v>272</v>
      </c>
      <c r="E642" t="s">
        <v>273</v>
      </c>
      <c r="F642" t="s">
        <v>134</v>
      </c>
      <c r="H642" t="s">
        <v>138</v>
      </c>
      <c r="I642" t="s">
        <v>139</v>
      </c>
      <c r="J642" t="s">
        <v>258</v>
      </c>
      <c r="K642" t="s">
        <v>371</v>
      </c>
      <c r="L642" t="s">
        <v>372</v>
      </c>
      <c r="N642" t="s">
        <v>373</v>
      </c>
      <c r="O642" t="s">
        <v>134</v>
      </c>
      <c r="Q642" t="s">
        <v>214</v>
      </c>
      <c r="R642" t="s">
        <v>140</v>
      </c>
      <c r="S642" t="s">
        <v>128</v>
      </c>
      <c r="T642" t="s">
        <v>137</v>
      </c>
      <c r="U642" t="s">
        <v>129</v>
      </c>
      <c r="V642" t="s">
        <v>76</v>
      </c>
      <c r="W642" s="58">
        <v>43315</v>
      </c>
      <c r="X642" s="59">
        <v>0.33333333333333331</v>
      </c>
      <c r="Y642" s="59">
        <v>0.375</v>
      </c>
      <c r="Z642" s="59">
        <v>4.1666666666666664E-2</v>
      </c>
      <c r="AA642">
        <v>0</v>
      </c>
      <c r="AC642">
        <v>23</v>
      </c>
      <c r="AD642">
        <v>8.75</v>
      </c>
      <c r="AE642" s="59">
        <v>0.33333333333333331</v>
      </c>
      <c r="AF642" s="59">
        <v>0.3743055555555555</v>
      </c>
      <c r="AG642">
        <v>0</v>
      </c>
    </row>
    <row r="643" spans="1:33" x14ac:dyDescent="0.25">
      <c r="A643" t="s">
        <v>274</v>
      </c>
      <c r="B643" t="s">
        <v>275</v>
      </c>
      <c r="C643" t="s">
        <v>276</v>
      </c>
      <c r="E643" t="s">
        <v>277</v>
      </c>
      <c r="F643" t="s">
        <v>134</v>
      </c>
      <c r="H643" t="s">
        <v>141</v>
      </c>
      <c r="I643" t="s">
        <v>142</v>
      </c>
      <c r="J643" t="s">
        <v>258</v>
      </c>
      <c r="K643" t="s">
        <v>371</v>
      </c>
      <c r="L643" t="s">
        <v>372</v>
      </c>
      <c r="N643" t="s">
        <v>373</v>
      </c>
      <c r="O643" t="s">
        <v>134</v>
      </c>
      <c r="Q643" t="s">
        <v>214</v>
      </c>
      <c r="R643" t="s">
        <v>143</v>
      </c>
      <c r="S643" t="s">
        <v>128</v>
      </c>
      <c r="T643" t="s">
        <v>137</v>
      </c>
      <c r="U643" t="s">
        <v>129</v>
      </c>
      <c r="V643" t="s">
        <v>76</v>
      </c>
      <c r="W643" s="58">
        <v>43315</v>
      </c>
      <c r="X643" s="59">
        <v>0.3888888888888889</v>
      </c>
      <c r="Y643" s="59">
        <v>0.43055555555555558</v>
      </c>
      <c r="Z643" s="59">
        <v>4.1666666666666664E-2</v>
      </c>
      <c r="AA643">
        <v>0</v>
      </c>
      <c r="AB643">
        <v>0.9</v>
      </c>
      <c r="AC643">
        <v>23</v>
      </c>
      <c r="AD643">
        <v>8.75</v>
      </c>
      <c r="AE643" s="59">
        <v>0.3888888888888889</v>
      </c>
      <c r="AF643" s="59">
        <v>0.42986111111111108</v>
      </c>
      <c r="AG643">
        <v>0</v>
      </c>
    </row>
    <row r="644" spans="1:33" x14ac:dyDescent="0.25">
      <c r="A644" t="s">
        <v>258</v>
      </c>
      <c r="B644" t="s">
        <v>342</v>
      </c>
      <c r="C644" t="s">
        <v>343</v>
      </c>
      <c r="E644" t="s">
        <v>344</v>
      </c>
      <c r="F644" t="s">
        <v>134</v>
      </c>
      <c r="H644" t="s">
        <v>197</v>
      </c>
      <c r="I644" t="s">
        <v>198</v>
      </c>
      <c r="J644" t="s">
        <v>258</v>
      </c>
      <c r="K644" t="s">
        <v>371</v>
      </c>
      <c r="L644" t="s">
        <v>372</v>
      </c>
      <c r="N644" t="s">
        <v>373</v>
      </c>
      <c r="O644" t="s">
        <v>134</v>
      </c>
      <c r="Q644" t="s">
        <v>214</v>
      </c>
      <c r="R644" t="s">
        <v>199</v>
      </c>
      <c r="S644" t="s">
        <v>128</v>
      </c>
      <c r="T644" t="s">
        <v>137</v>
      </c>
      <c r="U644" t="s">
        <v>151</v>
      </c>
      <c r="V644" t="s">
        <v>77</v>
      </c>
      <c r="W644" s="58">
        <v>43316</v>
      </c>
      <c r="X644" s="59">
        <v>0.33333333333333331</v>
      </c>
      <c r="Y644" s="59">
        <v>0.375</v>
      </c>
      <c r="Z644" s="59">
        <v>4.1666666666666664E-2</v>
      </c>
      <c r="AA644">
        <v>0</v>
      </c>
      <c r="AC644">
        <v>20</v>
      </c>
      <c r="AD644">
        <v>9.75</v>
      </c>
      <c r="AE644" s="59">
        <v>0.33333333333333331</v>
      </c>
      <c r="AF644" s="59">
        <v>0.3743055555555555</v>
      </c>
      <c r="AG644">
        <v>0</v>
      </c>
    </row>
    <row r="645" spans="1:33" x14ac:dyDescent="0.25">
      <c r="A645" t="s">
        <v>274</v>
      </c>
      <c r="B645" t="s">
        <v>334</v>
      </c>
      <c r="C645" t="s">
        <v>285</v>
      </c>
      <c r="E645" t="s">
        <v>335</v>
      </c>
      <c r="F645" t="s">
        <v>134</v>
      </c>
      <c r="H645" t="s">
        <v>192</v>
      </c>
      <c r="I645" t="s">
        <v>155</v>
      </c>
      <c r="J645" t="s">
        <v>258</v>
      </c>
      <c r="K645" t="s">
        <v>371</v>
      </c>
      <c r="L645" t="s">
        <v>372</v>
      </c>
      <c r="N645" t="s">
        <v>373</v>
      </c>
      <c r="O645" t="s">
        <v>134</v>
      </c>
      <c r="Q645" t="s">
        <v>214</v>
      </c>
      <c r="R645" t="s">
        <v>193</v>
      </c>
      <c r="S645" t="s">
        <v>128</v>
      </c>
      <c r="T645" t="s">
        <v>137</v>
      </c>
      <c r="U645" t="s">
        <v>129</v>
      </c>
      <c r="V645" t="s">
        <v>77</v>
      </c>
      <c r="W645" s="58">
        <v>43316</v>
      </c>
      <c r="X645" s="59">
        <v>0.39583333333333331</v>
      </c>
      <c r="Y645" s="59">
        <v>0.4375</v>
      </c>
      <c r="Z645" s="59">
        <v>4.1666666666666664E-2</v>
      </c>
      <c r="AA645">
        <v>0</v>
      </c>
      <c r="AB645">
        <v>2.1818</v>
      </c>
      <c r="AD645">
        <v>9.75</v>
      </c>
      <c r="AE645" s="59">
        <v>0.39583333333333331</v>
      </c>
      <c r="AF645" s="59">
        <v>0.4368055555555555</v>
      </c>
      <c r="AG645">
        <v>0</v>
      </c>
    </row>
    <row r="646" spans="1:33" x14ac:dyDescent="0.25">
      <c r="A646" t="s">
        <v>258</v>
      </c>
      <c r="B646" t="s">
        <v>342</v>
      </c>
      <c r="C646" t="s">
        <v>343</v>
      </c>
      <c r="E646" t="s">
        <v>344</v>
      </c>
      <c r="F646" t="s">
        <v>134</v>
      </c>
      <c r="H646" t="s">
        <v>197</v>
      </c>
      <c r="I646" t="s">
        <v>198</v>
      </c>
      <c r="J646" t="s">
        <v>258</v>
      </c>
      <c r="K646" t="s">
        <v>371</v>
      </c>
      <c r="L646" t="s">
        <v>372</v>
      </c>
      <c r="N646" t="s">
        <v>373</v>
      </c>
      <c r="O646" t="s">
        <v>134</v>
      </c>
      <c r="Q646" t="s">
        <v>214</v>
      </c>
      <c r="R646" t="s">
        <v>199</v>
      </c>
      <c r="S646" t="s">
        <v>128</v>
      </c>
      <c r="T646" t="s">
        <v>137</v>
      </c>
      <c r="U646" t="s">
        <v>151</v>
      </c>
      <c r="V646" t="s">
        <v>71</v>
      </c>
      <c r="W646" s="58">
        <v>43317</v>
      </c>
      <c r="X646" s="59">
        <v>0.33333333333333331</v>
      </c>
      <c r="Y646" s="59">
        <v>0.375</v>
      </c>
      <c r="Z646" s="59">
        <v>4.1666666666666664E-2</v>
      </c>
      <c r="AA646">
        <v>0</v>
      </c>
      <c r="AC646">
        <v>20</v>
      </c>
      <c r="AD646">
        <v>9.75</v>
      </c>
      <c r="AE646" s="59">
        <v>0.33333333333333331</v>
      </c>
      <c r="AF646" s="59">
        <v>0.3743055555555555</v>
      </c>
      <c r="AG646">
        <v>0</v>
      </c>
    </row>
    <row r="647" spans="1:33" x14ac:dyDescent="0.25">
      <c r="A647" t="s">
        <v>258</v>
      </c>
      <c r="B647" t="s">
        <v>310</v>
      </c>
      <c r="C647" t="s">
        <v>311</v>
      </c>
      <c r="D647" t="s">
        <v>312</v>
      </c>
      <c r="E647" t="s">
        <v>313</v>
      </c>
      <c r="F647" t="s">
        <v>134</v>
      </c>
      <c r="H647" t="s">
        <v>175</v>
      </c>
      <c r="I647" t="s">
        <v>127</v>
      </c>
      <c r="J647" t="s">
        <v>258</v>
      </c>
      <c r="K647" t="s">
        <v>371</v>
      </c>
      <c r="L647" t="s">
        <v>372</v>
      </c>
      <c r="N647" t="s">
        <v>373</v>
      </c>
      <c r="O647" t="s">
        <v>134</v>
      </c>
      <c r="Q647" t="s">
        <v>214</v>
      </c>
      <c r="R647" t="s">
        <v>176</v>
      </c>
      <c r="S647" t="s">
        <v>128</v>
      </c>
      <c r="T647" t="s">
        <v>137</v>
      </c>
      <c r="U647" t="s">
        <v>151</v>
      </c>
      <c r="V647" t="s">
        <v>71</v>
      </c>
      <c r="W647" s="58">
        <v>43317</v>
      </c>
      <c r="X647" s="59">
        <v>0.39097222222222222</v>
      </c>
      <c r="Y647" s="59">
        <v>0.43263888888888885</v>
      </c>
      <c r="Z647" s="59">
        <v>4.1666666666666664E-2</v>
      </c>
      <c r="AA647">
        <v>0</v>
      </c>
      <c r="AB647">
        <v>5.3818000000000001</v>
      </c>
      <c r="AC647">
        <v>20</v>
      </c>
      <c r="AD647">
        <v>9.75</v>
      </c>
      <c r="AE647" s="59">
        <v>0.39097222222222222</v>
      </c>
      <c r="AF647" s="59">
        <v>0.43194444444444446</v>
      </c>
      <c r="AG647">
        <v>0</v>
      </c>
    </row>
    <row r="648" spans="1:33" x14ac:dyDescent="0.25">
      <c r="A648" t="s">
        <v>258</v>
      </c>
      <c r="B648" t="s">
        <v>342</v>
      </c>
      <c r="C648" t="s">
        <v>343</v>
      </c>
      <c r="E648" t="s">
        <v>344</v>
      </c>
      <c r="F648" t="s">
        <v>134</v>
      </c>
      <c r="H648" t="s">
        <v>197</v>
      </c>
      <c r="I648" t="s">
        <v>198</v>
      </c>
      <c r="J648" t="s">
        <v>258</v>
      </c>
      <c r="K648" t="s">
        <v>371</v>
      </c>
      <c r="L648" t="s">
        <v>372</v>
      </c>
      <c r="N648" t="s">
        <v>373</v>
      </c>
      <c r="O648" t="s">
        <v>134</v>
      </c>
      <c r="Q648" t="s">
        <v>214</v>
      </c>
      <c r="R648" t="s">
        <v>199</v>
      </c>
      <c r="S648" t="s">
        <v>128</v>
      </c>
      <c r="T648" t="s">
        <v>137</v>
      </c>
      <c r="U648" t="s">
        <v>151</v>
      </c>
      <c r="V648" t="s">
        <v>72</v>
      </c>
      <c r="W648" s="58">
        <v>43318</v>
      </c>
      <c r="X648" s="59">
        <v>0.33333333333333331</v>
      </c>
      <c r="Y648" s="59">
        <v>0.375</v>
      </c>
      <c r="Z648" s="59">
        <v>4.1666666666666664E-2</v>
      </c>
      <c r="AA648">
        <v>0</v>
      </c>
      <c r="AC648">
        <v>20</v>
      </c>
      <c r="AD648">
        <v>8.75</v>
      </c>
      <c r="AE648" s="59">
        <v>0.33333333333333331</v>
      </c>
      <c r="AF648" s="59">
        <v>0.3743055555555555</v>
      </c>
      <c r="AG648">
        <v>0</v>
      </c>
    </row>
    <row r="649" spans="1:33" x14ac:dyDescent="0.25">
      <c r="A649" t="s">
        <v>274</v>
      </c>
      <c r="B649" t="s">
        <v>334</v>
      </c>
      <c r="C649" t="s">
        <v>285</v>
      </c>
      <c r="E649" t="s">
        <v>335</v>
      </c>
      <c r="F649" t="s">
        <v>134</v>
      </c>
      <c r="H649" t="s">
        <v>192</v>
      </c>
      <c r="I649" t="s">
        <v>155</v>
      </c>
      <c r="J649" t="s">
        <v>258</v>
      </c>
      <c r="K649" t="s">
        <v>371</v>
      </c>
      <c r="L649" t="s">
        <v>372</v>
      </c>
      <c r="N649" t="s">
        <v>373</v>
      </c>
      <c r="O649" t="s">
        <v>134</v>
      </c>
      <c r="Q649" t="s">
        <v>214</v>
      </c>
      <c r="R649" t="s">
        <v>193</v>
      </c>
      <c r="S649" t="s">
        <v>128</v>
      </c>
      <c r="T649" t="s">
        <v>137</v>
      </c>
      <c r="U649" t="s">
        <v>129</v>
      </c>
      <c r="V649" t="s">
        <v>72</v>
      </c>
      <c r="W649" s="58">
        <v>43318</v>
      </c>
      <c r="X649" s="59">
        <v>0.39583333333333331</v>
      </c>
      <c r="Y649" s="59">
        <v>0.4375</v>
      </c>
      <c r="Z649" s="59">
        <v>4.1666666666666664E-2</v>
      </c>
      <c r="AA649">
        <v>0</v>
      </c>
      <c r="AB649">
        <v>2.1818</v>
      </c>
      <c r="AC649">
        <v>23</v>
      </c>
      <c r="AD649">
        <v>8.75</v>
      </c>
      <c r="AE649" s="59">
        <v>0.39583333333333331</v>
      </c>
      <c r="AF649" s="59">
        <v>0.4368055555555555</v>
      </c>
      <c r="AG649">
        <v>0</v>
      </c>
    </row>
    <row r="650" spans="1:33" x14ac:dyDescent="0.25">
      <c r="A650" t="s">
        <v>258</v>
      </c>
      <c r="B650" t="s">
        <v>342</v>
      </c>
      <c r="C650" t="s">
        <v>343</v>
      </c>
      <c r="E650" t="s">
        <v>344</v>
      </c>
      <c r="F650" t="s">
        <v>134</v>
      </c>
      <c r="H650" t="s">
        <v>197</v>
      </c>
      <c r="I650" t="s">
        <v>198</v>
      </c>
      <c r="J650" t="s">
        <v>258</v>
      </c>
      <c r="K650" t="s">
        <v>374</v>
      </c>
      <c r="L650" t="s">
        <v>375</v>
      </c>
      <c r="N650" t="s">
        <v>376</v>
      </c>
      <c r="O650" t="s">
        <v>215</v>
      </c>
      <c r="Q650" t="s">
        <v>216</v>
      </c>
      <c r="R650" t="s">
        <v>199</v>
      </c>
      <c r="S650" t="s">
        <v>128</v>
      </c>
      <c r="T650" t="s">
        <v>165</v>
      </c>
      <c r="U650" t="s">
        <v>151</v>
      </c>
      <c r="V650" t="s">
        <v>77</v>
      </c>
      <c r="W650" s="58">
        <v>43309</v>
      </c>
      <c r="X650" s="59">
        <v>0.33333333333333331</v>
      </c>
      <c r="Y650" s="59">
        <v>0.375</v>
      </c>
      <c r="Z650" s="59">
        <v>4.1666666666666664E-2</v>
      </c>
      <c r="AA650">
        <v>0</v>
      </c>
      <c r="AC650">
        <v>20</v>
      </c>
      <c r="AD650">
        <v>10</v>
      </c>
      <c r="AE650" s="59">
        <v>0.33333333333333331</v>
      </c>
      <c r="AF650" s="59">
        <v>0.3743055555555555</v>
      </c>
      <c r="AG650">
        <v>0</v>
      </c>
    </row>
    <row r="651" spans="1:33" x14ac:dyDescent="0.25">
      <c r="A651" t="s">
        <v>274</v>
      </c>
      <c r="B651" t="s">
        <v>334</v>
      </c>
      <c r="C651" t="s">
        <v>285</v>
      </c>
      <c r="E651" t="s">
        <v>335</v>
      </c>
      <c r="F651" t="s">
        <v>134</v>
      </c>
      <c r="H651" t="s">
        <v>192</v>
      </c>
      <c r="I651" t="s">
        <v>155</v>
      </c>
      <c r="J651" t="s">
        <v>258</v>
      </c>
      <c r="K651" t="s">
        <v>374</v>
      </c>
      <c r="L651" t="s">
        <v>375</v>
      </c>
      <c r="N651" t="s">
        <v>376</v>
      </c>
      <c r="O651" t="s">
        <v>215</v>
      </c>
      <c r="Q651" t="s">
        <v>216</v>
      </c>
      <c r="R651" t="s">
        <v>193</v>
      </c>
      <c r="S651" t="s">
        <v>128</v>
      </c>
      <c r="T651" t="s">
        <v>165</v>
      </c>
      <c r="U651" t="s">
        <v>129</v>
      </c>
      <c r="V651" t="s">
        <v>77</v>
      </c>
      <c r="W651" s="58">
        <v>43309</v>
      </c>
      <c r="X651" s="59">
        <v>0.38541666666666669</v>
      </c>
      <c r="Y651" s="59">
        <v>0.42708333333333331</v>
      </c>
      <c r="Z651" s="59">
        <v>4.1666666666666664E-2</v>
      </c>
      <c r="AA651">
        <v>0</v>
      </c>
      <c r="AB651">
        <v>2.1818</v>
      </c>
      <c r="AC651">
        <v>23</v>
      </c>
      <c r="AD651">
        <v>10</v>
      </c>
      <c r="AE651" s="59">
        <v>0.38541666666666669</v>
      </c>
      <c r="AF651" s="59">
        <v>0.42638888888888887</v>
      </c>
      <c r="AG651">
        <v>0</v>
      </c>
    </row>
    <row r="652" spans="1:33" x14ac:dyDescent="0.25">
      <c r="A652" t="s">
        <v>258</v>
      </c>
      <c r="B652" t="s">
        <v>342</v>
      </c>
      <c r="C652" t="s">
        <v>343</v>
      </c>
      <c r="E652" t="s">
        <v>344</v>
      </c>
      <c r="F652" t="s">
        <v>134</v>
      </c>
      <c r="H652" t="s">
        <v>197</v>
      </c>
      <c r="I652" t="s">
        <v>198</v>
      </c>
      <c r="J652" t="s">
        <v>258</v>
      </c>
      <c r="K652" t="s">
        <v>374</v>
      </c>
      <c r="L652" t="s">
        <v>375</v>
      </c>
      <c r="N652" t="s">
        <v>376</v>
      </c>
      <c r="O652" t="s">
        <v>215</v>
      </c>
      <c r="Q652" t="s">
        <v>216</v>
      </c>
      <c r="R652" t="s">
        <v>199</v>
      </c>
      <c r="S652" t="s">
        <v>128</v>
      </c>
      <c r="T652" t="s">
        <v>165</v>
      </c>
      <c r="U652" t="s">
        <v>151</v>
      </c>
      <c r="V652" t="s">
        <v>72</v>
      </c>
      <c r="W652" s="58">
        <v>43311</v>
      </c>
      <c r="X652" s="59">
        <v>0.33333333333333331</v>
      </c>
      <c r="Y652" s="59">
        <v>0.375</v>
      </c>
      <c r="Z652" s="59">
        <v>4.1666666666666664E-2</v>
      </c>
      <c r="AA652">
        <v>0</v>
      </c>
      <c r="AC652">
        <v>20</v>
      </c>
      <c r="AD652">
        <v>9</v>
      </c>
      <c r="AE652" s="59">
        <v>0.33333333333333331</v>
      </c>
      <c r="AF652" s="59">
        <v>0.3743055555555555</v>
      </c>
      <c r="AG652">
        <v>0</v>
      </c>
    </row>
    <row r="653" spans="1:33" x14ac:dyDescent="0.25">
      <c r="A653" t="s">
        <v>274</v>
      </c>
      <c r="B653" t="s">
        <v>334</v>
      </c>
      <c r="C653" t="s">
        <v>285</v>
      </c>
      <c r="E653" t="s">
        <v>335</v>
      </c>
      <c r="F653" t="s">
        <v>134</v>
      </c>
      <c r="H653" t="s">
        <v>192</v>
      </c>
      <c r="I653" t="s">
        <v>155</v>
      </c>
      <c r="J653" t="s">
        <v>258</v>
      </c>
      <c r="K653" t="s">
        <v>374</v>
      </c>
      <c r="L653" t="s">
        <v>375</v>
      </c>
      <c r="N653" t="s">
        <v>376</v>
      </c>
      <c r="O653" t="s">
        <v>215</v>
      </c>
      <c r="Q653" t="s">
        <v>216</v>
      </c>
      <c r="R653" t="s">
        <v>193</v>
      </c>
      <c r="S653" t="s">
        <v>128</v>
      </c>
      <c r="T653" t="s">
        <v>165</v>
      </c>
      <c r="U653" t="s">
        <v>129</v>
      </c>
      <c r="V653" t="s">
        <v>72</v>
      </c>
      <c r="W653" s="58">
        <v>43311</v>
      </c>
      <c r="X653" s="59">
        <v>0.39583333333333331</v>
      </c>
      <c r="Y653" s="59">
        <v>0.4375</v>
      </c>
      <c r="Z653" s="59">
        <v>4.1666666666666664E-2</v>
      </c>
      <c r="AA653">
        <v>0</v>
      </c>
      <c r="AB653">
        <v>2.1818</v>
      </c>
      <c r="AC653">
        <v>23</v>
      </c>
      <c r="AD653">
        <v>9</v>
      </c>
      <c r="AE653" s="59">
        <v>0.39583333333333331</v>
      </c>
      <c r="AF653" s="59">
        <v>0.4368055555555555</v>
      </c>
      <c r="AG653">
        <v>0</v>
      </c>
    </row>
    <row r="654" spans="1:33" x14ac:dyDescent="0.25">
      <c r="A654" t="s">
        <v>258</v>
      </c>
      <c r="B654" t="s">
        <v>290</v>
      </c>
      <c r="C654" t="s">
        <v>291</v>
      </c>
      <c r="E654" t="s">
        <v>292</v>
      </c>
      <c r="F654" t="s">
        <v>134</v>
      </c>
      <c r="H654" t="s">
        <v>154</v>
      </c>
      <c r="I654" t="s">
        <v>155</v>
      </c>
      <c r="J654" t="s">
        <v>258</v>
      </c>
      <c r="K654" t="s">
        <v>374</v>
      </c>
      <c r="L654" t="s">
        <v>375</v>
      </c>
      <c r="N654" t="s">
        <v>376</v>
      </c>
      <c r="O654" t="s">
        <v>215</v>
      </c>
      <c r="Q654" t="s">
        <v>216</v>
      </c>
      <c r="R654" t="s">
        <v>156</v>
      </c>
      <c r="S654" t="s">
        <v>128</v>
      </c>
      <c r="T654" t="s">
        <v>165</v>
      </c>
      <c r="U654" t="s">
        <v>151</v>
      </c>
      <c r="V654" t="s">
        <v>72</v>
      </c>
      <c r="W654" s="58">
        <v>43311</v>
      </c>
      <c r="X654" s="59">
        <v>0.44791666666666669</v>
      </c>
      <c r="Y654" s="59">
        <v>0.5</v>
      </c>
      <c r="Z654" s="59">
        <v>5.2083333333333336E-2</v>
      </c>
      <c r="AA654">
        <v>0</v>
      </c>
      <c r="AB654">
        <v>2.9318</v>
      </c>
      <c r="AC654">
        <v>25</v>
      </c>
      <c r="AD654">
        <v>11.25</v>
      </c>
      <c r="AE654" s="59">
        <v>0.44791666666666669</v>
      </c>
      <c r="AF654" s="59">
        <v>0.4993055555555555</v>
      </c>
      <c r="AG654">
        <v>0</v>
      </c>
    </row>
    <row r="655" spans="1:33" x14ac:dyDescent="0.25">
      <c r="A655" t="s">
        <v>258</v>
      </c>
      <c r="B655" t="s">
        <v>342</v>
      </c>
      <c r="C655" t="s">
        <v>343</v>
      </c>
      <c r="E655" t="s">
        <v>344</v>
      </c>
      <c r="F655" t="s">
        <v>134</v>
      </c>
      <c r="H655" t="s">
        <v>197</v>
      </c>
      <c r="I655" t="s">
        <v>198</v>
      </c>
      <c r="J655" t="s">
        <v>258</v>
      </c>
      <c r="K655" t="s">
        <v>374</v>
      </c>
      <c r="L655" t="s">
        <v>375</v>
      </c>
      <c r="N655" t="s">
        <v>376</v>
      </c>
      <c r="O655" t="s">
        <v>215</v>
      </c>
      <c r="Q655" t="s">
        <v>216</v>
      </c>
      <c r="R655" t="s">
        <v>199</v>
      </c>
      <c r="S655" t="s">
        <v>128</v>
      </c>
      <c r="T655" t="s">
        <v>165</v>
      </c>
      <c r="U655" t="s">
        <v>151</v>
      </c>
      <c r="V655" t="s">
        <v>73</v>
      </c>
      <c r="W655" s="58">
        <v>43312</v>
      </c>
      <c r="X655" s="59">
        <v>0.33333333333333331</v>
      </c>
      <c r="Y655" s="59">
        <v>0.375</v>
      </c>
      <c r="Z655" s="59">
        <v>4.1666666666666664E-2</v>
      </c>
      <c r="AA655">
        <v>0</v>
      </c>
      <c r="AC655">
        <v>20</v>
      </c>
      <c r="AD655">
        <v>9</v>
      </c>
      <c r="AE655" s="59">
        <v>0.33333333333333331</v>
      </c>
      <c r="AF655" s="59">
        <v>0.3743055555555555</v>
      </c>
      <c r="AG655">
        <v>0</v>
      </c>
    </row>
    <row r="656" spans="1:33" x14ac:dyDescent="0.25">
      <c r="A656" t="s">
        <v>274</v>
      </c>
      <c r="B656" t="s">
        <v>334</v>
      </c>
      <c r="C656" t="s">
        <v>285</v>
      </c>
      <c r="E656" t="s">
        <v>335</v>
      </c>
      <c r="F656" t="s">
        <v>134</v>
      </c>
      <c r="H656" t="s">
        <v>192</v>
      </c>
      <c r="I656" t="s">
        <v>155</v>
      </c>
      <c r="J656" t="s">
        <v>258</v>
      </c>
      <c r="K656" t="s">
        <v>374</v>
      </c>
      <c r="L656" t="s">
        <v>375</v>
      </c>
      <c r="N656" t="s">
        <v>376</v>
      </c>
      <c r="O656" t="s">
        <v>215</v>
      </c>
      <c r="Q656" t="s">
        <v>216</v>
      </c>
      <c r="R656" t="s">
        <v>193</v>
      </c>
      <c r="S656" t="s">
        <v>128</v>
      </c>
      <c r="T656" t="s">
        <v>165</v>
      </c>
      <c r="U656" t="s">
        <v>129</v>
      </c>
      <c r="V656" t="s">
        <v>73</v>
      </c>
      <c r="W656" s="58">
        <v>43312</v>
      </c>
      <c r="X656" s="59">
        <v>0.39583333333333331</v>
      </c>
      <c r="Y656" s="59">
        <v>0.4375</v>
      </c>
      <c r="Z656" s="59">
        <v>4.1666666666666664E-2</v>
      </c>
      <c r="AA656">
        <v>0</v>
      </c>
      <c r="AB656">
        <v>2.1818</v>
      </c>
      <c r="AC656">
        <v>23</v>
      </c>
      <c r="AD656">
        <v>9</v>
      </c>
      <c r="AE656" s="59">
        <v>0.39583333333333331</v>
      </c>
      <c r="AF656" s="59">
        <v>0.4368055555555555</v>
      </c>
      <c r="AG656">
        <v>0</v>
      </c>
    </row>
    <row r="657" spans="1:33" x14ac:dyDescent="0.25">
      <c r="A657" t="s">
        <v>258</v>
      </c>
      <c r="B657" t="s">
        <v>290</v>
      </c>
      <c r="C657" t="s">
        <v>291</v>
      </c>
      <c r="E657" t="s">
        <v>292</v>
      </c>
      <c r="F657" t="s">
        <v>134</v>
      </c>
      <c r="H657" t="s">
        <v>154</v>
      </c>
      <c r="I657" t="s">
        <v>155</v>
      </c>
      <c r="J657" t="s">
        <v>258</v>
      </c>
      <c r="K657" t="s">
        <v>374</v>
      </c>
      <c r="L657" t="s">
        <v>375</v>
      </c>
      <c r="N657" t="s">
        <v>376</v>
      </c>
      <c r="O657" t="s">
        <v>215</v>
      </c>
      <c r="Q657" t="s">
        <v>216</v>
      </c>
      <c r="R657" t="s">
        <v>156</v>
      </c>
      <c r="S657" t="s">
        <v>128</v>
      </c>
      <c r="T657" t="s">
        <v>165</v>
      </c>
      <c r="U657" t="s">
        <v>151</v>
      </c>
      <c r="V657" t="s">
        <v>73</v>
      </c>
      <c r="W657" s="58">
        <v>43312</v>
      </c>
      <c r="X657" s="59">
        <v>0.44791666666666669</v>
      </c>
      <c r="Y657" s="59">
        <v>0.5</v>
      </c>
      <c r="Z657" s="59">
        <v>5.2083333333333336E-2</v>
      </c>
      <c r="AA657">
        <v>0</v>
      </c>
      <c r="AB657">
        <v>2.9318</v>
      </c>
      <c r="AC657">
        <v>25</v>
      </c>
      <c r="AD657">
        <v>11.25</v>
      </c>
      <c r="AE657" s="59">
        <v>0.44791666666666669</v>
      </c>
      <c r="AF657" s="59">
        <v>0.4993055555555555</v>
      </c>
      <c r="AG657">
        <v>0</v>
      </c>
    </row>
    <row r="658" spans="1:33" x14ac:dyDescent="0.25">
      <c r="A658" t="s">
        <v>258</v>
      </c>
      <c r="B658" t="s">
        <v>342</v>
      </c>
      <c r="C658" t="s">
        <v>343</v>
      </c>
      <c r="E658" t="s">
        <v>344</v>
      </c>
      <c r="F658" t="s">
        <v>134</v>
      </c>
      <c r="H658" t="s">
        <v>197</v>
      </c>
      <c r="I658" t="s">
        <v>198</v>
      </c>
      <c r="J658" t="s">
        <v>258</v>
      </c>
      <c r="K658" t="s">
        <v>374</v>
      </c>
      <c r="L658" t="s">
        <v>375</v>
      </c>
      <c r="N658" t="s">
        <v>376</v>
      </c>
      <c r="O658" t="s">
        <v>215</v>
      </c>
      <c r="Q658" t="s">
        <v>216</v>
      </c>
      <c r="R658" t="s">
        <v>199</v>
      </c>
      <c r="S658" t="s">
        <v>128</v>
      </c>
      <c r="T658" t="s">
        <v>165</v>
      </c>
      <c r="U658" t="s">
        <v>151</v>
      </c>
      <c r="V658" t="s">
        <v>74</v>
      </c>
      <c r="W658" s="58">
        <v>43313</v>
      </c>
      <c r="X658" s="59">
        <v>0.33333333333333331</v>
      </c>
      <c r="Y658" s="59">
        <v>0.375</v>
      </c>
      <c r="Z658" s="59">
        <v>4.1666666666666664E-2</v>
      </c>
      <c r="AA658">
        <v>0</v>
      </c>
      <c r="AC658">
        <v>20</v>
      </c>
      <c r="AD658">
        <v>9</v>
      </c>
      <c r="AE658" s="59">
        <v>0.33333333333333331</v>
      </c>
      <c r="AF658" s="59">
        <v>0.3743055555555555</v>
      </c>
      <c r="AG658">
        <v>0</v>
      </c>
    </row>
    <row r="659" spans="1:33" x14ac:dyDescent="0.25">
      <c r="A659" t="s">
        <v>274</v>
      </c>
      <c r="B659" t="s">
        <v>334</v>
      </c>
      <c r="C659" t="s">
        <v>285</v>
      </c>
      <c r="E659" t="s">
        <v>335</v>
      </c>
      <c r="F659" t="s">
        <v>134</v>
      </c>
      <c r="H659" t="s">
        <v>192</v>
      </c>
      <c r="I659" t="s">
        <v>155</v>
      </c>
      <c r="J659" t="s">
        <v>258</v>
      </c>
      <c r="K659" t="s">
        <v>374</v>
      </c>
      <c r="L659" t="s">
        <v>375</v>
      </c>
      <c r="N659" t="s">
        <v>376</v>
      </c>
      <c r="O659" t="s">
        <v>215</v>
      </c>
      <c r="Q659" t="s">
        <v>216</v>
      </c>
      <c r="R659" t="s">
        <v>193</v>
      </c>
      <c r="S659" t="s">
        <v>128</v>
      </c>
      <c r="T659" t="s">
        <v>165</v>
      </c>
      <c r="U659" t="s">
        <v>129</v>
      </c>
      <c r="V659" t="s">
        <v>74</v>
      </c>
      <c r="W659" s="58">
        <v>43313</v>
      </c>
      <c r="X659" s="59">
        <v>0.39583333333333331</v>
      </c>
      <c r="Y659" s="59">
        <v>0.4375</v>
      </c>
      <c r="Z659" s="59">
        <v>4.1666666666666664E-2</v>
      </c>
      <c r="AA659">
        <v>0</v>
      </c>
      <c r="AB659">
        <v>2.1818</v>
      </c>
      <c r="AC659">
        <v>23</v>
      </c>
      <c r="AD659">
        <v>9</v>
      </c>
      <c r="AE659" s="59">
        <v>0.39583333333333331</v>
      </c>
      <c r="AF659" s="59">
        <v>0.4368055555555555</v>
      </c>
      <c r="AG659">
        <v>0</v>
      </c>
    </row>
    <row r="660" spans="1:33" x14ac:dyDescent="0.25">
      <c r="A660" t="s">
        <v>258</v>
      </c>
      <c r="B660" t="s">
        <v>290</v>
      </c>
      <c r="C660" t="s">
        <v>291</v>
      </c>
      <c r="E660" t="s">
        <v>292</v>
      </c>
      <c r="F660" t="s">
        <v>134</v>
      </c>
      <c r="H660" t="s">
        <v>154</v>
      </c>
      <c r="I660" t="s">
        <v>155</v>
      </c>
      <c r="J660" t="s">
        <v>258</v>
      </c>
      <c r="K660" t="s">
        <v>374</v>
      </c>
      <c r="L660" t="s">
        <v>375</v>
      </c>
      <c r="N660" t="s">
        <v>376</v>
      </c>
      <c r="O660" t="s">
        <v>215</v>
      </c>
      <c r="Q660" t="s">
        <v>216</v>
      </c>
      <c r="R660" t="s">
        <v>156</v>
      </c>
      <c r="S660" t="s">
        <v>128</v>
      </c>
      <c r="T660" t="s">
        <v>165</v>
      </c>
      <c r="U660" t="s">
        <v>151</v>
      </c>
      <c r="V660" t="s">
        <v>74</v>
      </c>
      <c r="W660" s="58">
        <v>43313</v>
      </c>
      <c r="X660" s="59">
        <v>0.44791666666666669</v>
      </c>
      <c r="Y660" s="59">
        <v>0.5</v>
      </c>
      <c r="Z660" s="59">
        <v>5.2083333333333336E-2</v>
      </c>
      <c r="AA660">
        <v>0</v>
      </c>
      <c r="AB660">
        <v>2.9318</v>
      </c>
      <c r="AC660">
        <v>30</v>
      </c>
      <c r="AD660">
        <v>13.5</v>
      </c>
      <c r="AE660" s="59">
        <v>0.44791666666666669</v>
      </c>
      <c r="AF660" s="59">
        <v>0.4993055555555555</v>
      </c>
      <c r="AG660">
        <v>0</v>
      </c>
    </row>
    <row r="661" spans="1:33" x14ac:dyDescent="0.25">
      <c r="A661" t="s">
        <v>368</v>
      </c>
      <c r="B661" t="s">
        <v>369</v>
      </c>
      <c r="C661" t="s">
        <v>370</v>
      </c>
      <c r="E661" t="s">
        <v>292</v>
      </c>
      <c r="F661" t="s">
        <v>134</v>
      </c>
      <c r="H661" t="s">
        <v>154</v>
      </c>
      <c r="I661" t="s">
        <v>155</v>
      </c>
      <c r="J661" t="s">
        <v>258</v>
      </c>
      <c r="K661" t="s">
        <v>374</v>
      </c>
      <c r="L661" t="s">
        <v>375</v>
      </c>
      <c r="N661" t="s">
        <v>376</v>
      </c>
      <c r="O661" t="s">
        <v>215</v>
      </c>
      <c r="Q661" t="s">
        <v>216</v>
      </c>
      <c r="R661" t="s">
        <v>212</v>
      </c>
      <c r="S661" t="s">
        <v>128</v>
      </c>
      <c r="T661" t="s">
        <v>165</v>
      </c>
      <c r="U661" t="s">
        <v>151</v>
      </c>
      <c r="V661" t="s">
        <v>74</v>
      </c>
      <c r="W661" s="58">
        <v>43313</v>
      </c>
      <c r="X661" s="59">
        <v>0.63541666666666663</v>
      </c>
      <c r="Y661" s="59">
        <v>0.875</v>
      </c>
      <c r="Z661" s="59">
        <v>0.23958333333333334</v>
      </c>
      <c r="AA661">
        <v>0</v>
      </c>
      <c r="AC661">
        <v>115</v>
      </c>
      <c r="AD661">
        <v>51.75</v>
      </c>
      <c r="AE661" s="59">
        <v>0.63541666666666663</v>
      </c>
      <c r="AF661" s="59">
        <v>0.8534722222222223</v>
      </c>
      <c r="AG661">
        <v>0</v>
      </c>
    </row>
    <row r="662" spans="1:33" x14ac:dyDescent="0.25">
      <c r="A662" t="s">
        <v>258</v>
      </c>
      <c r="B662" t="s">
        <v>342</v>
      </c>
      <c r="C662" t="s">
        <v>343</v>
      </c>
      <c r="E662" t="s">
        <v>344</v>
      </c>
      <c r="F662" t="s">
        <v>134</v>
      </c>
      <c r="H662" t="s">
        <v>197</v>
      </c>
      <c r="I662" t="s">
        <v>198</v>
      </c>
      <c r="J662" t="s">
        <v>258</v>
      </c>
      <c r="K662" t="s">
        <v>374</v>
      </c>
      <c r="L662" t="s">
        <v>375</v>
      </c>
      <c r="N662" t="s">
        <v>376</v>
      </c>
      <c r="O662" t="s">
        <v>215</v>
      </c>
      <c r="Q662" t="s">
        <v>216</v>
      </c>
      <c r="R662" t="s">
        <v>199</v>
      </c>
      <c r="S662" t="s">
        <v>128</v>
      </c>
      <c r="T662" t="s">
        <v>165</v>
      </c>
      <c r="U662" t="s">
        <v>151</v>
      </c>
      <c r="V662" t="s">
        <v>75</v>
      </c>
      <c r="W662" s="58">
        <v>43314</v>
      </c>
      <c r="X662" s="59">
        <v>0.33333333333333331</v>
      </c>
      <c r="Y662" s="59">
        <v>0.375</v>
      </c>
      <c r="Z662" s="59">
        <v>4.1666666666666664E-2</v>
      </c>
      <c r="AA662">
        <v>0</v>
      </c>
      <c r="AC662">
        <v>20</v>
      </c>
      <c r="AD662">
        <v>9</v>
      </c>
      <c r="AE662" s="59">
        <v>0.33333333333333331</v>
      </c>
      <c r="AF662" s="59">
        <v>0.3743055555555555</v>
      </c>
      <c r="AG662">
        <v>0</v>
      </c>
    </row>
    <row r="663" spans="1:33" x14ac:dyDescent="0.25">
      <c r="A663" t="s">
        <v>274</v>
      </c>
      <c r="B663" t="s">
        <v>334</v>
      </c>
      <c r="C663" t="s">
        <v>285</v>
      </c>
      <c r="E663" t="s">
        <v>335</v>
      </c>
      <c r="F663" t="s">
        <v>134</v>
      </c>
      <c r="H663" t="s">
        <v>192</v>
      </c>
      <c r="I663" t="s">
        <v>155</v>
      </c>
      <c r="J663" t="s">
        <v>258</v>
      </c>
      <c r="K663" t="s">
        <v>374</v>
      </c>
      <c r="L663" t="s">
        <v>375</v>
      </c>
      <c r="N663" t="s">
        <v>376</v>
      </c>
      <c r="O663" t="s">
        <v>215</v>
      </c>
      <c r="Q663" t="s">
        <v>216</v>
      </c>
      <c r="R663" t="s">
        <v>193</v>
      </c>
      <c r="S663" t="s">
        <v>128</v>
      </c>
      <c r="T663" t="s">
        <v>165</v>
      </c>
      <c r="U663" t="s">
        <v>129</v>
      </c>
      <c r="V663" t="s">
        <v>75</v>
      </c>
      <c r="W663" s="58">
        <v>43314</v>
      </c>
      <c r="X663" s="59">
        <v>0.39583333333333331</v>
      </c>
      <c r="Y663" s="59">
        <v>0.4375</v>
      </c>
      <c r="Z663" s="59">
        <v>4.1666666666666664E-2</v>
      </c>
      <c r="AA663">
        <v>0</v>
      </c>
      <c r="AB663">
        <v>2.1818</v>
      </c>
      <c r="AC663">
        <v>23</v>
      </c>
      <c r="AD663">
        <v>9</v>
      </c>
      <c r="AE663" s="59">
        <v>0.39583333333333331</v>
      </c>
      <c r="AF663" s="59">
        <v>0.4368055555555555</v>
      </c>
      <c r="AG663">
        <v>0</v>
      </c>
    </row>
    <row r="664" spans="1:33" x14ac:dyDescent="0.25">
      <c r="A664" t="s">
        <v>258</v>
      </c>
      <c r="B664" t="s">
        <v>290</v>
      </c>
      <c r="C664" t="s">
        <v>291</v>
      </c>
      <c r="E664" t="s">
        <v>292</v>
      </c>
      <c r="F664" t="s">
        <v>134</v>
      </c>
      <c r="H664" t="s">
        <v>154</v>
      </c>
      <c r="I664" t="s">
        <v>155</v>
      </c>
      <c r="J664" t="s">
        <v>258</v>
      </c>
      <c r="K664" t="s">
        <v>374</v>
      </c>
      <c r="L664" t="s">
        <v>375</v>
      </c>
      <c r="N664" t="s">
        <v>376</v>
      </c>
      <c r="O664" t="s">
        <v>215</v>
      </c>
      <c r="Q664" t="s">
        <v>216</v>
      </c>
      <c r="R664" t="s">
        <v>156</v>
      </c>
      <c r="S664" t="s">
        <v>128</v>
      </c>
      <c r="T664" t="s">
        <v>165</v>
      </c>
      <c r="U664" t="s">
        <v>151</v>
      </c>
      <c r="V664" t="s">
        <v>75</v>
      </c>
      <c r="W664" s="58">
        <v>43314</v>
      </c>
      <c r="X664" s="59">
        <v>0.44791666666666669</v>
      </c>
      <c r="Y664" s="59">
        <v>0.5</v>
      </c>
      <c r="Z664" s="59">
        <v>5.2083333333333336E-2</v>
      </c>
      <c r="AA664">
        <v>0</v>
      </c>
      <c r="AB664">
        <v>2.9318</v>
      </c>
      <c r="AC664">
        <v>25</v>
      </c>
      <c r="AD664">
        <v>11.25</v>
      </c>
      <c r="AE664" s="59">
        <v>0.44791666666666669</v>
      </c>
      <c r="AF664" s="59">
        <v>0.4993055555555555</v>
      </c>
      <c r="AG664">
        <v>0</v>
      </c>
    </row>
    <row r="665" spans="1:33" x14ac:dyDescent="0.25">
      <c r="A665" t="s">
        <v>258</v>
      </c>
      <c r="B665" t="s">
        <v>342</v>
      </c>
      <c r="C665" t="s">
        <v>343</v>
      </c>
      <c r="E665" t="s">
        <v>344</v>
      </c>
      <c r="F665" t="s">
        <v>134</v>
      </c>
      <c r="H665" t="s">
        <v>197</v>
      </c>
      <c r="I665" t="s">
        <v>198</v>
      </c>
      <c r="J665" t="s">
        <v>258</v>
      </c>
      <c r="K665" t="s">
        <v>374</v>
      </c>
      <c r="L665" t="s">
        <v>375</v>
      </c>
      <c r="N665" t="s">
        <v>376</v>
      </c>
      <c r="O665" t="s">
        <v>215</v>
      </c>
      <c r="Q665" t="s">
        <v>216</v>
      </c>
      <c r="R665" t="s">
        <v>199</v>
      </c>
      <c r="S665" t="s">
        <v>128</v>
      </c>
      <c r="T665" t="s">
        <v>165</v>
      </c>
      <c r="U665" t="s">
        <v>151</v>
      </c>
      <c r="V665" t="s">
        <v>76</v>
      </c>
      <c r="W665" s="58">
        <v>43315</v>
      </c>
      <c r="X665" s="59">
        <v>0.33333333333333331</v>
      </c>
      <c r="Y665" s="59">
        <v>0.375</v>
      </c>
      <c r="Z665" s="59">
        <v>4.1666666666666664E-2</v>
      </c>
      <c r="AA665">
        <v>0</v>
      </c>
      <c r="AC665">
        <v>20</v>
      </c>
      <c r="AD665">
        <v>9</v>
      </c>
      <c r="AE665" s="59">
        <v>0.33333333333333331</v>
      </c>
      <c r="AF665" s="59">
        <v>0.3743055555555555</v>
      </c>
      <c r="AG665">
        <v>0</v>
      </c>
    </row>
    <row r="666" spans="1:33" x14ac:dyDescent="0.25">
      <c r="A666" t="s">
        <v>274</v>
      </c>
      <c r="B666" t="s">
        <v>334</v>
      </c>
      <c r="C666" t="s">
        <v>285</v>
      </c>
      <c r="E666" t="s">
        <v>335</v>
      </c>
      <c r="F666" t="s">
        <v>134</v>
      </c>
      <c r="H666" t="s">
        <v>192</v>
      </c>
      <c r="I666" t="s">
        <v>155</v>
      </c>
      <c r="J666" t="s">
        <v>258</v>
      </c>
      <c r="K666" t="s">
        <v>374</v>
      </c>
      <c r="L666" t="s">
        <v>375</v>
      </c>
      <c r="N666" t="s">
        <v>376</v>
      </c>
      <c r="O666" t="s">
        <v>215</v>
      </c>
      <c r="Q666" t="s">
        <v>216</v>
      </c>
      <c r="R666" t="s">
        <v>193</v>
      </c>
      <c r="S666" t="s">
        <v>128</v>
      </c>
      <c r="T666" t="s">
        <v>165</v>
      </c>
      <c r="U666" t="s">
        <v>129</v>
      </c>
      <c r="V666" t="s">
        <v>76</v>
      </c>
      <c r="W666" s="58">
        <v>43315</v>
      </c>
      <c r="X666" s="59">
        <v>0.39583333333333331</v>
      </c>
      <c r="Y666" s="59">
        <v>0.4375</v>
      </c>
      <c r="Z666" s="59">
        <v>4.1666666666666664E-2</v>
      </c>
      <c r="AA666">
        <v>0</v>
      </c>
      <c r="AB666">
        <v>2.1818</v>
      </c>
      <c r="AC666">
        <v>23</v>
      </c>
      <c r="AD666">
        <v>9</v>
      </c>
      <c r="AE666" s="59">
        <v>0.39583333333333331</v>
      </c>
      <c r="AF666" s="59">
        <v>0.4368055555555555</v>
      </c>
      <c r="AG666">
        <v>0</v>
      </c>
    </row>
    <row r="667" spans="1:33" x14ac:dyDescent="0.25">
      <c r="A667" t="s">
        <v>258</v>
      </c>
      <c r="B667" t="s">
        <v>290</v>
      </c>
      <c r="C667" t="s">
        <v>291</v>
      </c>
      <c r="E667" t="s">
        <v>292</v>
      </c>
      <c r="F667" t="s">
        <v>134</v>
      </c>
      <c r="H667" t="s">
        <v>154</v>
      </c>
      <c r="I667" t="s">
        <v>155</v>
      </c>
      <c r="J667" t="s">
        <v>258</v>
      </c>
      <c r="K667" t="s">
        <v>374</v>
      </c>
      <c r="L667" t="s">
        <v>375</v>
      </c>
      <c r="N667" t="s">
        <v>376</v>
      </c>
      <c r="O667" t="s">
        <v>215</v>
      </c>
      <c r="Q667" t="s">
        <v>216</v>
      </c>
      <c r="R667" t="s">
        <v>156</v>
      </c>
      <c r="S667" t="s">
        <v>128</v>
      </c>
      <c r="T667" t="s">
        <v>165</v>
      </c>
      <c r="U667" t="s">
        <v>151</v>
      </c>
      <c r="V667" t="s">
        <v>76</v>
      </c>
      <c r="W667" s="58">
        <v>43315</v>
      </c>
      <c r="X667" s="59">
        <v>0.44791666666666669</v>
      </c>
      <c r="Y667" s="59">
        <v>0.5</v>
      </c>
      <c r="Z667" s="59">
        <v>5.2083333333333336E-2</v>
      </c>
      <c r="AA667">
        <v>0</v>
      </c>
      <c r="AB667">
        <v>2.9318</v>
      </c>
      <c r="AC667">
        <v>25</v>
      </c>
      <c r="AD667">
        <v>11.25</v>
      </c>
      <c r="AE667" s="59">
        <v>0.44791666666666669</v>
      </c>
      <c r="AF667" s="59">
        <v>0.4993055555555555</v>
      </c>
      <c r="AG667">
        <v>0</v>
      </c>
    </row>
    <row r="668" spans="1:33" x14ac:dyDescent="0.25">
      <c r="A668" t="s">
        <v>368</v>
      </c>
      <c r="B668" t="s">
        <v>369</v>
      </c>
      <c r="C668" t="s">
        <v>370</v>
      </c>
      <c r="E668" t="s">
        <v>292</v>
      </c>
      <c r="F668" t="s">
        <v>134</v>
      </c>
      <c r="H668" t="s">
        <v>154</v>
      </c>
      <c r="I668" t="s">
        <v>155</v>
      </c>
      <c r="J668" t="s">
        <v>258</v>
      </c>
      <c r="K668" t="s">
        <v>374</v>
      </c>
      <c r="L668" t="s">
        <v>375</v>
      </c>
      <c r="N668" t="s">
        <v>376</v>
      </c>
      <c r="O668" t="s">
        <v>215</v>
      </c>
      <c r="Q668" t="s">
        <v>216</v>
      </c>
      <c r="R668" t="s">
        <v>212</v>
      </c>
      <c r="S668" t="s">
        <v>128</v>
      </c>
      <c r="T668" t="s">
        <v>165</v>
      </c>
      <c r="U668" t="s">
        <v>151</v>
      </c>
      <c r="V668" t="s">
        <v>76</v>
      </c>
      <c r="W668" s="58">
        <v>43315</v>
      </c>
      <c r="X668" s="59">
        <v>0.71875</v>
      </c>
      <c r="Y668" s="59">
        <v>0.96875</v>
      </c>
      <c r="Z668" s="59">
        <v>0.25</v>
      </c>
      <c r="AA668">
        <v>0</v>
      </c>
      <c r="AC668">
        <v>140</v>
      </c>
      <c r="AD668">
        <v>63.25</v>
      </c>
      <c r="AE668" s="59">
        <v>0.75</v>
      </c>
      <c r="AF668" s="59">
        <v>0.96805555555555556</v>
      </c>
      <c r="AG668">
        <v>0</v>
      </c>
    </row>
    <row r="669" spans="1:33" x14ac:dyDescent="0.25">
      <c r="A669" t="s">
        <v>258</v>
      </c>
      <c r="B669" t="s">
        <v>342</v>
      </c>
      <c r="C669" t="s">
        <v>343</v>
      </c>
      <c r="E669" t="s">
        <v>344</v>
      </c>
      <c r="F669" t="s">
        <v>134</v>
      </c>
      <c r="H669" t="s">
        <v>197</v>
      </c>
      <c r="I669" t="s">
        <v>198</v>
      </c>
      <c r="J669" t="s">
        <v>258</v>
      </c>
      <c r="K669" t="s">
        <v>374</v>
      </c>
      <c r="L669" t="s">
        <v>375</v>
      </c>
      <c r="N669" t="s">
        <v>376</v>
      </c>
      <c r="O669" t="s">
        <v>215</v>
      </c>
      <c r="Q669" t="s">
        <v>216</v>
      </c>
      <c r="R669" t="s">
        <v>199</v>
      </c>
      <c r="S669" t="s">
        <v>128</v>
      </c>
      <c r="T669" t="s">
        <v>165</v>
      </c>
      <c r="U669" t="s">
        <v>151</v>
      </c>
      <c r="V669" t="s">
        <v>77</v>
      </c>
      <c r="W669" s="58">
        <v>43316</v>
      </c>
      <c r="X669" s="59">
        <v>0.33333333333333331</v>
      </c>
      <c r="Y669" s="59">
        <v>0.375</v>
      </c>
      <c r="Z669" s="59">
        <v>4.1666666666666664E-2</v>
      </c>
      <c r="AA669">
        <v>0</v>
      </c>
      <c r="AC669">
        <v>20</v>
      </c>
      <c r="AD669">
        <v>10</v>
      </c>
      <c r="AE669" s="59">
        <v>0.33333333333333331</v>
      </c>
      <c r="AF669" s="59">
        <v>0.3743055555555555</v>
      </c>
      <c r="AG669">
        <v>0</v>
      </c>
    </row>
    <row r="670" spans="1:33" x14ac:dyDescent="0.25">
      <c r="A670" t="s">
        <v>274</v>
      </c>
      <c r="B670" t="s">
        <v>334</v>
      </c>
      <c r="C670" t="s">
        <v>285</v>
      </c>
      <c r="E670" t="s">
        <v>335</v>
      </c>
      <c r="F670" t="s">
        <v>134</v>
      </c>
      <c r="H670" t="s">
        <v>192</v>
      </c>
      <c r="I670" t="s">
        <v>155</v>
      </c>
      <c r="J670" t="s">
        <v>258</v>
      </c>
      <c r="K670" t="s">
        <v>374</v>
      </c>
      <c r="L670" t="s">
        <v>375</v>
      </c>
      <c r="N670" t="s">
        <v>376</v>
      </c>
      <c r="O670" t="s">
        <v>215</v>
      </c>
      <c r="Q670" t="s">
        <v>216</v>
      </c>
      <c r="R670" t="s">
        <v>193</v>
      </c>
      <c r="S670" t="s">
        <v>128</v>
      </c>
      <c r="T670" t="s">
        <v>165</v>
      </c>
      <c r="U670" t="s">
        <v>129</v>
      </c>
      <c r="V670" t="s">
        <v>77</v>
      </c>
      <c r="W670" s="58">
        <v>43316</v>
      </c>
      <c r="X670" s="59">
        <v>0.39583333333333331</v>
      </c>
      <c r="Y670" s="59">
        <v>0.4375</v>
      </c>
      <c r="Z670" s="59">
        <v>4.1666666666666664E-2</v>
      </c>
      <c r="AA670">
        <v>6</v>
      </c>
      <c r="AB670">
        <v>2.1818</v>
      </c>
      <c r="AC670">
        <v>23</v>
      </c>
      <c r="AD670">
        <v>10</v>
      </c>
      <c r="AE670" s="59">
        <v>0.39583333333333331</v>
      </c>
      <c r="AF670" s="59">
        <v>0.4368055555555555</v>
      </c>
      <c r="AG670">
        <v>0</v>
      </c>
    </row>
    <row r="671" spans="1:33" x14ac:dyDescent="0.25">
      <c r="A671" t="s">
        <v>368</v>
      </c>
      <c r="B671" t="s">
        <v>369</v>
      </c>
      <c r="C671" t="s">
        <v>370</v>
      </c>
      <c r="E671" t="s">
        <v>292</v>
      </c>
      <c r="F671" t="s">
        <v>134</v>
      </c>
      <c r="H671" t="s">
        <v>154</v>
      </c>
      <c r="I671" t="s">
        <v>155</v>
      </c>
      <c r="J671" t="s">
        <v>258</v>
      </c>
      <c r="K671" t="s">
        <v>374</v>
      </c>
      <c r="L671" t="s">
        <v>375</v>
      </c>
      <c r="N671" t="s">
        <v>376</v>
      </c>
      <c r="O671" t="s">
        <v>215</v>
      </c>
      <c r="Q671" t="s">
        <v>216</v>
      </c>
      <c r="R671" t="s">
        <v>212</v>
      </c>
      <c r="S671" t="s">
        <v>128</v>
      </c>
      <c r="T671" t="s">
        <v>165</v>
      </c>
      <c r="U671" t="s">
        <v>151</v>
      </c>
      <c r="V671" t="s">
        <v>71</v>
      </c>
      <c r="W671" s="58">
        <v>43317</v>
      </c>
      <c r="X671" s="59">
        <v>0.375</v>
      </c>
      <c r="Y671" s="59">
        <v>0.6875</v>
      </c>
      <c r="Z671" s="59">
        <v>0.3125</v>
      </c>
      <c r="AA671">
        <v>0</v>
      </c>
      <c r="AC671">
        <v>150</v>
      </c>
      <c r="AD671">
        <v>75</v>
      </c>
      <c r="AE671" s="59">
        <v>0.39583333333333331</v>
      </c>
      <c r="AF671" s="59">
        <v>0.67638888888888893</v>
      </c>
      <c r="AG671">
        <v>0</v>
      </c>
    </row>
    <row r="672" spans="1:33" x14ac:dyDescent="0.25">
      <c r="A672" t="s">
        <v>258</v>
      </c>
      <c r="B672" t="s">
        <v>325</v>
      </c>
      <c r="C672" t="s">
        <v>326</v>
      </c>
      <c r="E672" t="s">
        <v>327</v>
      </c>
      <c r="F672" t="s">
        <v>134</v>
      </c>
      <c r="H672" t="s">
        <v>182</v>
      </c>
      <c r="I672" t="s">
        <v>147</v>
      </c>
      <c r="J672" t="s">
        <v>258</v>
      </c>
      <c r="K672" t="s">
        <v>374</v>
      </c>
      <c r="L672" t="s">
        <v>375</v>
      </c>
      <c r="N672" t="s">
        <v>376</v>
      </c>
      <c r="O672" t="s">
        <v>215</v>
      </c>
      <c r="Q672" t="s">
        <v>216</v>
      </c>
      <c r="R672" t="s">
        <v>183</v>
      </c>
      <c r="S672" t="s">
        <v>128</v>
      </c>
      <c r="T672" t="s">
        <v>165</v>
      </c>
      <c r="U672" t="s">
        <v>129</v>
      </c>
      <c r="V672" t="s">
        <v>72</v>
      </c>
      <c r="W672" s="58">
        <v>43318</v>
      </c>
      <c r="X672" s="59">
        <v>0.36458333333333331</v>
      </c>
      <c r="Y672" s="59">
        <v>0.40625</v>
      </c>
      <c r="Z672" s="59">
        <v>4.1666666666666664E-2</v>
      </c>
      <c r="AA672">
        <v>13</v>
      </c>
      <c r="AC672">
        <v>23</v>
      </c>
      <c r="AD672">
        <v>9</v>
      </c>
      <c r="AE672" s="59">
        <v>0.36458333333333331</v>
      </c>
      <c r="AF672" s="59">
        <v>0.4055555555555555</v>
      </c>
      <c r="AG672">
        <v>0</v>
      </c>
    </row>
    <row r="673" spans="1:33" x14ac:dyDescent="0.25">
      <c r="A673" t="s">
        <v>274</v>
      </c>
      <c r="B673" t="s">
        <v>321</v>
      </c>
      <c r="C673" t="s">
        <v>322</v>
      </c>
      <c r="D673" t="s">
        <v>323</v>
      </c>
      <c r="E673" t="s">
        <v>324</v>
      </c>
      <c r="F673" t="s">
        <v>134</v>
      </c>
      <c r="H673" t="s">
        <v>184</v>
      </c>
      <c r="I673" t="s">
        <v>147</v>
      </c>
      <c r="J673" t="s">
        <v>258</v>
      </c>
      <c r="K673" t="s">
        <v>374</v>
      </c>
      <c r="L673" t="s">
        <v>375</v>
      </c>
      <c r="N673" t="s">
        <v>376</v>
      </c>
      <c r="O673" t="s">
        <v>215</v>
      </c>
      <c r="Q673" t="s">
        <v>216</v>
      </c>
      <c r="R673" t="s">
        <v>185</v>
      </c>
      <c r="S673" t="s">
        <v>128</v>
      </c>
      <c r="T673" t="s">
        <v>165</v>
      </c>
      <c r="U673" t="s">
        <v>151</v>
      </c>
      <c r="V673" t="s">
        <v>72</v>
      </c>
      <c r="W673" s="58">
        <v>43318</v>
      </c>
      <c r="X673" s="59">
        <v>0.41666666666666669</v>
      </c>
      <c r="Y673" s="59">
        <v>0.45833333333333331</v>
      </c>
      <c r="Z673" s="59">
        <v>4.1666666666666664E-2</v>
      </c>
      <c r="AA673">
        <v>4</v>
      </c>
      <c r="AB673">
        <v>2.2181999999999999</v>
      </c>
      <c r="AC673">
        <v>20</v>
      </c>
      <c r="AD673">
        <v>9</v>
      </c>
      <c r="AE673" s="59">
        <v>0.41666666666666669</v>
      </c>
      <c r="AF673" s="59">
        <v>0.45763888888888887</v>
      </c>
      <c r="AG673">
        <v>0</v>
      </c>
    </row>
    <row r="674" spans="1:33" x14ac:dyDescent="0.25">
      <c r="A674" t="s">
        <v>258</v>
      </c>
      <c r="B674" t="s">
        <v>290</v>
      </c>
      <c r="C674" t="s">
        <v>291</v>
      </c>
      <c r="E674" t="s">
        <v>292</v>
      </c>
      <c r="F674" t="s">
        <v>134</v>
      </c>
      <c r="H674" t="s">
        <v>154</v>
      </c>
      <c r="I674" t="s">
        <v>155</v>
      </c>
      <c r="J674" t="s">
        <v>258</v>
      </c>
      <c r="K674" t="s">
        <v>374</v>
      </c>
      <c r="L674" t="s">
        <v>375</v>
      </c>
      <c r="N674" t="s">
        <v>376</v>
      </c>
      <c r="O674" t="s">
        <v>215</v>
      </c>
      <c r="Q674" t="s">
        <v>216</v>
      </c>
      <c r="R674" t="s">
        <v>156</v>
      </c>
      <c r="S674" t="s">
        <v>128</v>
      </c>
      <c r="T674" t="s">
        <v>165</v>
      </c>
      <c r="U674" t="s">
        <v>151</v>
      </c>
      <c r="V674" t="s">
        <v>72</v>
      </c>
      <c r="W674" s="58">
        <v>43318</v>
      </c>
      <c r="X674" s="59">
        <v>0.47916666666666669</v>
      </c>
      <c r="Y674" s="59">
        <v>0.53125</v>
      </c>
      <c r="Z674" s="59">
        <v>5.2083333333333336E-2</v>
      </c>
      <c r="AA674">
        <v>0</v>
      </c>
      <c r="AB674">
        <v>5.8090000000000002</v>
      </c>
      <c r="AC674">
        <v>25</v>
      </c>
      <c r="AD674">
        <v>11.25</v>
      </c>
      <c r="AE674" s="59">
        <v>0.47916666666666669</v>
      </c>
      <c r="AF674" s="59">
        <v>0.53055555555555556</v>
      </c>
      <c r="AG674">
        <v>0</v>
      </c>
    </row>
    <row r="675" spans="1:33" x14ac:dyDescent="0.25">
      <c r="A675" t="s">
        <v>368</v>
      </c>
      <c r="B675" t="s">
        <v>369</v>
      </c>
      <c r="C675" t="s">
        <v>370</v>
      </c>
      <c r="E675" t="s">
        <v>292</v>
      </c>
      <c r="F675" t="s">
        <v>134</v>
      </c>
      <c r="H675" t="s">
        <v>154</v>
      </c>
      <c r="I675" t="s">
        <v>155</v>
      </c>
      <c r="J675" t="s">
        <v>258</v>
      </c>
      <c r="K675" t="s">
        <v>374</v>
      </c>
      <c r="L675" t="s">
        <v>375</v>
      </c>
      <c r="N675" t="s">
        <v>376</v>
      </c>
      <c r="O675" t="s">
        <v>215</v>
      </c>
      <c r="Q675" t="s">
        <v>216</v>
      </c>
      <c r="R675" t="s">
        <v>212</v>
      </c>
      <c r="S675" t="s">
        <v>128</v>
      </c>
      <c r="T675" t="s">
        <v>165</v>
      </c>
      <c r="U675" t="s">
        <v>151</v>
      </c>
      <c r="V675" t="s">
        <v>72</v>
      </c>
      <c r="W675" s="58">
        <v>43318</v>
      </c>
      <c r="X675" s="59">
        <v>0.70833333333333337</v>
      </c>
      <c r="Y675" s="59">
        <v>0.98958333333333337</v>
      </c>
      <c r="Z675" s="59">
        <v>0.28125</v>
      </c>
      <c r="AA675">
        <v>0</v>
      </c>
      <c r="AC675">
        <v>135</v>
      </c>
      <c r="AD675">
        <v>60.75</v>
      </c>
      <c r="AE675" s="59">
        <v>0.75</v>
      </c>
      <c r="AF675" s="59">
        <v>0.96805555555555556</v>
      </c>
      <c r="AG675">
        <v>0</v>
      </c>
    </row>
    <row r="676" spans="1:33" x14ac:dyDescent="0.25">
      <c r="A676" t="s">
        <v>258</v>
      </c>
      <c r="B676" t="s">
        <v>342</v>
      </c>
      <c r="C676" t="s">
        <v>343</v>
      </c>
      <c r="E676" t="s">
        <v>344</v>
      </c>
      <c r="F676" t="s">
        <v>134</v>
      </c>
      <c r="H676" t="s">
        <v>197</v>
      </c>
      <c r="I676" t="s">
        <v>198</v>
      </c>
      <c r="J676" t="s">
        <v>258</v>
      </c>
      <c r="K676" t="s">
        <v>374</v>
      </c>
      <c r="L676" t="s">
        <v>375</v>
      </c>
      <c r="N676" t="s">
        <v>376</v>
      </c>
      <c r="O676" t="s">
        <v>215</v>
      </c>
      <c r="Q676" t="s">
        <v>216</v>
      </c>
      <c r="R676" t="s">
        <v>199</v>
      </c>
      <c r="S676" t="s">
        <v>128</v>
      </c>
      <c r="T676" t="s">
        <v>165</v>
      </c>
      <c r="U676" t="s">
        <v>151</v>
      </c>
      <c r="V676" t="s">
        <v>73</v>
      </c>
      <c r="W676" s="58">
        <v>43319</v>
      </c>
      <c r="X676" s="59">
        <v>0.33333333333333331</v>
      </c>
      <c r="Y676" s="59">
        <v>0.375</v>
      </c>
      <c r="Z676" s="59">
        <v>4.1666666666666664E-2</v>
      </c>
      <c r="AA676">
        <v>9</v>
      </c>
      <c r="AC676">
        <v>20</v>
      </c>
      <c r="AD676">
        <v>9</v>
      </c>
      <c r="AE676" s="59">
        <v>0.33333333333333331</v>
      </c>
      <c r="AF676" s="59">
        <v>0.3743055555555555</v>
      </c>
      <c r="AG676">
        <v>0</v>
      </c>
    </row>
    <row r="677" spans="1:33" x14ac:dyDescent="0.25">
      <c r="A677" t="s">
        <v>274</v>
      </c>
      <c r="B677" t="s">
        <v>334</v>
      </c>
      <c r="C677" t="s">
        <v>285</v>
      </c>
      <c r="E677" t="s">
        <v>335</v>
      </c>
      <c r="F677" t="s">
        <v>134</v>
      </c>
      <c r="H677" t="s">
        <v>192</v>
      </c>
      <c r="I677" t="s">
        <v>155</v>
      </c>
      <c r="J677" t="s">
        <v>258</v>
      </c>
      <c r="K677" t="s">
        <v>374</v>
      </c>
      <c r="L677" t="s">
        <v>375</v>
      </c>
      <c r="N677" t="s">
        <v>376</v>
      </c>
      <c r="O677" t="s">
        <v>215</v>
      </c>
      <c r="Q677" t="s">
        <v>216</v>
      </c>
      <c r="R677" t="s">
        <v>193</v>
      </c>
      <c r="S677" t="s">
        <v>128</v>
      </c>
      <c r="T677" t="s">
        <v>165</v>
      </c>
      <c r="U677" t="s">
        <v>129</v>
      </c>
      <c r="V677" t="s">
        <v>73</v>
      </c>
      <c r="W677" s="58">
        <v>43319</v>
      </c>
      <c r="X677" s="59">
        <v>0.39583333333333331</v>
      </c>
      <c r="Y677" s="59">
        <v>0.4375</v>
      </c>
      <c r="Z677" s="59">
        <v>4.1666666666666664E-2</v>
      </c>
      <c r="AA677">
        <v>5</v>
      </c>
      <c r="AB677">
        <v>2.1818</v>
      </c>
      <c r="AC677">
        <v>23</v>
      </c>
      <c r="AD677">
        <v>9</v>
      </c>
      <c r="AE677" s="59">
        <v>0.39583333333333331</v>
      </c>
      <c r="AF677" s="59">
        <v>0.4368055555555555</v>
      </c>
      <c r="AG677">
        <v>0</v>
      </c>
    </row>
    <row r="678" spans="1:33" x14ac:dyDescent="0.25">
      <c r="A678" t="s">
        <v>258</v>
      </c>
      <c r="B678" t="s">
        <v>290</v>
      </c>
      <c r="C678" t="s">
        <v>291</v>
      </c>
      <c r="E678" t="s">
        <v>292</v>
      </c>
      <c r="F678" t="s">
        <v>134</v>
      </c>
      <c r="H678" t="s">
        <v>154</v>
      </c>
      <c r="I678" t="s">
        <v>155</v>
      </c>
      <c r="J678" t="s">
        <v>258</v>
      </c>
      <c r="K678" t="s">
        <v>374</v>
      </c>
      <c r="L678" t="s">
        <v>375</v>
      </c>
      <c r="N678" t="s">
        <v>376</v>
      </c>
      <c r="O678" t="s">
        <v>215</v>
      </c>
      <c r="Q678" t="s">
        <v>216</v>
      </c>
      <c r="R678" t="s">
        <v>156</v>
      </c>
      <c r="S678" t="s">
        <v>128</v>
      </c>
      <c r="T678" t="s">
        <v>165</v>
      </c>
      <c r="U678" t="s">
        <v>151</v>
      </c>
      <c r="V678" t="s">
        <v>73</v>
      </c>
      <c r="W678" s="58">
        <v>43319</v>
      </c>
      <c r="X678" s="59">
        <v>0.44791666666666669</v>
      </c>
      <c r="Y678" s="59">
        <v>0.5</v>
      </c>
      <c r="Z678" s="59">
        <v>5.2083333333333336E-2</v>
      </c>
      <c r="AA678">
        <v>6</v>
      </c>
      <c r="AB678">
        <v>2.9318</v>
      </c>
      <c r="AC678">
        <v>40</v>
      </c>
      <c r="AD678">
        <v>18</v>
      </c>
      <c r="AE678" s="59">
        <v>0.44791666666666669</v>
      </c>
      <c r="AF678" s="59">
        <v>0.4993055555555555</v>
      </c>
      <c r="AG678">
        <v>0</v>
      </c>
    </row>
    <row r="679" spans="1:33" x14ac:dyDescent="0.25">
      <c r="A679" t="s">
        <v>274</v>
      </c>
      <c r="B679" t="s">
        <v>334</v>
      </c>
      <c r="C679" t="s">
        <v>285</v>
      </c>
      <c r="E679" t="s">
        <v>335</v>
      </c>
      <c r="F679" t="s">
        <v>134</v>
      </c>
      <c r="H679" t="s">
        <v>192</v>
      </c>
      <c r="I679" t="s">
        <v>155</v>
      </c>
      <c r="J679" t="s">
        <v>258</v>
      </c>
      <c r="K679" t="s">
        <v>374</v>
      </c>
      <c r="L679" t="s">
        <v>375</v>
      </c>
      <c r="N679" t="s">
        <v>376</v>
      </c>
      <c r="O679" t="s">
        <v>215</v>
      </c>
      <c r="Q679" t="s">
        <v>216</v>
      </c>
      <c r="R679" t="s">
        <v>193</v>
      </c>
      <c r="S679" t="s">
        <v>128</v>
      </c>
      <c r="T679" t="s">
        <v>165</v>
      </c>
      <c r="U679" t="s">
        <v>129</v>
      </c>
      <c r="V679" t="s">
        <v>73</v>
      </c>
      <c r="W679" s="58">
        <v>43319</v>
      </c>
      <c r="X679" s="59">
        <v>0.75</v>
      </c>
      <c r="Y679" s="59">
        <v>0.79166666666666663</v>
      </c>
      <c r="Z679" s="59">
        <v>4.1666666666666664E-2</v>
      </c>
      <c r="AA679">
        <v>0</v>
      </c>
      <c r="AC679">
        <v>23</v>
      </c>
      <c r="AD679">
        <v>9</v>
      </c>
      <c r="AE679" s="59">
        <v>0.75</v>
      </c>
      <c r="AF679" s="59">
        <v>0.7909722222222223</v>
      </c>
      <c r="AG679">
        <v>0</v>
      </c>
    </row>
    <row r="680" spans="1:33" x14ac:dyDescent="0.25">
      <c r="A680" t="s">
        <v>258</v>
      </c>
      <c r="B680" t="s">
        <v>342</v>
      </c>
      <c r="C680" t="s">
        <v>343</v>
      </c>
      <c r="E680" t="s">
        <v>344</v>
      </c>
      <c r="F680" t="s">
        <v>134</v>
      </c>
      <c r="H680" t="s">
        <v>197</v>
      </c>
      <c r="I680" t="s">
        <v>198</v>
      </c>
      <c r="J680" t="s">
        <v>258</v>
      </c>
      <c r="K680" t="s">
        <v>374</v>
      </c>
      <c r="L680" t="s">
        <v>375</v>
      </c>
      <c r="N680" t="s">
        <v>376</v>
      </c>
      <c r="O680" t="s">
        <v>215</v>
      </c>
      <c r="Q680" t="s">
        <v>216</v>
      </c>
      <c r="R680" t="s">
        <v>199</v>
      </c>
      <c r="S680" t="s">
        <v>128</v>
      </c>
      <c r="T680" t="s">
        <v>165</v>
      </c>
      <c r="U680" t="s">
        <v>151</v>
      </c>
      <c r="V680" t="s">
        <v>74</v>
      </c>
      <c r="W680" s="58">
        <v>43320</v>
      </c>
      <c r="X680" s="59">
        <v>0.33333333333333331</v>
      </c>
      <c r="Y680" s="59">
        <v>0.375</v>
      </c>
      <c r="Z680" s="59">
        <v>4.1666666666666664E-2</v>
      </c>
      <c r="AA680">
        <v>9</v>
      </c>
      <c r="AC680">
        <v>20</v>
      </c>
      <c r="AD680">
        <v>9</v>
      </c>
      <c r="AE680" s="59">
        <v>0.33333333333333331</v>
      </c>
      <c r="AF680" s="59">
        <v>0.3743055555555555</v>
      </c>
      <c r="AG680">
        <v>0</v>
      </c>
    </row>
    <row r="681" spans="1:33" x14ac:dyDescent="0.25">
      <c r="A681" t="s">
        <v>274</v>
      </c>
      <c r="B681" t="s">
        <v>334</v>
      </c>
      <c r="C681" t="s">
        <v>285</v>
      </c>
      <c r="E681" t="s">
        <v>335</v>
      </c>
      <c r="F681" t="s">
        <v>134</v>
      </c>
      <c r="H681" t="s">
        <v>192</v>
      </c>
      <c r="I681" t="s">
        <v>155</v>
      </c>
      <c r="J681" t="s">
        <v>258</v>
      </c>
      <c r="K681" t="s">
        <v>374</v>
      </c>
      <c r="L681" t="s">
        <v>375</v>
      </c>
      <c r="N681" t="s">
        <v>376</v>
      </c>
      <c r="O681" t="s">
        <v>215</v>
      </c>
      <c r="Q681" t="s">
        <v>216</v>
      </c>
      <c r="R681" t="s">
        <v>193</v>
      </c>
      <c r="S681" t="s">
        <v>128</v>
      </c>
      <c r="T681" t="s">
        <v>165</v>
      </c>
      <c r="U681" t="s">
        <v>129</v>
      </c>
      <c r="V681" t="s">
        <v>74</v>
      </c>
      <c r="W681" s="58">
        <v>43320</v>
      </c>
      <c r="X681" s="59">
        <v>0.39583333333333331</v>
      </c>
      <c r="Y681" s="59">
        <v>0.4375</v>
      </c>
      <c r="Z681" s="59">
        <v>4.1666666666666664E-2</v>
      </c>
      <c r="AA681">
        <v>5</v>
      </c>
      <c r="AB681">
        <v>2.1818</v>
      </c>
      <c r="AC681">
        <v>23</v>
      </c>
      <c r="AD681">
        <v>9</v>
      </c>
      <c r="AE681" s="59">
        <v>0.39583333333333331</v>
      </c>
      <c r="AF681" s="59">
        <v>0.4368055555555555</v>
      </c>
      <c r="AG681">
        <v>0</v>
      </c>
    </row>
    <row r="682" spans="1:33" x14ac:dyDescent="0.25">
      <c r="A682" t="s">
        <v>258</v>
      </c>
      <c r="B682" t="s">
        <v>290</v>
      </c>
      <c r="C682" t="s">
        <v>291</v>
      </c>
      <c r="E682" t="s">
        <v>292</v>
      </c>
      <c r="F682" t="s">
        <v>134</v>
      </c>
      <c r="H682" t="s">
        <v>154</v>
      </c>
      <c r="I682" t="s">
        <v>155</v>
      </c>
      <c r="J682" t="s">
        <v>258</v>
      </c>
      <c r="K682" t="s">
        <v>374</v>
      </c>
      <c r="L682" t="s">
        <v>375</v>
      </c>
      <c r="N682" t="s">
        <v>376</v>
      </c>
      <c r="O682" t="s">
        <v>215</v>
      </c>
      <c r="Q682" t="s">
        <v>216</v>
      </c>
      <c r="R682" t="s">
        <v>156</v>
      </c>
      <c r="S682" t="s">
        <v>128</v>
      </c>
      <c r="T682" t="s">
        <v>165</v>
      </c>
      <c r="U682" t="s">
        <v>151</v>
      </c>
      <c r="V682" t="s">
        <v>74</v>
      </c>
      <c r="W682" s="58">
        <v>43320</v>
      </c>
      <c r="X682" s="59">
        <v>0.44791666666666669</v>
      </c>
      <c r="Y682" s="59">
        <v>0.5</v>
      </c>
      <c r="Z682" s="59">
        <v>5.2083333333333336E-2</v>
      </c>
      <c r="AA682">
        <v>6</v>
      </c>
      <c r="AB682">
        <v>2.9318</v>
      </c>
      <c r="AC682">
        <v>25</v>
      </c>
      <c r="AD682">
        <v>11.25</v>
      </c>
      <c r="AE682" s="59">
        <v>0.44791666666666669</v>
      </c>
      <c r="AF682" s="59">
        <v>0.4993055555555555</v>
      </c>
      <c r="AG682">
        <v>0</v>
      </c>
    </row>
    <row r="683" spans="1:33" x14ac:dyDescent="0.25">
      <c r="A683" t="s">
        <v>368</v>
      </c>
      <c r="B683" t="s">
        <v>369</v>
      </c>
      <c r="C683" t="s">
        <v>370</v>
      </c>
      <c r="E683" t="s">
        <v>292</v>
      </c>
      <c r="F683" t="s">
        <v>134</v>
      </c>
      <c r="H683" t="s">
        <v>154</v>
      </c>
      <c r="I683" t="s">
        <v>155</v>
      </c>
      <c r="J683" t="s">
        <v>258</v>
      </c>
      <c r="K683" t="s">
        <v>374</v>
      </c>
      <c r="L683" t="s">
        <v>375</v>
      </c>
      <c r="N683" t="s">
        <v>376</v>
      </c>
      <c r="O683" t="s">
        <v>215</v>
      </c>
      <c r="Q683" t="s">
        <v>216</v>
      </c>
      <c r="R683" t="s">
        <v>212</v>
      </c>
      <c r="S683" t="s">
        <v>128</v>
      </c>
      <c r="T683" t="s">
        <v>165</v>
      </c>
      <c r="U683" t="s">
        <v>151</v>
      </c>
      <c r="V683" t="s">
        <v>74</v>
      </c>
      <c r="W683" s="58">
        <v>43320</v>
      </c>
      <c r="X683" s="59">
        <v>0.71875</v>
      </c>
      <c r="Y683" s="59">
        <v>0.90625</v>
      </c>
      <c r="Z683" s="59">
        <v>0.1875</v>
      </c>
      <c r="AA683">
        <v>0</v>
      </c>
      <c r="AC683">
        <v>90</v>
      </c>
      <c r="AD683">
        <v>40.5</v>
      </c>
      <c r="AE683" s="59">
        <v>0.72916666666666663</v>
      </c>
      <c r="AF683" s="59">
        <v>0.83263888888888893</v>
      </c>
      <c r="AG683">
        <v>0</v>
      </c>
    </row>
    <row r="684" spans="1:33" x14ac:dyDescent="0.25">
      <c r="A684" t="s">
        <v>258</v>
      </c>
      <c r="B684" t="s">
        <v>342</v>
      </c>
      <c r="C684" t="s">
        <v>343</v>
      </c>
      <c r="E684" t="s">
        <v>344</v>
      </c>
      <c r="F684" t="s">
        <v>134</v>
      </c>
      <c r="H684" t="s">
        <v>197</v>
      </c>
      <c r="I684" t="s">
        <v>198</v>
      </c>
      <c r="J684" t="s">
        <v>258</v>
      </c>
      <c r="K684" t="s">
        <v>374</v>
      </c>
      <c r="L684" t="s">
        <v>375</v>
      </c>
      <c r="N684" t="s">
        <v>376</v>
      </c>
      <c r="O684" t="s">
        <v>215</v>
      </c>
      <c r="Q684" t="s">
        <v>216</v>
      </c>
      <c r="R684" t="s">
        <v>199</v>
      </c>
      <c r="S684" t="s">
        <v>128</v>
      </c>
      <c r="T684" t="s">
        <v>165</v>
      </c>
      <c r="U684" t="s">
        <v>151</v>
      </c>
      <c r="V684" t="s">
        <v>76</v>
      </c>
      <c r="W684" s="58">
        <v>43322</v>
      </c>
      <c r="X684" s="59">
        <v>0.33333333333333331</v>
      </c>
      <c r="Y684" s="59">
        <v>0.375</v>
      </c>
      <c r="Z684" s="59">
        <v>4.1666666666666664E-2</v>
      </c>
      <c r="AA684">
        <v>9</v>
      </c>
      <c r="AC684">
        <v>20</v>
      </c>
      <c r="AD684">
        <v>9</v>
      </c>
      <c r="AE684" s="59">
        <v>0.33333333333333331</v>
      </c>
      <c r="AF684" s="59">
        <v>0.3743055555555555</v>
      </c>
      <c r="AG684">
        <v>0</v>
      </c>
    </row>
    <row r="685" spans="1:33" x14ac:dyDescent="0.25">
      <c r="A685" t="s">
        <v>274</v>
      </c>
      <c r="B685" t="s">
        <v>334</v>
      </c>
      <c r="C685" t="s">
        <v>285</v>
      </c>
      <c r="E685" t="s">
        <v>335</v>
      </c>
      <c r="F685" t="s">
        <v>134</v>
      </c>
      <c r="H685" t="s">
        <v>192</v>
      </c>
      <c r="I685" t="s">
        <v>155</v>
      </c>
      <c r="J685" t="s">
        <v>258</v>
      </c>
      <c r="K685" t="s">
        <v>374</v>
      </c>
      <c r="L685" t="s">
        <v>375</v>
      </c>
      <c r="N685" t="s">
        <v>376</v>
      </c>
      <c r="O685" t="s">
        <v>215</v>
      </c>
      <c r="Q685" t="s">
        <v>216</v>
      </c>
      <c r="R685" t="s">
        <v>193</v>
      </c>
      <c r="S685" t="s">
        <v>128</v>
      </c>
      <c r="T685" t="s">
        <v>165</v>
      </c>
      <c r="U685" t="s">
        <v>129</v>
      </c>
      <c r="V685" t="s">
        <v>76</v>
      </c>
      <c r="W685" s="58">
        <v>43322</v>
      </c>
      <c r="X685" s="59">
        <v>0.39583333333333331</v>
      </c>
      <c r="Y685" s="59">
        <v>0.4375</v>
      </c>
      <c r="Z685" s="59">
        <v>4.1666666666666664E-2</v>
      </c>
      <c r="AA685">
        <v>5</v>
      </c>
      <c r="AB685">
        <v>2.1818</v>
      </c>
      <c r="AC685">
        <v>23</v>
      </c>
      <c r="AD685">
        <v>9</v>
      </c>
      <c r="AE685" s="59">
        <v>0.39583333333333331</v>
      </c>
      <c r="AF685" s="59">
        <v>0.4368055555555555</v>
      </c>
      <c r="AG685">
        <v>0</v>
      </c>
    </row>
    <row r="686" spans="1:33" x14ac:dyDescent="0.25">
      <c r="A686" t="s">
        <v>258</v>
      </c>
      <c r="B686" t="s">
        <v>290</v>
      </c>
      <c r="C686" t="s">
        <v>291</v>
      </c>
      <c r="E686" t="s">
        <v>292</v>
      </c>
      <c r="F686" t="s">
        <v>134</v>
      </c>
      <c r="H686" t="s">
        <v>154</v>
      </c>
      <c r="I686" t="s">
        <v>155</v>
      </c>
      <c r="J686" t="s">
        <v>258</v>
      </c>
      <c r="K686" t="s">
        <v>374</v>
      </c>
      <c r="L686" t="s">
        <v>375</v>
      </c>
      <c r="N686" t="s">
        <v>376</v>
      </c>
      <c r="O686" t="s">
        <v>215</v>
      </c>
      <c r="Q686" t="s">
        <v>216</v>
      </c>
      <c r="R686" t="s">
        <v>156</v>
      </c>
      <c r="S686" t="s">
        <v>128</v>
      </c>
      <c r="T686" t="s">
        <v>165</v>
      </c>
      <c r="U686" t="s">
        <v>151</v>
      </c>
      <c r="V686" t="s">
        <v>76</v>
      </c>
      <c r="W686" s="58">
        <v>43322</v>
      </c>
      <c r="X686" s="59">
        <v>0.44791666666666669</v>
      </c>
      <c r="Y686" s="59">
        <v>0.5</v>
      </c>
      <c r="Z686" s="59">
        <v>5.2083333333333336E-2</v>
      </c>
      <c r="AA686">
        <v>6</v>
      </c>
      <c r="AB686">
        <v>2.9318</v>
      </c>
      <c r="AC686">
        <v>25</v>
      </c>
      <c r="AD686">
        <v>11.25</v>
      </c>
      <c r="AE686" s="59">
        <v>0.44791666666666669</v>
      </c>
      <c r="AF686" s="59">
        <v>0.4993055555555555</v>
      </c>
      <c r="AG686">
        <v>0</v>
      </c>
    </row>
    <row r="687" spans="1:33" x14ac:dyDescent="0.25">
      <c r="A687" t="s">
        <v>368</v>
      </c>
      <c r="B687" t="s">
        <v>369</v>
      </c>
      <c r="C687" t="s">
        <v>370</v>
      </c>
      <c r="E687" t="s">
        <v>292</v>
      </c>
      <c r="F687" t="s">
        <v>134</v>
      </c>
      <c r="H687" t="s">
        <v>154</v>
      </c>
      <c r="I687" t="s">
        <v>155</v>
      </c>
      <c r="J687" t="s">
        <v>258</v>
      </c>
      <c r="K687" t="s">
        <v>374</v>
      </c>
      <c r="L687" t="s">
        <v>375</v>
      </c>
      <c r="N687" t="s">
        <v>376</v>
      </c>
      <c r="O687" t="s">
        <v>215</v>
      </c>
      <c r="Q687" t="s">
        <v>216</v>
      </c>
      <c r="R687" t="s">
        <v>212</v>
      </c>
      <c r="S687" t="s">
        <v>128</v>
      </c>
      <c r="T687" t="s">
        <v>165</v>
      </c>
      <c r="U687" t="s">
        <v>151</v>
      </c>
      <c r="V687" t="s">
        <v>76</v>
      </c>
      <c r="W687" s="58">
        <v>43322</v>
      </c>
      <c r="X687" s="59">
        <v>0.75</v>
      </c>
      <c r="Y687" s="59">
        <v>0.96875</v>
      </c>
      <c r="Z687" s="59">
        <v>0.21875</v>
      </c>
      <c r="AA687">
        <v>0</v>
      </c>
      <c r="AC687">
        <v>105</v>
      </c>
      <c r="AD687">
        <v>47.25</v>
      </c>
      <c r="AE687" s="59">
        <v>0.78125</v>
      </c>
      <c r="AF687" s="59">
        <v>0.93680555555555556</v>
      </c>
      <c r="AG687">
        <v>0</v>
      </c>
    </row>
    <row r="688" spans="1:33" x14ac:dyDescent="0.25">
      <c r="A688" t="s">
        <v>258</v>
      </c>
      <c r="B688" t="s">
        <v>342</v>
      </c>
      <c r="C688" t="s">
        <v>343</v>
      </c>
      <c r="E688" t="s">
        <v>344</v>
      </c>
      <c r="F688" t="s">
        <v>134</v>
      </c>
      <c r="H688" t="s">
        <v>197</v>
      </c>
      <c r="I688" t="s">
        <v>198</v>
      </c>
      <c r="J688" t="s">
        <v>258</v>
      </c>
      <c r="K688" t="s">
        <v>374</v>
      </c>
      <c r="L688" t="s">
        <v>375</v>
      </c>
      <c r="N688" t="s">
        <v>376</v>
      </c>
      <c r="O688" t="s">
        <v>215</v>
      </c>
      <c r="Q688" t="s">
        <v>216</v>
      </c>
      <c r="R688" t="s">
        <v>199</v>
      </c>
      <c r="S688" t="s">
        <v>128</v>
      </c>
      <c r="T688" t="s">
        <v>165</v>
      </c>
      <c r="U688" t="s">
        <v>151</v>
      </c>
      <c r="V688" t="s">
        <v>77</v>
      </c>
      <c r="W688" s="58">
        <v>43323</v>
      </c>
      <c r="X688" s="59">
        <v>0.33333333333333331</v>
      </c>
      <c r="Y688" s="59">
        <v>0.375</v>
      </c>
      <c r="Z688" s="59">
        <v>4.1666666666666664E-2</v>
      </c>
      <c r="AA688">
        <v>0</v>
      </c>
      <c r="AC688">
        <v>20</v>
      </c>
      <c r="AD688">
        <v>10</v>
      </c>
      <c r="AE688" s="59">
        <v>0.33333333333333331</v>
      </c>
      <c r="AF688" s="59">
        <v>0.3743055555555555</v>
      </c>
      <c r="AG688">
        <v>0</v>
      </c>
    </row>
    <row r="689" spans="1:33" x14ac:dyDescent="0.25">
      <c r="A689" t="s">
        <v>258</v>
      </c>
      <c r="B689" t="s">
        <v>281</v>
      </c>
      <c r="C689" t="s">
        <v>282</v>
      </c>
      <c r="E689" t="s">
        <v>283</v>
      </c>
      <c r="F689" t="s">
        <v>134</v>
      </c>
      <c r="G689" t="s">
        <v>218</v>
      </c>
      <c r="H689" t="s">
        <v>146</v>
      </c>
      <c r="I689" t="s">
        <v>147</v>
      </c>
      <c r="J689" t="s">
        <v>258</v>
      </c>
      <c r="K689" t="s">
        <v>374</v>
      </c>
      <c r="L689" t="s">
        <v>375</v>
      </c>
      <c r="N689" t="s">
        <v>376</v>
      </c>
      <c r="O689" t="s">
        <v>215</v>
      </c>
      <c r="Q689" t="s">
        <v>216</v>
      </c>
      <c r="R689" t="s">
        <v>148</v>
      </c>
      <c r="S689" t="s">
        <v>128</v>
      </c>
      <c r="T689" t="s">
        <v>165</v>
      </c>
      <c r="U689" t="s">
        <v>129</v>
      </c>
      <c r="V689" t="s">
        <v>72</v>
      </c>
      <c r="W689" s="58">
        <v>43325</v>
      </c>
      <c r="X689" s="59">
        <v>0.3125</v>
      </c>
      <c r="Y689" s="59">
        <v>0.35416666666666669</v>
      </c>
      <c r="Z689" s="59">
        <v>4.1666666666666664E-2</v>
      </c>
      <c r="AA689">
        <v>0</v>
      </c>
      <c r="AC689">
        <v>23</v>
      </c>
      <c r="AD689">
        <v>9</v>
      </c>
      <c r="AE689" s="59">
        <v>0.3125</v>
      </c>
      <c r="AF689" s="59">
        <v>0.35347222222222219</v>
      </c>
      <c r="AG689">
        <v>0</v>
      </c>
    </row>
    <row r="690" spans="1:33" x14ac:dyDescent="0.25">
      <c r="A690" t="s">
        <v>258</v>
      </c>
      <c r="B690" t="s">
        <v>325</v>
      </c>
      <c r="C690" t="s">
        <v>326</v>
      </c>
      <c r="E690" t="s">
        <v>327</v>
      </c>
      <c r="F690" t="s">
        <v>134</v>
      </c>
      <c r="H690" t="s">
        <v>182</v>
      </c>
      <c r="I690" t="s">
        <v>147</v>
      </c>
      <c r="J690" t="s">
        <v>258</v>
      </c>
      <c r="K690" t="s">
        <v>374</v>
      </c>
      <c r="L690" t="s">
        <v>375</v>
      </c>
      <c r="N690" t="s">
        <v>376</v>
      </c>
      <c r="O690" t="s">
        <v>215</v>
      </c>
      <c r="Q690" t="s">
        <v>216</v>
      </c>
      <c r="R690" t="s">
        <v>183</v>
      </c>
      <c r="S690" t="s">
        <v>128</v>
      </c>
      <c r="T690" t="s">
        <v>165</v>
      </c>
      <c r="U690" t="s">
        <v>129</v>
      </c>
      <c r="V690" t="s">
        <v>72</v>
      </c>
      <c r="W690" s="58">
        <v>43325</v>
      </c>
      <c r="X690" s="59">
        <v>0.36458333333333331</v>
      </c>
      <c r="Y690" s="59">
        <v>0.40625</v>
      </c>
      <c r="Z690" s="59">
        <v>4.1666666666666664E-2</v>
      </c>
      <c r="AA690">
        <v>0</v>
      </c>
      <c r="AB690">
        <v>1.2704</v>
      </c>
      <c r="AC690">
        <v>23</v>
      </c>
      <c r="AD690">
        <v>9</v>
      </c>
      <c r="AE690" s="59">
        <v>0.36458333333333331</v>
      </c>
      <c r="AF690" s="59">
        <v>0.4055555555555555</v>
      </c>
      <c r="AG690">
        <v>0</v>
      </c>
    </row>
    <row r="691" spans="1:33" x14ac:dyDescent="0.25">
      <c r="A691" t="s">
        <v>274</v>
      </c>
      <c r="B691" t="s">
        <v>321</v>
      </c>
      <c r="C691" t="s">
        <v>322</v>
      </c>
      <c r="D691" t="s">
        <v>323</v>
      </c>
      <c r="E691" t="s">
        <v>324</v>
      </c>
      <c r="F691" t="s">
        <v>134</v>
      </c>
      <c r="H691" t="s">
        <v>184</v>
      </c>
      <c r="I691" t="s">
        <v>147</v>
      </c>
      <c r="J691" t="s">
        <v>258</v>
      </c>
      <c r="K691" t="s">
        <v>374</v>
      </c>
      <c r="L691" t="s">
        <v>375</v>
      </c>
      <c r="N691" t="s">
        <v>376</v>
      </c>
      <c r="O691" t="s">
        <v>215</v>
      </c>
      <c r="Q691" t="s">
        <v>216</v>
      </c>
      <c r="R691" t="s">
        <v>185</v>
      </c>
      <c r="S691" t="s">
        <v>128</v>
      </c>
      <c r="T691" t="s">
        <v>165</v>
      </c>
      <c r="U691" t="s">
        <v>151</v>
      </c>
      <c r="V691" t="s">
        <v>72</v>
      </c>
      <c r="W691" s="58">
        <v>43325</v>
      </c>
      <c r="X691" s="59">
        <v>0.41666666666666669</v>
      </c>
      <c r="Y691" s="59">
        <v>0.45833333333333331</v>
      </c>
      <c r="Z691" s="59">
        <v>4.1666666666666664E-2</v>
      </c>
      <c r="AA691">
        <v>0</v>
      </c>
      <c r="AB691">
        <v>2.2181999999999999</v>
      </c>
      <c r="AC691">
        <v>20</v>
      </c>
      <c r="AD691">
        <v>9</v>
      </c>
      <c r="AE691" s="59">
        <v>0.41666666666666669</v>
      </c>
      <c r="AF691" s="59">
        <v>0.45763888888888887</v>
      </c>
      <c r="AG691">
        <v>0</v>
      </c>
    </row>
    <row r="692" spans="1:33" x14ac:dyDescent="0.25">
      <c r="A692" t="s">
        <v>258</v>
      </c>
      <c r="B692" t="s">
        <v>281</v>
      </c>
      <c r="C692" t="s">
        <v>282</v>
      </c>
      <c r="E692" t="s">
        <v>283</v>
      </c>
      <c r="F692" t="s">
        <v>134</v>
      </c>
      <c r="G692" t="s">
        <v>218</v>
      </c>
      <c r="H692" t="s">
        <v>146</v>
      </c>
      <c r="I692" t="s">
        <v>147</v>
      </c>
      <c r="J692" t="s">
        <v>258</v>
      </c>
      <c r="K692" t="s">
        <v>374</v>
      </c>
      <c r="L692" t="s">
        <v>375</v>
      </c>
      <c r="N692" t="s">
        <v>376</v>
      </c>
      <c r="O692" t="s">
        <v>215</v>
      </c>
      <c r="Q692" t="s">
        <v>216</v>
      </c>
      <c r="R692" t="s">
        <v>148</v>
      </c>
      <c r="S692" t="s">
        <v>128</v>
      </c>
      <c r="T692" t="s">
        <v>165</v>
      </c>
      <c r="U692" t="s">
        <v>129</v>
      </c>
      <c r="V692" t="s">
        <v>72</v>
      </c>
      <c r="W692" s="58">
        <v>43325</v>
      </c>
      <c r="X692" s="59">
        <v>0.47916666666666669</v>
      </c>
      <c r="Y692" s="59">
        <v>0.52083333333333337</v>
      </c>
      <c r="Z692" s="59">
        <v>4.1666666666666664E-2</v>
      </c>
      <c r="AA692">
        <v>0</v>
      </c>
      <c r="AB692">
        <v>1.9228000000000001</v>
      </c>
      <c r="AC692">
        <v>23</v>
      </c>
      <c r="AD692">
        <v>9</v>
      </c>
      <c r="AE692" s="59">
        <v>0.47916666666666669</v>
      </c>
      <c r="AF692" s="59">
        <v>0.52013888888888882</v>
      </c>
      <c r="AG692">
        <v>0</v>
      </c>
    </row>
    <row r="693" spans="1:33" x14ac:dyDescent="0.25">
      <c r="A693" t="s">
        <v>258</v>
      </c>
      <c r="B693" t="s">
        <v>325</v>
      </c>
      <c r="C693" t="s">
        <v>326</v>
      </c>
      <c r="E693" t="s">
        <v>327</v>
      </c>
      <c r="F693" t="s">
        <v>134</v>
      </c>
      <c r="H693" t="s">
        <v>182</v>
      </c>
      <c r="I693" t="s">
        <v>147</v>
      </c>
      <c r="J693" t="s">
        <v>258</v>
      </c>
      <c r="K693" t="s">
        <v>374</v>
      </c>
      <c r="L693" t="s">
        <v>375</v>
      </c>
      <c r="N693" t="s">
        <v>376</v>
      </c>
      <c r="O693" t="s">
        <v>215</v>
      </c>
      <c r="Q693" t="s">
        <v>216</v>
      </c>
      <c r="R693" t="s">
        <v>183</v>
      </c>
      <c r="S693" t="s">
        <v>128</v>
      </c>
      <c r="T693" t="s">
        <v>165</v>
      </c>
      <c r="U693" t="s">
        <v>129</v>
      </c>
      <c r="V693" t="s">
        <v>72</v>
      </c>
      <c r="W693" s="58">
        <v>43325</v>
      </c>
      <c r="X693" s="59">
        <v>0.52777777777777779</v>
      </c>
      <c r="Y693" s="59">
        <v>0.56944444444444442</v>
      </c>
      <c r="Z693" s="59">
        <v>4.1666666666666664E-2</v>
      </c>
      <c r="AA693">
        <v>0</v>
      </c>
      <c r="AB693">
        <v>1.2704</v>
      </c>
      <c r="AC693">
        <v>23</v>
      </c>
      <c r="AD693">
        <v>9</v>
      </c>
      <c r="AE693" s="59">
        <v>0.52777777777777779</v>
      </c>
      <c r="AF693" s="59">
        <v>0.56874999999999998</v>
      </c>
      <c r="AG693">
        <v>0</v>
      </c>
    </row>
    <row r="694" spans="1:33" x14ac:dyDescent="0.25">
      <c r="A694" t="s">
        <v>258</v>
      </c>
      <c r="B694" t="s">
        <v>342</v>
      </c>
      <c r="C694" t="s">
        <v>343</v>
      </c>
      <c r="E694" t="s">
        <v>344</v>
      </c>
      <c r="F694" t="s">
        <v>134</v>
      </c>
      <c r="H694" t="s">
        <v>197</v>
      </c>
      <c r="I694" t="s">
        <v>198</v>
      </c>
      <c r="J694" t="s">
        <v>258</v>
      </c>
      <c r="K694" t="s">
        <v>374</v>
      </c>
      <c r="L694" t="s">
        <v>375</v>
      </c>
      <c r="N694" t="s">
        <v>376</v>
      </c>
      <c r="O694" t="s">
        <v>215</v>
      </c>
      <c r="Q694" t="s">
        <v>216</v>
      </c>
      <c r="R694" t="s">
        <v>199</v>
      </c>
      <c r="S694" t="s">
        <v>128</v>
      </c>
      <c r="T694" t="s">
        <v>165</v>
      </c>
      <c r="U694" t="s">
        <v>151</v>
      </c>
      <c r="V694" t="s">
        <v>73</v>
      </c>
      <c r="W694" s="58">
        <v>43326</v>
      </c>
      <c r="X694" s="59">
        <v>0.33333333333333331</v>
      </c>
      <c r="Y694" s="59">
        <v>0.375</v>
      </c>
      <c r="Z694" s="59">
        <v>4.1666666666666664E-2</v>
      </c>
      <c r="AA694">
        <v>0</v>
      </c>
      <c r="AC694">
        <v>20</v>
      </c>
      <c r="AD694">
        <v>9</v>
      </c>
      <c r="AE694" s="59">
        <v>0.33333333333333331</v>
      </c>
      <c r="AF694" s="59">
        <v>0.3743055555555555</v>
      </c>
      <c r="AG694">
        <v>0</v>
      </c>
    </row>
    <row r="695" spans="1:33" x14ac:dyDescent="0.25">
      <c r="A695" t="s">
        <v>274</v>
      </c>
      <c r="B695" t="s">
        <v>334</v>
      </c>
      <c r="C695" t="s">
        <v>285</v>
      </c>
      <c r="E695" t="s">
        <v>335</v>
      </c>
      <c r="F695" t="s">
        <v>134</v>
      </c>
      <c r="H695" t="s">
        <v>192</v>
      </c>
      <c r="I695" t="s">
        <v>155</v>
      </c>
      <c r="J695" t="s">
        <v>258</v>
      </c>
      <c r="K695" t="s">
        <v>374</v>
      </c>
      <c r="L695" t="s">
        <v>375</v>
      </c>
      <c r="N695" t="s">
        <v>376</v>
      </c>
      <c r="O695" t="s">
        <v>215</v>
      </c>
      <c r="Q695" t="s">
        <v>216</v>
      </c>
      <c r="R695" t="s">
        <v>193</v>
      </c>
      <c r="S695" t="s">
        <v>128</v>
      </c>
      <c r="T695" t="s">
        <v>165</v>
      </c>
      <c r="U695" t="s">
        <v>129</v>
      </c>
      <c r="V695" t="s">
        <v>73</v>
      </c>
      <c r="W695" s="58">
        <v>43326</v>
      </c>
      <c r="X695" s="59">
        <v>0.39583333333333331</v>
      </c>
      <c r="Y695" s="59">
        <v>0.4375</v>
      </c>
      <c r="Z695" s="59">
        <v>4.1666666666666664E-2</v>
      </c>
      <c r="AA695">
        <v>0</v>
      </c>
      <c r="AB695">
        <v>2.1818</v>
      </c>
      <c r="AC695">
        <v>23</v>
      </c>
      <c r="AD695">
        <v>9</v>
      </c>
      <c r="AE695" s="59">
        <v>0.39583333333333331</v>
      </c>
      <c r="AF695" s="59">
        <v>0.4368055555555555</v>
      </c>
      <c r="AG695">
        <v>0</v>
      </c>
    </row>
    <row r="696" spans="1:33" x14ac:dyDescent="0.25">
      <c r="A696" t="s">
        <v>258</v>
      </c>
      <c r="B696" t="s">
        <v>290</v>
      </c>
      <c r="C696" t="s">
        <v>291</v>
      </c>
      <c r="E696" t="s">
        <v>292</v>
      </c>
      <c r="F696" t="s">
        <v>134</v>
      </c>
      <c r="H696" t="s">
        <v>154</v>
      </c>
      <c r="I696" t="s">
        <v>155</v>
      </c>
      <c r="J696" t="s">
        <v>258</v>
      </c>
      <c r="K696" t="s">
        <v>374</v>
      </c>
      <c r="L696" t="s">
        <v>375</v>
      </c>
      <c r="N696" t="s">
        <v>376</v>
      </c>
      <c r="O696" t="s">
        <v>215</v>
      </c>
      <c r="Q696" t="s">
        <v>216</v>
      </c>
      <c r="R696" t="s">
        <v>156</v>
      </c>
      <c r="S696" t="s">
        <v>128</v>
      </c>
      <c r="T696" t="s">
        <v>165</v>
      </c>
      <c r="U696" t="s">
        <v>151</v>
      </c>
      <c r="V696" t="s">
        <v>73</v>
      </c>
      <c r="W696" s="58">
        <v>43326</v>
      </c>
      <c r="X696" s="59">
        <v>0.44791666666666669</v>
      </c>
      <c r="Y696" s="59">
        <v>0.5</v>
      </c>
      <c r="Z696" s="59">
        <v>5.2083333333333336E-2</v>
      </c>
      <c r="AA696">
        <v>0</v>
      </c>
      <c r="AB696">
        <v>2.9318</v>
      </c>
      <c r="AC696">
        <v>25</v>
      </c>
      <c r="AD696">
        <v>11.25</v>
      </c>
      <c r="AE696" s="59">
        <v>0.44791666666666669</v>
      </c>
      <c r="AF696" s="59">
        <v>0.4993055555555555</v>
      </c>
      <c r="AG696">
        <v>0</v>
      </c>
    </row>
    <row r="697" spans="1:33" x14ac:dyDescent="0.25">
      <c r="A697" t="s">
        <v>258</v>
      </c>
      <c r="B697" t="s">
        <v>342</v>
      </c>
      <c r="C697" t="s">
        <v>343</v>
      </c>
      <c r="E697" t="s">
        <v>344</v>
      </c>
      <c r="F697" t="s">
        <v>134</v>
      </c>
      <c r="H697" t="s">
        <v>197</v>
      </c>
      <c r="I697" t="s">
        <v>198</v>
      </c>
      <c r="J697" t="s">
        <v>258</v>
      </c>
      <c r="K697" t="s">
        <v>374</v>
      </c>
      <c r="L697" t="s">
        <v>375</v>
      </c>
      <c r="N697" t="s">
        <v>376</v>
      </c>
      <c r="O697" t="s">
        <v>215</v>
      </c>
      <c r="Q697" t="s">
        <v>216</v>
      </c>
      <c r="R697" t="s">
        <v>199</v>
      </c>
      <c r="S697" t="s">
        <v>128</v>
      </c>
      <c r="T697" t="s">
        <v>165</v>
      </c>
      <c r="U697" t="s">
        <v>151</v>
      </c>
      <c r="V697" t="s">
        <v>74</v>
      </c>
      <c r="W697" s="58">
        <v>43327</v>
      </c>
      <c r="X697" s="59">
        <v>0.33333333333333331</v>
      </c>
      <c r="Y697" s="59">
        <v>0.375</v>
      </c>
      <c r="Z697" s="59">
        <v>4.1666666666666664E-2</v>
      </c>
      <c r="AA697">
        <v>0</v>
      </c>
      <c r="AC697">
        <v>20</v>
      </c>
      <c r="AD697">
        <v>9</v>
      </c>
      <c r="AE697" s="59">
        <v>0.33333333333333331</v>
      </c>
      <c r="AF697" s="59">
        <v>0.3743055555555555</v>
      </c>
      <c r="AG697">
        <v>0</v>
      </c>
    </row>
    <row r="698" spans="1:33" x14ac:dyDescent="0.25">
      <c r="A698" t="s">
        <v>274</v>
      </c>
      <c r="B698" t="s">
        <v>334</v>
      </c>
      <c r="C698" t="s">
        <v>285</v>
      </c>
      <c r="E698" t="s">
        <v>335</v>
      </c>
      <c r="F698" t="s">
        <v>134</v>
      </c>
      <c r="H698" t="s">
        <v>192</v>
      </c>
      <c r="I698" t="s">
        <v>155</v>
      </c>
      <c r="J698" t="s">
        <v>258</v>
      </c>
      <c r="K698" t="s">
        <v>374</v>
      </c>
      <c r="L698" t="s">
        <v>375</v>
      </c>
      <c r="N698" t="s">
        <v>376</v>
      </c>
      <c r="O698" t="s">
        <v>215</v>
      </c>
      <c r="Q698" t="s">
        <v>216</v>
      </c>
      <c r="R698" t="s">
        <v>193</v>
      </c>
      <c r="S698" t="s">
        <v>128</v>
      </c>
      <c r="T698" t="s">
        <v>165</v>
      </c>
      <c r="U698" t="s">
        <v>129</v>
      </c>
      <c r="V698" t="s">
        <v>74</v>
      </c>
      <c r="W698" s="58">
        <v>43327</v>
      </c>
      <c r="X698" s="59">
        <v>0.39583333333333331</v>
      </c>
      <c r="Y698" s="59">
        <v>0.4375</v>
      </c>
      <c r="Z698" s="59">
        <v>4.1666666666666664E-2</v>
      </c>
      <c r="AA698">
        <v>0</v>
      </c>
      <c r="AB698">
        <v>2.1818</v>
      </c>
      <c r="AC698">
        <v>23</v>
      </c>
      <c r="AD698">
        <v>9</v>
      </c>
      <c r="AE698" s="59">
        <v>0.39583333333333331</v>
      </c>
      <c r="AF698" s="59">
        <v>0.4368055555555555</v>
      </c>
      <c r="AG698">
        <v>0</v>
      </c>
    </row>
    <row r="699" spans="1:33" x14ac:dyDescent="0.25">
      <c r="A699" t="s">
        <v>258</v>
      </c>
      <c r="B699" t="s">
        <v>290</v>
      </c>
      <c r="C699" t="s">
        <v>291</v>
      </c>
      <c r="E699" t="s">
        <v>292</v>
      </c>
      <c r="F699" t="s">
        <v>134</v>
      </c>
      <c r="H699" t="s">
        <v>154</v>
      </c>
      <c r="I699" t="s">
        <v>155</v>
      </c>
      <c r="J699" t="s">
        <v>258</v>
      </c>
      <c r="K699" t="s">
        <v>374</v>
      </c>
      <c r="L699" t="s">
        <v>375</v>
      </c>
      <c r="N699" t="s">
        <v>376</v>
      </c>
      <c r="O699" t="s">
        <v>215</v>
      </c>
      <c r="Q699" t="s">
        <v>216</v>
      </c>
      <c r="R699" t="s">
        <v>156</v>
      </c>
      <c r="S699" t="s">
        <v>128</v>
      </c>
      <c r="T699" t="s">
        <v>165</v>
      </c>
      <c r="U699" t="s">
        <v>151</v>
      </c>
      <c r="V699" t="s">
        <v>74</v>
      </c>
      <c r="W699" s="58">
        <v>43327</v>
      </c>
      <c r="X699" s="59">
        <v>0.45833333333333331</v>
      </c>
      <c r="Y699" s="59">
        <v>0.57291666666666663</v>
      </c>
      <c r="Z699" s="59">
        <v>0.11458333333333333</v>
      </c>
      <c r="AA699">
        <v>0</v>
      </c>
      <c r="AB699">
        <v>2.9318</v>
      </c>
      <c r="AC699">
        <v>55</v>
      </c>
      <c r="AD699">
        <v>24.75</v>
      </c>
      <c r="AE699" s="59">
        <v>0.44791666666666669</v>
      </c>
      <c r="AF699" s="59">
        <v>0.58263888888888882</v>
      </c>
      <c r="AG699">
        <v>0</v>
      </c>
    </row>
    <row r="700" spans="1:33" x14ac:dyDescent="0.25">
      <c r="A700" t="s">
        <v>258</v>
      </c>
      <c r="B700" t="s">
        <v>342</v>
      </c>
      <c r="C700" t="s">
        <v>343</v>
      </c>
      <c r="E700" t="s">
        <v>344</v>
      </c>
      <c r="F700" t="s">
        <v>134</v>
      </c>
      <c r="H700" t="s">
        <v>197</v>
      </c>
      <c r="I700" t="s">
        <v>198</v>
      </c>
      <c r="J700" t="s">
        <v>258</v>
      </c>
      <c r="K700" t="s">
        <v>374</v>
      </c>
      <c r="L700" t="s">
        <v>375</v>
      </c>
      <c r="N700" t="s">
        <v>376</v>
      </c>
      <c r="O700" t="s">
        <v>215</v>
      </c>
      <c r="Q700" t="s">
        <v>216</v>
      </c>
      <c r="R700" t="s">
        <v>199</v>
      </c>
      <c r="S700" t="s">
        <v>128</v>
      </c>
      <c r="T700" t="s">
        <v>165</v>
      </c>
      <c r="U700" t="s">
        <v>151</v>
      </c>
      <c r="V700" t="s">
        <v>75</v>
      </c>
      <c r="W700" s="58">
        <v>43328</v>
      </c>
      <c r="X700" s="59">
        <v>0.33333333333333331</v>
      </c>
      <c r="Y700" s="59">
        <v>0.375</v>
      </c>
      <c r="Z700" s="59">
        <v>4.1666666666666664E-2</v>
      </c>
      <c r="AA700">
        <v>0</v>
      </c>
      <c r="AC700">
        <v>20</v>
      </c>
      <c r="AD700">
        <v>9</v>
      </c>
      <c r="AE700" s="59">
        <v>0.33333333333333331</v>
      </c>
      <c r="AF700" s="59">
        <v>0.3743055555555555</v>
      </c>
      <c r="AG700">
        <v>0</v>
      </c>
    </row>
    <row r="701" spans="1:33" x14ac:dyDescent="0.25">
      <c r="A701" t="s">
        <v>274</v>
      </c>
      <c r="B701" t="s">
        <v>334</v>
      </c>
      <c r="C701" t="s">
        <v>285</v>
      </c>
      <c r="E701" t="s">
        <v>335</v>
      </c>
      <c r="F701" t="s">
        <v>134</v>
      </c>
      <c r="H701" t="s">
        <v>192</v>
      </c>
      <c r="I701" t="s">
        <v>155</v>
      </c>
      <c r="J701" t="s">
        <v>258</v>
      </c>
      <c r="K701" t="s">
        <v>374</v>
      </c>
      <c r="L701" t="s">
        <v>375</v>
      </c>
      <c r="N701" t="s">
        <v>376</v>
      </c>
      <c r="O701" t="s">
        <v>215</v>
      </c>
      <c r="Q701" t="s">
        <v>216</v>
      </c>
      <c r="R701" t="s">
        <v>193</v>
      </c>
      <c r="S701" t="s">
        <v>128</v>
      </c>
      <c r="T701" t="s">
        <v>165</v>
      </c>
      <c r="U701" t="s">
        <v>129</v>
      </c>
      <c r="V701" t="s">
        <v>75</v>
      </c>
      <c r="W701" s="58">
        <v>43328</v>
      </c>
      <c r="X701" s="59">
        <v>0.39583333333333331</v>
      </c>
      <c r="Y701" s="59">
        <v>0.4375</v>
      </c>
      <c r="Z701" s="59">
        <v>4.1666666666666664E-2</v>
      </c>
      <c r="AA701">
        <v>0</v>
      </c>
      <c r="AB701">
        <v>2.1818</v>
      </c>
      <c r="AC701">
        <v>23</v>
      </c>
      <c r="AD701">
        <v>9</v>
      </c>
      <c r="AE701" s="59">
        <v>0.39583333333333331</v>
      </c>
      <c r="AF701" s="59">
        <v>0.4368055555555555</v>
      </c>
      <c r="AG701">
        <v>0</v>
      </c>
    </row>
    <row r="702" spans="1:33" x14ac:dyDescent="0.25">
      <c r="A702" t="s">
        <v>258</v>
      </c>
      <c r="B702" t="s">
        <v>290</v>
      </c>
      <c r="C702" t="s">
        <v>291</v>
      </c>
      <c r="E702" t="s">
        <v>292</v>
      </c>
      <c r="F702" t="s">
        <v>134</v>
      </c>
      <c r="H702" t="s">
        <v>154</v>
      </c>
      <c r="I702" t="s">
        <v>155</v>
      </c>
      <c r="J702" t="s">
        <v>258</v>
      </c>
      <c r="K702" t="s">
        <v>374</v>
      </c>
      <c r="L702" t="s">
        <v>375</v>
      </c>
      <c r="N702" t="s">
        <v>376</v>
      </c>
      <c r="O702" t="s">
        <v>215</v>
      </c>
      <c r="Q702" t="s">
        <v>216</v>
      </c>
      <c r="R702" t="s">
        <v>156</v>
      </c>
      <c r="S702" t="s">
        <v>128</v>
      </c>
      <c r="T702" t="s">
        <v>165</v>
      </c>
      <c r="U702" t="s">
        <v>151</v>
      </c>
      <c r="V702" t="s">
        <v>75</v>
      </c>
      <c r="W702" s="58">
        <v>43328</v>
      </c>
      <c r="X702" s="59">
        <v>0.44791666666666669</v>
      </c>
      <c r="Y702" s="59">
        <v>0.52083333333333337</v>
      </c>
      <c r="Z702" s="59">
        <v>7.2916666666666671E-2</v>
      </c>
      <c r="AA702">
        <v>0</v>
      </c>
      <c r="AB702">
        <v>2.9318</v>
      </c>
      <c r="AC702">
        <v>35</v>
      </c>
      <c r="AD702">
        <v>15.75</v>
      </c>
      <c r="AE702" s="59">
        <v>0.44791666666666669</v>
      </c>
      <c r="AF702" s="59">
        <v>0.4993055555555555</v>
      </c>
      <c r="AG702">
        <v>0</v>
      </c>
    </row>
    <row r="703" spans="1:33" x14ac:dyDescent="0.25">
      <c r="A703" t="s">
        <v>258</v>
      </c>
      <c r="B703" t="s">
        <v>290</v>
      </c>
      <c r="C703" t="s">
        <v>291</v>
      </c>
      <c r="E703" t="s">
        <v>292</v>
      </c>
      <c r="F703" t="s">
        <v>134</v>
      </c>
      <c r="H703" t="s">
        <v>154</v>
      </c>
      <c r="I703" t="s">
        <v>155</v>
      </c>
      <c r="J703" t="s">
        <v>258</v>
      </c>
      <c r="K703" t="s">
        <v>374</v>
      </c>
      <c r="L703" t="s">
        <v>375</v>
      </c>
      <c r="N703" t="s">
        <v>376</v>
      </c>
      <c r="O703" t="s">
        <v>215</v>
      </c>
      <c r="Q703" t="s">
        <v>216</v>
      </c>
      <c r="R703" t="s">
        <v>156</v>
      </c>
      <c r="S703" t="s">
        <v>128</v>
      </c>
      <c r="T703" t="s">
        <v>165</v>
      </c>
      <c r="U703" t="s">
        <v>151</v>
      </c>
      <c r="V703" t="s">
        <v>75</v>
      </c>
      <c r="W703" s="58">
        <v>43328</v>
      </c>
      <c r="X703" s="59">
        <v>0.77083333333333337</v>
      </c>
      <c r="Y703" s="59">
        <v>0.95833333333333337</v>
      </c>
      <c r="Z703" s="59">
        <v>0.1875</v>
      </c>
      <c r="AA703">
        <v>0</v>
      </c>
      <c r="AC703">
        <v>90</v>
      </c>
      <c r="AD703">
        <v>40.5</v>
      </c>
      <c r="AE703" s="59">
        <v>0.78125</v>
      </c>
      <c r="AF703" s="59">
        <v>0.95763888888888893</v>
      </c>
      <c r="AG703">
        <v>0</v>
      </c>
    </row>
    <row r="704" spans="1:33" x14ac:dyDescent="0.25">
      <c r="A704" t="s">
        <v>258</v>
      </c>
      <c r="B704" t="s">
        <v>342</v>
      </c>
      <c r="C704" t="s">
        <v>343</v>
      </c>
      <c r="E704" t="s">
        <v>344</v>
      </c>
      <c r="F704" t="s">
        <v>134</v>
      </c>
      <c r="H704" t="s">
        <v>197</v>
      </c>
      <c r="I704" t="s">
        <v>198</v>
      </c>
      <c r="J704" t="s">
        <v>258</v>
      </c>
      <c r="K704" t="s">
        <v>374</v>
      </c>
      <c r="L704" t="s">
        <v>375</v>
      </c>
      <c r="N704" t="s">
        <v>376</v>
      </c>
      <c r="O704" t="s">
        <v>215</v>
      </c>
      <c r="Q704" t="s">
        <v>216</v>
      </c>
      <c r="R704" t="s">
        <v>199</v>
      </c>
      <c r="S704" t="s">
        <v>128</v>
      </c>
      <c r="T704" t="s">
        <v>165</v>
      </c>
      <c r="U704" t="s">
        <v>151</v>
      </c>
      <c r="V704" t="s">
        <v>76</v>
      </c>
      <c r="W704" s="58">
        <v>43329</v>
      </c>
      <c r="X704" s="59">
        <v>0.33333333333333331</v>
      </c>
      <c r="Y704" s="59">
        <v>0.375</v>
      </c>
      <c r="Z704" s="59">
        <v>4.1666666666666664E-2</v>
      </c>
      <c r="AA704">
        <v>0</v>
      </c>
      <c r="AC704">
        <v>20</v>
      </c>
      <c r="AD704">
        <v>9</v>
      </c>
      <c r="AE704" s="59">
        <v>0.33333333333333331</v>
      </c>
      <c r="AF704" s="59">
        <v>0.3743055555555555</v>
      </c>
      <c r="AG704">
        <v>0</v>
      </c>
    </row>
    <row r="705" spans="1:33" x14ac:dyDescent="0.25">
      <c r="A705" t="s">
        <v>274</v>
      </c>
      <c r="B705" t="s">
        <v>334</v>
      </c>
      <c r="C705" t="s">
        <v>285</v>
      </c>
      <c r="E705" t="s">
        <v>335</v>
      </c>
      <c r="F705" t="s">
        <v>134</v>
      </c>
      <c r="H705" t="s">
        <v>192</v>
      </c>
      <c r="I705" t="s">
        <v>155</v>
      </c>
      <c r="J705" t="s">
        <v>258</v>
      </c>
      <c r="K705" t="s">
        <v>374</v>
      </c>
      <c r="L705" t="s">
        <v>375</v>
      </c>
      <c r="N705" t="s">
        <v>376</v>
      </c>
      <c r="O705" t="s">
        <v>215</v>
      </c>
      <c r="Q705" t="s">
        <v>216</v>
      </c>
      <c r="R705" t="s">
        <v>193</v>
      </c>
      <c r="S705" t="s">
        <v>128</v>
      </c>
      <c r="T705" t="s">
        <v>165</v>
      </c>
      <c r="U705" t="s">
        <v>129</v>
      </c>
      <c r="V705" t="s">
        <v>76</v>
      </c>
      <c r="W705" s="58">
        <v>43329</v>
      </c>
      <c r="X705" s="59">
        <v>0.39583333333333331</v>
      </c>
      <c r="Y705" s="59">
        <v>0.4375</v>
      </c>
      <c r="Z705" s="59">
        <v>4.1666666666666664E-2</v>
      </c>
      <c r="AA705">
        <v>0</v>
      </c>
      <c r="AB705">
        <v>2.1818</v>
      </c>
      <c r="AC705">
        <v>23</v>
      </c>
      <c r="AD705">
        <v>9</v>
      </c>
      <c r="AE705" s="59">
        <v>0.39583333333333331</v>
      </c>
      <c r="AF705" s="59">
        <v>0.4368055555555555</v>
      </c>
      <c r="AG705">
        <v>0</v>
      </c>
    </row>
    <row r="706" spans="1:33" x14ac:dyDescent="0.25">
      <c r="A706" t="s">
        <v>258</v>
      </c>
      <c r="B706" t="s">
        <v>290</v>
      </c>
      <c r="C706" t="s">
        <v>291</v>
      </c>
      <c r="E706" t="s">
        <v>292</v>
      </c>
      <c r="F706" t="s">
        <v>134</v>
      </c>
      <c r="H706" t="s">
        <v>154</v>
      </c>
      <c r="I706" t="s">
        <v>155</v>
      </c>
      <c r="J706" t="s">
        <v>258</v>
      </c>
      <c r="K706" t="s">
        <v>374</v>
      </c>
      <c r="L706" t="s">
        <v>375</v>
      </c>
      <c r="N706" t="s">
        <v>376</v>
      </c>
      <c r="O706" t="s">
        <v>215</v>
      </c>
      <c r="Q706" t="s">
        <v>216</v>
      </c>
      <c r="R706" t="s">
        <v>156</v>
      </c>
      <c r="S706" t="s">
        <v>128</v>
      </c>
      <c r="T706" t="s">
        <v>165</v>
      </c>
      <c r="U706" t="s">
        <v>151</v>
      </c>
      <c r="V706" t="s">
        <v>76</v>
      </c>
      <c r="W706" s="58">
        <v>43329</v>
      </c>
      <c r="X706" s="59">
        <v>0.44791666666666669</v>
      </c>
      <c r="Y706" s="59">
        <v>0.5</v>
      </c>
      <c r="Z706" s="59">
        <v>5.2083333333333336E-2</v>
      </c>
      <c r="AA706">
        <v>0</v>
      </c>
      <c r="AB706">
        <v>2.9318</v>
      </c>
      <c r="AC706">
        <v>25</v>
      </c>
      <c r="AD706">
        <v>11.25</v>
      </c>
      <c r="AE706" s="59">
        <v>0.44791666666666669</v>
      </c>
      <c r="AF706" s="59">
        <v>0.54097222222222219</v>
      </c>
      <c r="AG706">
        <v>0</v>
      </c>
    </row>
    <row r="707" spans="1:33" x14ac:dyDescent="0.25">
      <c r="A707" t="s">
        <v>258</v>
      </c>
      <c r="B707" t="s">
        <v>281</v>
      </c>
      <c r="C707" t="s">
        <v>282</v>
      </c>
      <c r="E707" t="s">
        <v>283</v>
      </c>
      <c r="F707" t="s">
        <v>134</v>
      </c>
      <c r="G707" t="s">
        <v>218</v>
      </c>
      <c r="H707" t="s">
        <v>146</v>
      </c>
      <c r="I707" t="s">
        <v>147</v>
      </c>
      <c r="J707" t="s">
        <v>258</v>
      </c>
      <c r="K707" t="s">
        <v>374</v>
      </c>
      <c r="L707" t="s">
        <v>375</v>
      </c>
      <c r="N707" t="s">
        <v>376</v>
      </c>
      <c r="O707" t="s">
        <v>215</v>
      </c>
      <c r="Q707" t="s">
        <v>216</v>
      </c>
      <c r="R707" t="s">
        <v>148</v>
      </c>
      <c r="S707" t="s">
        <v>128</v>
      </c>
      <c r="T707" t="s">
        <v>165</v>
      </c>
      <c r="U707" t="s">
        <v>129</v>
      </c>
      <c r="V707" t="s">
        <v>77</v>
      </c>
      <c r="W707" s="58">
        <v>43330</v>
      </c>
      <c r="X707" s="59">
        <v>0.31944444444444448</v>
      </c>
      <c r="Y707" s="59">
        <v>0.3611111111111111</v>
      </c>
      <c r="Z707" s="59">
        <v>4.1666666666666664E-2</v>
      </c>
      <c r="AA707">
        <v>0</v>
      </c>
      <c r="AC707">
        <v>23</v>
      </c>
      <c r="AD707">
        <v>10</v>
      </c>
      <c r="AE707" s="59">
        <v>0.31944444444444448</v>
      </c>
      <c r="AF707" s="59">
        <v>0.36041666666666666</v>
      </c>
      <c r="AG707">
        <v>0</v>
      </c>
    </row>
    <row r="708" spans="1:33" x14ac:dyDescent="0.25">
      <c r="A708" t="s">
        <v>258</v>
      </c>
      <c r="B708" t="s">
        <v>325</v>
      </c>
      <c r="C708" t="s">
        <v>326</v>
      </c>
      <c r="E708" t="s">
        <v>327</v>
      </c>
      <c r="F708" t="s">
        <v>134</v>
      </c>
      <c r="H708" t="s">
        <v>182</v>
      </c>
      <c r="I708" t="s">
        <v>147</v>
      </c>
      <c r="J708" t="s">
        <v>258</v>
      </c>
      <c r="K708" t="s">
        <v>374</v>
      </c>
      <c r="L708" t="s">
        <v>375</v>
      </c>
      <c r="N708" t="s">
        <v>376</v>
      </c>
      <c r="O708" t="s">
        <v>215</v>
      </c>
      <c r="Q708" t="s">
        <v>216</v>
      </c>
      <c r="R708" t="s">
        <v>183</v>
      </c>
      <c r="S708" t="s">
        <v>128</v>
      </c>
      <c r="T708" t="s">
        <v>165</v>
      </c>
      <c r="U708" t="s">
        <v>129</v>
      </c>
      <c r="V708" t="s">
        <v>77</v>
      </c>
      <c r="W708" s="58">
        <v>43330</v>
      </c>
      <c r="X708" s="59">
        <v>0.36458333333333331</v>
      </c>
      <c r="Y708" s="59">
        <v>0.40625</v>
      </c>
      <c r="Z708" s="59">
        <v>4.1666666666666664E-2</v>
      </c>
      <c r="AA708">
        <v>0</v>
      </c>
      <c r="AB708">
        <v>1.2704</v>
      </c>
      <c r="AD708">
        <v>10</v>
      </c>
      <c r="AE708" s="59">
        <v>0.36458333333333331</v>
      </c>
      <c r="AF708" s="59">
        <v>0.4055555555555555</v>
      </c>
      <c r="AG708">
        <v>0</v>
      </c>
    </row>
    <row r="709" spans="1:33" x14ac:dyDescent="0.25">
      <c r="A709" t="s">
        <v>274</v>
      </c>
      <c r="B709" t="s">
        <v>321</v>
      </c>
      <c r="C709" t="s">
        <v>322</v>
      </c>
      <c r="D709" t="s">
        <v>323</v>
      </c>
      <c r="E709" t="s">
        <v>324</v>
      </c>
      <c r="F709" t="s">
        <v>134</v>
      </c>
      <c r="H709" t="s">
        <v>184</v>
      </c>
      <c r="I709" t="s">
        <v>147</v>
      </c>
      <c r="J709" t="s">
        <v>258</v>
      </c>
      <c r="K709" t="s">
        <v>374</v>
      </c>
      <c r="L709" t="s">
        <v>375</v>
      </c>
      <c r="N709" t="s">
        <v>376</v>
      </c>
      <c r="O709" t="s">
        <v>215</v>
      </c>
      <c r="Q709" t="s">
        <v>216</v>
      </c>
      <c r="R709" t="s">
        <v>185</v>
      </c>
      <c r="S709" t="s">
        <v>128</v>
      </c>
      <c r="T709" t="s">
        <v>165</v>
      </c>
      <c r="U709" t="s">
        <v>151</v>
      </c>
      <c r="V709" t="s">
        <v>77</v>
      </c>
      <c r="W709" s="58">
        <v>43330</v>
      </c>
      <c r="X709" s="59">
        <v>0.41666666666666669</v>
      </c>
      <c r="Y709" s="59">
        <v>0.45833333333333331</v>
      </c>
      <c r="Z709" s="59">
        <v>4.1666666666666664E-2</v>
      </c>
      <c r="AA709">
        <v>0</v>
      </c>
      <c r="AB709">
        <v>2.2181999999999999</v>
      </c>
      <c r="AC709">
        <v>20</v>
      </c>
      <c r="AD709">
        <v>10</v>
      </c>
      <c r="AE709" s="59">
        <v>0.41666666666666669</v>
      </c>
      <c r="AF709" s="59">
        <v>0.45763888888888887</v>
      </c>
      <c r="AG709">
        <v>0</v>
      </c>
    </row>
    <row r="710" spans="1:33" x14ac:dyDescent="0.25">
      <c r="A710" t="s">
        <v>258</v>
      </c>
      <c r="B710" t="s">
        <v>281</v>
      </c>
      <c r="C710" t="s">
        <v>282</v>
      </c>
      <c r="E710" t="s">
        <v>283</v>
      </c>
      <c r="F710" t="s">
        <v>134</v>
      </c>
      <c r="G710" t="s">
        <v>218</v>
      </c>
      <c r="H710" t="s">
        <v>146</v>
      </c>
      <c r="I710" t="s">
        <v>147</v>
      </c>
      <c r="J710" t="s">
        <v>258</v>
      </c>
      <c r="K710" t="s">
        <v>374</v>
      </c>
      <c r="L710" t="s">
        <v>375</v>
      </c>
      <c r="N710" t="s">
        <v>376</v>
      </c>
      <c r="O710" t="s">
        <v>215</v>
      </c>
      <c r="Q710" t="s">
        <v>216</v>
      </c>
      <c r="R710" t="s">
        <v>148</v>
      </c>
      <c r="S710" t="s">
        <v>128</v>
      </c>
      <c r="T710" t="s">
        <v>165</v>
      </c>
      <c r="U710" t="s">
        <v>129</v>
      </c>
      <c r="V710" t="s">
        <v>77</v>
      </c>
      <c r="W710" s="58">
        <v>43330</v>
      </c>
      <c r="X710" s="59">
        <v>0.47916666666666669</v>
      </c>
      <c r="Y710" s="59">
        <v>0.52083333333333337</v>
      </c>
      <c r="Z710" s="59">
        <v>4.1666666666666664E-2</v>
      </c>
      <c r="AA710">
        <v>0</v>
      </c>
      <c r="AB710">
        <v>1.9228000000000001</v>
      </c>
      <c r="AC710">
        <v>23</v>
      </c>
      <c r="AD710">
        <v>10</v>
      </c>
      <c r="AE710" s="59">
        <v>0.47916666666666669</v>
      </c>
      <c r="AF710" s="59">
        <v>0.52013888888888882</v>
      </c>
      <c r="AG710">
        <v>0</v>
      </c>
    </row>
    <row r="711" spans="1:33" x14ac:dyDescent="0.25">
      <c r="A711" t="s">
        <v>258</v>
      </c>
      <c r="B711" t="s">
        <v>281</v>
      </c>
      <c r="C711" t="s">
        <v>282</v>
      </c>
      <c r="E711" t="s">
        <v>283</v>
      </c>
      <c r="F711" t="s">
        <v>134</v>
      </c>
      <c r="G711" t="s">
        <v>218</v>
      </c>
      <c r="H711" t="s">
        <v>146</v>
      </c>
      <c r="I711" t="s">
        <v>147</v>
      </c>
      <c r="J711" t="s">
        <v>258</v>
      </c>
      <c r="K711" t="s">
        <v>374</v>
      </c>
      <c r="L711" t="s">
        <v>375</v>
      </c>
      <c r="N711" t="s">
        <v>376</v>
      </c>
      <c r="O711" t="s">
        <v>215</v>
      </c>
      <c r="Q711" t="s">
        <v>216</v>
      </c>
      <c r="R711" t="s">
        <v>148</v>
      </c>
      <c r="S711" t="s">
        <v>128</v>
      </c>
      <c r="T711" t="s">
        <v>165</v>
      </c>
      <c r="U711" t="s">
        <v>129</v>
      </c>
      <c r="V711" t="s">
        <v>72</v>
      </c>
      <c r="W711" s="58">
        <v>43332</v>
      </c>
      <c r="X711" s="59">
        <v>0.3125</v>
      </c>
      <c r="Y711" s="59">
        <v>0.35416666666666669</v>
      </c>
      <c r="Z711" s="59">
        <v>4.1666666666666664E-2</v>
      </c>
      <c r="AA711">
        <v>0</v>
      </c>
      <c r="AC711">
        <v>23</v>
      </c>
      <c r="AD711">
        <v>9</v>
      </c>
      <c r="AE711" s="59">
        <v>0.3125</v>
      </c>
      <c r="AF711" s="59">
        <v>0.35347222222222219</v>
      </c>
      <c r="AG711">
        <v>0</v>
      </c>
    </row>
    <row r="712" spans="1:33" x14ac:dyDescent="0.25">
      <c r="A712" t="s">
        <v>258</v>
      </c>
      <c r="B712" t="s">
        <v>325</v>
      </c>
      <c r="C712" t="s">
        <v>326</v>
      </c>
      <c r="E712" t="s">
        <v>327</v>
      </c>
      <c r="F712" t="s">
        <v>134</v>
      </c>
      <c r="H712" t="s">
        <v>182</v>
      </c>
      <c r="I712" t="s">
        <v>147</v>
      </c>
      <c r="J712" t="s">
        <v>258</v>
      </c>
      <c r="K712" t="s">
        <v>374</v>
      </c>
      <c r="L712" t="s">
        <v>375</v>
      </c>
      <c r="N712" t="s">
        <v>376</v>
      </c>
      <c r="O712" t="s">
        <v>215</v>
      </c>
      <c r="Q712" t="s">
        <v>216</v>
      </c>
      <c r="R712" t="s">
        <v>183</v>
      </c>
      <c r="S712" t="s">
        <v>128</v>
      </c>
      <c r="T712" t="s">
        <v>165</v>
      </c>
      <c r="U712" t="s">
        <v>129</v>
      </c>
      <c r="V712" t="s">
        <v>72</v>
      </c>
      <c r="W712" s="58">
        <v>43332</v>
      </c>
      <c r="X712" s="59">
        <v>0.36458333333333331</v>
      </c>
      <c r="Y712" s="59">
        <v>0.40625</v>
      </c>
      <c r="Z712" s="59">
        <v>4.1666666666666664E-2</v>
      </c>
      <c r="AA712">
        <v>13</v>
      </c>
      <c r="AB712">
        <v>1.2704</v>
      </c>
      <c r="AD712">
        <v>9</v>
      </c>
      <c r="AE712" s="59">
        <v>0.36458333333333331</v>
      </c>
      <c r="AF712" s="59">
        <v>0.4055555555555555</v>
      </c>
      <c r="AG712">
        <v>0</v>
      </c>
    </row>
    <row r="713" spans="1:33" x14ac:dyDescent="0.25">
      <c r="A713" t="s">
        <v>274</v>
      </c>
      <c r="B713" t="s">
        <v>321</v>
      </c>
      <c r="C713" t="s">
        <v>322</v>
      </c>
      <c r="D713" t="s">
        <v>323</v>
      </c>
      <c r="E713" t="s">
        <v>324</v>
      </c>
      <c r="F713" t="s">
        <v>134</v>
      </c>
      <c r="H713" t="s">
        <v>184</v>
      </c>
      <c r="I713" t="s">
        <v>147</v>
      </c>
      <c r="J713" t="s">
        <v>258</v>
      </c>
      <c r="K713" t="s">
        <v>374</v>
      </c>
      <c r="L713" t="s">
        <v>375</v>
      </c>
      <c r="N713" t="s">
        <v>376</v>
      </c>
      <c r="O713" t="s">
        <v>215</v>
      </c>
      <c r="Q713" t="s">
        <v>216</v>
      </c>
      <c r="R713" t="s">
        <v>185</v>
      </c>
      <c r="S713" t="s">
        <v>128</v>
      </c>
      <c r="T713" t="s">
        <v>165</v>
      </c>
      <c r="U713" t="s">
        <v>151</v>
      </c>
      <c r="V713" t="s">
        <v>72</v>
      </c>
      <c r="W713" s="58">
        <v>43332</v>
      </c>
      <c r="X713" s="59">
        <v>0.41666666666666669</v>
      </c>
      <c r="Y713" s="59">
        <v>0.45833333333333331</v>
      </c>
      <c r="Z713" s="59">
        <v>4.1666666666666664E-2</v>
      </c>
      <c r="AA713">
        <v>4</v>
      </c>
      <c r="AB713">
        <v>2.2181999999999999</v>
      </c>
      <c r="AC713">
        <v>20</v>
      </c>
      <c r="AD713">
        <v>9</v>
      </c>
      <c r="AE713" s="59">
        <v>0.41666666666666669</v>
      </c>
      <c r="AF713" s="59">
        <v>0.45763888888888887</v>
      </c>
      <c r="AG713">
        <v>0</v>
      </c>
    </row>
    <row r="714" spans="1:33" x14ac:dyDescent="0.25">
      <c r="A714" t="s">
        <v>258</v>
      </c>
      <c r="B714" t="s">
        <v>342</v>
      </c>
      <c r="C714" t="s">
        <v>343</v>
      </c>
      <c r="E714" t="s">
        <v>344</v>
      </c>
      <c r="F714" t="s">
        <v>134</v>
      </c>
      <c r="H714" t="s">
        <v>197</v>
      </c>
      <c r="I714" t="s">
        <v>198</v>
      </c>
      <c r="J714" t="s">
        <v>258</v>
      </c>
      <c r="K714" t="s">
        <v>374</v>
      </c>
      <c r="L714" t="s">
        <v>375</v>
      </c>
      <c r="N714" t="s">
        <v>376</v>
      </c>
      <c r="O714" t="s">
        <v>215</v>
      </c>
      <c r="Q714" t="s">
        <v>216</v>
      </c>
      <c r="R714" t="s">
        <v>199</v>
      </c>
      <c r="S714" t="s">
        <v>128</v>
      </c>
      <c r="T714" t="s">
        <v>165</v>
      </c>
      <c r="U714" t="s">
        <v>151</v>
      </c>
      <c r="V714" t="s">
        <v>73</v>
      </c>
      <c r="W714" s="58">
        <v>43333</v>
      </c>
      <c r="X714" s="59">
        <v>0.33333333333333331</v>
      </c>
      <c r="Y714" s="59">
        <v>0.375</v>
      </c>
      <c r="Z714" s="59">
        <v>4.1666666666666664E-2</v>
      </c>
      <c r="AA714">
        <v>9</v>
      </c>
      <c r="AC714">
        <v>20</v>
      </c>
      <c r="AD714">
        <v>9</v>
      </c>
      <c r="AE714" s="59">
        <v>0.33333333333333331</v>
      </c>
      <c r="AF714" s="59">
        <v>0.3743055555555555</v>
      </c>
      <c r="AG714">
        <v>0</v>
      </c>
    </row>
    <row r="715" spans="1:33" x14ac:dyDescent="0.25">
      <c r="A715" t="s">
        <v>274</v>
      </c>
      <c r="B715" t="s">
        <v>334</v>
      </c>
      <c r="C715" t="s">
        <v>285</v>
      </c>
      <c r="E715" t="s">
        <v>335</v>
      </c>
      <c r="F715" t="s">
        <v>134</v>
      </c>
      <c r="H715" t="s">
        <v>192</v>
      </c>
      <c r="I715" t="s">
        <v>155</v>
      </c>
      <c r="J715" t="s">
        <v>258</v>
      </c>
      <c r="K715" t="s">
        <v>374</v>
      </c>
      <c r="L715" t="s">
        <v>375</v>
      </c>
      <c r="N715" t="s">
        <v>376</v>
      </c>
      <c r="O715" t="s">
        <v>215</v>
      </c>
      <c r="Q715" t="s">
        <v>216</v>
      </c>
      <c r="R715" t="s">
        <v>193</v>
      </c>
      <c r="S715" t="s">
        <v>128</v>
      </c>
      <c r="T715" t="s">
        <v>165</v>
      </c>
      <c r="U715" t="s">
        <v>129</v>
      </c>
      <c r="V715" t="s">
        <v>73</v>
      </c>
      <c r="W715" s="58">
        <v>43333</v>
      </c>
      <c r="X715" s="59">
        <v>0.39583333333333331</v>
      </c>
      <c r="Y715" s="59">
        <v>0.4375</v>
      </c>
      <c r="Z715" s="59">
        <v>4.1666666666666664E-2</v>
      </c>
      <c r="AA715">
        <v>5</v>
      </c>
      <c r="AB715">
        <v>2.1818</v>
      </c>
      <c r="AC715">
        <v>23</v>
      </c>
      <c r="AD715">
        <v>9</v>
      </c>
      <c r="AE715" s="59">
        <v>0.39583333333333331</v>
      </c>
      <c r="AF715" s="59">
        <v>0.4368055555555555</v>
      </c>
      <c r="AG715">
        <v>0</v>
      </c>
    </row>
    <row r="716" spans="1:33" x14ac:dyDescent="0.25">
      <c r="A716" t="s">
        <v>258</v>
      </c>
      <c r="B716" t="s">
        <v>290</v>
      </c>
      <c r="C716" t="s">
        <v>291</v>
      </c>
      <c r="E716" t="s">
        <v>292</v>
      </c>
      <c r="F716" t="s">
        <v>134</v>
      </c>
      <c r="H716" t="s">
        <v>154</v>
      </c>
      <c r="I716" t="s">
        <v>155</v>
      </c>
      <c r="J716" t="s">
        <v>258</v>
      </c>
      <c r="K716" t="s">
        <v>374</v>
      </c>
      <c r="L716" t="s">
        <v>375</v>
      </c>
      <c r="N716" t="s">
        <v>376</v>
      </c>
      <c r="O716" t="s">
        <v>215</v>
      </c>
      <c r="Q716" t="s">
        <v>216</v>
      </c>
      <c r="R716" t="s">
        <v>156</v>
      </c>
      <c r="S716" t="s">
        <v>128</v>
      </c>
      <c r="T716" t="s">
        <v>165</v>
      </c>
      <c r="U716" t="s">
        <v>151</v>
      </c>
      <c r="V716" t="s">
        <v>73</v>
      </c>
      <c r="W716" s="58">
        <v>43333</v>
      </c>
      <c r="X716" s="59">
        <v>0.44791666666666669</v>
      </c>
      <c r="Y716" s="59">
        <v>0.5</v>
      </c>
      <c r="Z716" s="59">
        <v>5.2083333333333336E-2</v>
      </c>
      <c r="AA716">
        <v>6</v>
      </c>
      <c r="AB716">
        <v>2.9318</v>
      </c>
      <c r="AC716">
        <v>25</v>
      </c>
      <c r="AD716">
        <v>11.25</v>
      </c>
      <c r="AE716" s="59">
        <v>0.44791666666666669</v>
      </c>
      <c r="AF716" s="59">
        <v>0.4993055555555555</v>
      </c>
      <c r="AG716">
        <v>0</v>
      </c>
    </row>
    <row r="717" spans="1:33" x14ac:dyDescent="0.25">
      <c r="A717" t="s">
        <v>258</v>
      </c>
      <c r="B717" t="s">
        <v>342</v>
      </c>
      <c r="C717" t="s">
        <v>343</v>
      </c>
      <c r="E717" t="s">
        <v>344</v>
      </c>
      <c r="F717" t="s">
        <v>134</v>
      </c>
      <c r="H717" t="s">
        <v>197</v>
      </c>
      <c r="I717" t="s">
        <v>198</v>
      </c>
      <c r="J717" t="s">
        <v>258</v>
      </c>
      <c r="K717" t="s">
        <v>374</v>
      </c>
      <c r="L717" t="s">
        <v>375</v>
      </c>
      <c r="N717" t="s">
        <v>376</v>
      </c>
      <c r="O717" t="s">
        <v>215</v>
      </c>
      <c r="Q717" t="s">
        <v>216</v>
      </c>
      <c r="R717" t="s">
        <v>199</v>
      </c>
      <c r="S717" t="s">
        <v>128</v>
      </c>
      <c r="T717" t="s">
        <v>165</v>
      </c>
      <c r="U717" t="s">
        <v>151</v>
      </c>
      <c r="V717" t="s">
        <v>74</v>
      </c>
      <c r="W717" s="58">
        <v>43334</v>
      </c>
      <c r="X717" s="59">
        <v>0.33333333333333331</v>
      </c>
      <c r="Y717" s="59">
        <v>0.375</v>
      </c>
      <c r="Z717" s="59">
        <v>4.1666666666666664E-2</v>
      </c>
      <c r="AA717">
        <v>9</v>
      </c>
      <c r="AC717">
        <v>20</v>
      </c>
      <c r="AD717">
        <v>9</v>
      </c>
      <c r="AE717" s="59">
        <v>0.33333333333333331</v>
      </c>
      <c r="AF717" s="59">
        <v>0.3743055555555555</v>
      </c>
      <c r="AG717">
        <v>0</v>
      </c>
    </row>
    <row r="718" spans="1:33" x14ac:dyDescent="0.25">
      <c r="A718" t="s">
        <v>274</v>
      </c>
      <c r="B718" t="s">
        <v>334</v>
      </c>
      <c r="C718" t="s">
        <v>285</v>
      </c>
      <c r="E718" t="s">
        <v>335</v>
      </c>
      <c r="F718" t="s">
        <v>134</v>
      </c>
      <c r="H718" t="s">
        <v>192</v>
      </c>
      <c r="I718" t="s">
        <v>155</v>
      </c>
      <c r="J718" t="s">
        <v>258</v>
      </c>
      <c r="K718" t="s">
        <v>374</v>
      </c>
      <c r="L718" t="s">
        <v>375</v>
      </c>
      <c r="N718" t="s">
        <v>376</v>
      </c>
      <c r="O718" t="s">
        <v>215</v>
      </c>
      <c r="Q718" t="s">
        <v>216</v>
      </c>
      <c r="R718" t="s">
        <v>193</v>
      </c>
      <c r="S718" t="s">
        <v>128</v>
      </c>
      <c r="T718" t="s">
        <v>165</v>
      </c>
      <c r="U718" t="s">
        <v>129</v>
      </c>
      <c r="V718" t="s">
        <v>74</v>
      </c>
      <c r="W718" s="58">
        <v>43334</v>
      </c>
      <c r="X718" s="59">
        <v>0.39583333333333331</v>
      </c>
      <c r="Y718" s="59">
        <v>0.4375</v>
      </c>
      <c r="Z718" s="59">
        <v>4.1666666666666664E-2</v>
      </c>
      <c r="AA718">
        <v>5</v>
      </c>
      <c r="AB718">
        <v>2.1818</v>
      </c>
      <c r="AC718">
        <v>23</v>
      </c>
      <c r="AD718">
        <v>9</v>
      </c>
      <c r="AE718" s="59">
        <v>0.39583333333333331</v>
      </c>
      <c r="AF718" s="59">
        <v>0.4368055555555555</v>
      </c>
      <c r="AG718">
        <v>0</v>
      </c>
    </row>
    <row r="719" spans="1:33" x14ac:dyDescent="0.25">
      <c r="A719" t="s">
        <v>258</v>
      </c>
      <c r="B719" t="s">
        <v>290</v>
      </c>
      <c r="C719" t="s">
        <v>291</v>
      </c>
      <c r="E719" t="s">
        <v>292</v>
      </c>
      <c r="F719" t="s">
        <v>134</v>
      </c>
      <c r="H719" t="s">
        <v>154</v>
      </c>
      <c r="I719" t="s">
        <v>155</v>
      </c>
      <c r="J719" t="s">
        <v>258</v>
      </c>
      <c r="K719" t="s">
        <v>374</v>
      </c>
      <c r="L719" t="s">
        <v>375</v>
      </c>
      <c r="N719" t="s">
        <v>376</v>
      </c>
      <c r="O719" t="s">
        <v>215</v>
      </c>
      <c r="Q719" t="s">
        <v>216</v>
      </c>
      <c r="R719" t="s">
        <v>156</v>
      </c>
      <c r="S719" t="s">
        <v>128</v>
      </c>
      <c r="T719" t="s">
        <v>165</v>
      </c>
      <c r="U719" t="s">
        <v>151</v>
      </c>
      <c r="V719" t="s">
        <v>74</v>
      </c>
      <c r="W719" s="58">
        <v>43334</v>
      </c>
      <c r="X719" s="59">
        <v>0.44791666666666669</v>
      </c>
      <c r="Y719" s="59">
        <v>0.5</v>
      </c>
      <c r="Z719" s="59">
        <v>5.2083333333333336E-2</v>
      </c>
      <c r="AA719">
        <v>6</v>
      </c>
      <c r="AB719">
        <v>2.9318</v>
      </c>
      <c r="AC719">
        <v>25</v>
      </c>
      <c r="AD719">
        <v>11.25</v>
      </c>
      <c r="AE719" s="59">
        <v>0.44791666666666669</v>
      </c>
      <c r="AF719" s="59">
        <v>0.4993055555555555</v>
      </c>
      <c r="AG719">
        <v>0</v>
      </c>
    </row>
    <row r="720" spans="1:33" x14ac:dyDescent="0.25">
      <c r="A720" t="s">
        <v>258</v>
      </c>
      <c r="B720" t="s">
        <v>342</v>
      </c>
      <c r="C720" t="s">
        <v>343</v>
      </c>
      <c r="E720" t="s">
        <v>344</v>
      </c>
      <c r="F720" t="s">
        <v>134</v>
      </c>
      <c r="H720" t="s">
        <v>197</v>
      </c>
      <c r="I720" t="s">
        <v>198</v>
      </c>
      <c r="J720" t="s">
        <v>258</v>
      </c>
      <c r="K720" t="s">
        <v>374</v>
      </c>
      <c r="L720" t="s">
        <v>375</v>
      </c>
      <c r="N720" t="s">
        <v>376</v>
      </c>
      <c r="O720" t="s">
        <v>215</v>
      </c>
      <c r="Q720" t="s">
        <v>216</v>
      </c>
      <c r="R720" t="s">
        <v>199</v>
      </c>
      <c r="S720" t="s">
        <v>128</v>
      </c>
      <c r="T720" t="s">
        <v>165</v>
      </c>
      <c r="U720" t="s">
        <v>151</v>
      </c>
      <c r="V720" t="s">
        <v>75</v>
      </c>
      <c r="W720" s="58">
        <v>43335</v>
      </c>
      <c r="X720" s="59">
        <v>0.35416666666666669</v>
      </c>
      <c r="Y720" s="59">
        <v>0.39583333333333331</v>
      </c>
      <c r="Z720" s="59">
        <v>4.1666666666666664E-2</v>
      </c>
      <c r="AA720">
        <v>9</v>
      </c>
      <c r="AC720">
        <v>20</v>
      </c>
      <c r="AD720">
        <v>9</v>
      </c>
      <c r="AE720" s="59">
        <v>0.35416666666666669</v>
      </c>
      <c r="AF720" s="59">
        <v>0.39513888888888887</v>
      </c>
      <c r="AG720">
        <v>0</v>
      </c>
    </row>
    <row r="721" spans="1:33" x14ac:dyDescent="0.25">
      <c r="A721" t="s">
        <v>274</v>
      </c>
      <c r="B721" t="s">
        <v>334</v>
      </c>
      <c r="C721" t="s">
        <v>285</v>
      </c>
      <c r="E721" t="s">
        <v>335</v>
      </c>
      <c r="F721" t="s">
        <v>134</v>
      </c>
      <c r="H721" t="s">
        <v>192</v>
      </c>
      <c r="I721" t="s">
        <v>155</v>
      </c>
      <c r="J721" t="s">
        <v>258</v>
      </c>
      <c r="K721" t="s">
        <v>374</v>
      </c>
      <c r="L721" t="s">
        <v>375</v>
      </c>
      <c r="N721" t="s">
        <v>376</v>
      </c>
      <c r="O721" t="s">
        <v>215</v>
      </c>
      <c r="Q721" t="s">
        <v>216</v>
      </c>
      <c r="R721" t="s">
        <v>193</v>
      </c>
      <c r="S721" t="s">
        <v>128</v>
      </c>
      <c r="T721" t="s">
        <v>165</v>
      </c>
      <c r="U721" t="s">
        <v>129</v>
      </c>
      <c r="V721" t="s">
        <v>75</v>
      </c>
      <c r="W721" s="58">
        <v>43335</v>
      </c>
      <c r="X721" s="59">
        <v>0.41666666666666669</v>
      </c>
      <c r="Y721" s="59">
        <v>0.45833333333333331</v>
      </c>
      <c r="Z721" s="59">
        <v>4.1666666666666664E-2</v>
      </c>
      <c r="AA721">
        <v>5</v>
      </c>
      <c r="AB721">
        <v>2.1818</v>
      </c>
      <c r="AC721">
        <v>23</v>
      </c>
      <c r="AD721">
        <v>9</v>
      </c>
      <c r="AE721" s="59">
        <v>0.41666666666666669</v>
      </c>
      <c r="AF721" s="59">
        <v>0.45763888888888887</v>
      </c>
      <c r="AG721">
        <v>0</v>
      </c>
    </row>
    <row r="722" spans="1:33" x14ac:dyDescent="0.25">
      <c r="A722" t="s">
        <v>258</v>
      </c>
      <c r="B722" t="s">
        <v>342</v>
      </c>
      <c r="C722" t="s">
        <v>343</v>
      </c>
      <c r="E722" t="s">
        <v>344</v>
      </c>
      <c r="F722" t="s">
        <v>134</v>
      </c>
      <c r="H722" t="s">
        <v>197</v>
      </c>
      <c r="I722" t="s">
        <v>198</v>
      </c>
      <c r="J722" t="s">
        <v>258</v>
      </c>
      <c r="K722" t="s">
        <v>374</v>
      </c>
      <c r="L722" t="s">
        <v>375</v>
      </c>
      <c r="N722" t="s">
        <v>376</v>
      </c>
      <c r="O722" t="s">
        <v>215</v>
      </c>
      <c r="Q722" t="s">
        <v>216</v>
      </c>
      <c r="R722" t="s">
        <v>199</v>
      </c>
      <c r="S722" t="s">
        <v>128</v>
      </c>
      <c r="T722" t="s">
        <v>165</v>
      </c>
      <c r="U722" t="s">
        <v>151</v>
      </c>
      <c r="V722" t="s">
        <v>76</v>
      </c>
      <c r="W722" s="58">
        <v>43336</v>
      </c>
      <c r="X722" s="59">
        <v>0.33333333333333331</v>
      </c>
      <c r="Y722" s="59">
        <v>0.375</v>
      </c>
      <c r="Z722" s="59">
        <v>4.1666666666666664E-2</v>
      </c>
      <c r="AA722">
        <v>9</v>
      </c>
      <c r="AC722">
        <v>20</v>
      </c>
      <c r="AD722">
        <v>9</v>
      </c>
      <c r="AE722" s="59">
        <v>0.33333333333333331</v>
      </c>
      <c r="AF722" s="59">
        <v>0.3743055555555555</v>
      </c>
      <c r="AG722">
        <v>0</v>
      </c>
    </row>
    <row r="723" spans="1:33" x14ac:dyDescent="0.25">
      <c r="A723" t="s">
        <v>274</v>
      </c>
      <c r="B723" t="s">
        <v>334</v>
      </c>
      <c r="C723" t="s">
        <v>285</v>
      </c>
      <c r="E723" t="s">
        <v>335</v>
      </c>
      <c r="F723" t="s">
        <v>134</v>
      </c>
      <c r="H723" t="s">
        <v>192</v>
      </c>
      <c r="I723" t="s">
        <v>155</v>
      </c>
      <c r="J723" t="s">
        <v>258</v>
      </c>
      <c r="K723" t="s">
        <v>374</v>
      </c>
      <c r="L723" t="s">
        <v>375</v>
      </c>
      <c r="N723" t="s">
        <v>376</v>
      </c>
      <c r="O723" t="s">
        <v>215</v>
      </c>
      <c r="Q723" t="s">
        <v>216</v>
      </c>
      <c r="R723" t="s">
        <v>193</v>
      </c>
      <c r="S723" t="s">
        <v>128</v>
      </c>
      <c r="T723" t="s">
        <v>165</v>
      </c>
      <c r="U723" t="s">
        <v>129</v>
      </c>
      <c r="V723" t="s">
        <v>76</v>
      </c>
      <c r="W723" s="58">
        <v>43336</v>
      </c>
      <c r="X723" s="59">
        <v>0.39583333333333331</v>
      </c>
      <c r="Y723" s="59">
        <v>0.4375</v>
      </c>
      <c r="Z723" s="59">
        <v>4.1666666666666664E-2</v>
      </c>
      <c r="AA723">
        <v>5</v>
      </c>
      <c r="AB723">
        <v>2.1818</v>
      </c>
      <c r="AC723">
        <v>23</v>
      </c>
      <c r="AD723">
        <v>9</v>
      </c>
      <c r="AE723" s="59">
        <v>0.39583333333333331</v>
      </c>
      <c r="AF723" s="59">
        <v>0.4368055555555555</v>
      </c>
      <c r="AG723">
        <v>0</v>
      </c>
    </row>
    <row r="724" spans="1:33" x14ac:dyDescent="0.25">
      <c r="A724" t="s">
        <v>258</v>
      </c>
      <c r="B724" t="s">
        <v>290</v>
      </c>
      <c r="C724" t="s">
        <v>291</v>
      </c>
      <c r="E724" t="s">
        <v>292</v>
      </c>
      <c r="F724" t="s">
        <v>134</v>
      </c>
      <c r="H724" t="s">
        <v>154</v>
      </c>
      <c r="I724" t="s">
        <v>155</v>
      </c>
      <c r="J724" t="s">
        <v>258</v>
      </c>
      <c r="K724" t="s">
        <v>374</v>
      </c>
      <c r="L724" t="s">
        <v>375</v>
      </c>
      <c r="N724" t="s">
        <v>376</v>
      </c>
      <c r="O724" t="s">
        <v>215</v>
      </c>
      <c r="Q724" t="s">
        <v>216</v>
      </c>
      <c r="R724" t="s">
        <v>156</v>
      </c>
      <c r="S724" t="s">
        <v>128</v>
      </c>
      <c r="T724" t="s">
        <v>165</v>
      </c>
      <c r="U724" t="s">
        <v>151</v>
      </c>
      <c r="V724" t="s">
        <v>76</v>
      </c>
      <c r="W724" s="58">
        <v>43336</v>
      </c>
      <c r="X724" s="59">
        <v>0.44791666666666669</v>
      </c>
      <c r="Y724" s="59">
        <v>0.5</v>
      </c>
      <c r="Z724" s="59">
        <v>5.2083333333333336E-2</v>
      </c>
      <c r="AA724">
        <v>6</v>
      </c>
      <c r="AB724">
        <v>2.9318</v>
      </c>
      <c r="AC724">
        <v>25</v>
      </c>
      <c r="AD724">
        <v>11.25</v>
      </c>
      <c r="AE724" s="59">
        <v>0.44791666666666669</v>
      </c>
      <c r="AF724" s="59">
        <v>0.4993055555555555</v>
      </c>
      <c r="AG724">
        <v>0</v>
      </c>
    </row>
    <row r="725" spans="1:33" x14ac:dyDescent="0.25">
      <c r="A725" t="s">
        <v>368</v>
      </c>
      <c r="B725" t="s">
        <v>369</v>
      </c>
      <c r="C725" t="s">
        <v>370</v>
      </c>
      <c r="E725" t="s">
        <v>292</v>
      </c>
      <c r="F725" t="s">
        <v>134</v>
      </c>
      <c r="H725" t="s">
        <v>154</v>
      </c>
      <c r="I725" t="s">
        <v>155</v>
      </c>
      <c r="J725" t="s">
        <v>258</v>
      </c>
      <c r="K725" t="s">
        <v>374</v>
      </c>
      <c r="L725" t="s">
        <v>375</v>
      </c>
      <c r="N725" t="s">
        <v>376</v>
      </c>
      <c r="O725" t="s">
        <v>215</v>
      </c>
      <c r="Q725" t="s">
        <v>216</v>
      </c>
      <c r="R725" t="s">
        <v>212</v>
      </c>
      <c r="S725" t="s">
        <v>128</v>
      </c>
      <c r="T725" t="s">
        <v>165</v>
      </c>
      <c r="U725" t="s">
        <v>213</v>
      </c>
      <c r="V725" t="s">
        <v>77</v>
      </c>
      <c r="W725" s="58">
        <v>43337</v>
      </c>
      <c r="X725" s="59">
        <v>0.41666666666666669</v>
      </c>
      <c r="Y725" s="59">
        <v>0.60416666666666663</v>
      </c>
      <c r="Z725" s="59">
        <v>0.1875</v>
      </c>
      <c r="AA725">
        <v>0</v>
      </c>
      <c r="AC725">
        <v>90</v>
      </c>
      <c r="AD725">
        <v>45</v>
      </c>
      <c r="AE725" s="59">
        <v>0.4375</v>
      </c>
      <c r="AF725" s="59">
        <v>0.60347222222222219</v>
      </c>
      <c r="AG725">
        <v>0</v>
      </c>
    </row>
    <row r="726" spans="1:33" x14ac:dyDescent="0.25">
      <c r="A726" t="s">
        <v>368</v>
      </c>
      <c r="B726" t="s">
        <v>369</v>
      </c>
      <c r="C726" t="s">
        <v>370</v>
      </c>
      <c r="E726" t="s">
        <v>292</v>
      </c>
      <c r="F726" t="s">
        <v>134</v>
      </c>
      <c r="H726" t="s">
        <v>154</v>
      </c>
      <c r="I726" t="s">
        <v>155</v>
      </c>
      <c r="J726" t="s">
        <v>258</v>
      </c>
      <c r="K726" t="s">
        <v>374</v>
      </c>
      <c r="L726" t="s">
        <v>375</v>
      </c>
      <c r="N726" t="s">
        <v>376</v>
      </c>
      <c r="O726" t="s">
        <v>215</v>
      </c>
      <c r="Q726" t="s">
        <v>216</v>
      </c>
      <c r="R726" t="s">
        <v>212</v>
      </c>
      <c r="S726" t="s">
        <v>128</v>
      </c>
      <c r="T726" t="s">
        <v>165</v>
      </c>
      <c r="U726" t="s">
        <v>213</v>
      </c>
      <c r="V726" t="s">
        <v>77</v>
      </c>
      <c r="W726" s="58">
        <v>43337</v>
      </c>
      <c r="X726" s="59">
        <v>0.60416666666666663</v>
      </c>
      <c r="Y726" s="59">
        <v>0.73958333333333337</v>
      </c>
      <c r="Z726" s="59">
        <v>0.13541666666666666</v>
      </c>
      <c r="AA726">
        <v>0</v>
      </c>
      <c r="AB726">
        <v>0</v>
      </c>
      <c r="AC726">
        <v>65</v>
      </c>
      <c r="AD726">
        <v>32.5</v>
      </c>
      <c r="AE726" s="59">
        <v>0.60416666666666663</v>
      </c>
      <c r="AF726" s="59">
        <v>0.70763888888888893</v>
      </c>
      <c r="AG726">
        <v>0</v>
      </c>
    </row>
    <row r="727" spans="1:33" x14ac:dyDescent="0.25">
      <c r="A727" t="s">
        <v>258</v>
      </c>
      <c r="B727" t="s">
        <v>325</v>
      </c>
      <c r="C727" t="s">
        <v>326</v>
      </c>
      <c r="E727" t="s">
        <v>327</v>
      </c>
      <c r="F727" t="s">
        <v>134</v>
      </c>
      <c r="H727" t="s">
        <v>182</v>
      </c>
      <c r="I727" t="s">
        <v>147</v>
      </c>
      <c r="J727" t="s">
        <v>258</v>
      </c>
      <c r="K727" t="s">
        <v>374</v>
      </c>
      <c r="L727" t="s">
        <v>375</v>
      </c>
      <c r="N727" t="s">
        <v>376</v>
      </c>
      <c r="O727" t="s">
        <v>215</v>
      </c>
      <c r="Q727" t="s">
        <v>216</v>
      </c>
      <c r="R727" t="s">
        <v>183</v>
      </c>
      <c r="S727" t="s">
        <v>128</v>
      </c>
      <c r="T727" t="s">
        <v>165</v>
      </c>
      <c r="U727" t="s">
        <v>129</v>
      </c>
      <c r="V727" t="s">
        <v>72</v>
      </c>
      <c r="W727" s="58">
        <v>43339</v>
      </c>
      <c r="X727" s="59">
        <v>0.36458333333333331</v>
      </c>
      <c r="Y727" s="59">
        <v>0.40625</v>
      </c>
      <c r="Z727" s="59">
        <v>4.1666666666666664E-2</v>
      </c>
      <c r="AA727">
        <v>13</v>
      </c>
      <c r="AC727">
        <v>23</v>
      </c>
      <c r="AD727">
        <v>9</v>
      </c>
      <c r="AE727" s="59">
        <v>0.36458333333333331</v>
      </c>
      <c r="AF727" s="59">
        <v>0.4055555555555555</v>
      </c>
      <c r="AG727">
        <v>0</v>
      </c>
    </row>
    <row r="728" spans="1:33" x14ac:dyDescent="0.25">
      <c r="A728" t="s">
        <v>274</v>
      </c>
      <c r="B728" t="s">
        <v>321</v>
      </c>
      <c r="C728" t="s">
        <v>322</v>
      </c>
      <c r="D728" t="s">
        <v>323</v>
      </c>
      <c r="E728" t="s">
        <v>324</v>
      </c>
      <c r="F728" t="s">
        <v>134</v>
      </c>
      <c r="H728" t="s">
        <v>184</v>
      </c>
      <c r="I728" t="s">
        <v>147</v>
      </c>
      <c r="J728" t="s">
        <v>258</v>
      </c>
      <c r="K728" t="s">
        <v>374</v>
      </c>
      <c r="L728" t="s">
        <v>375</v>
      </c>
      <c r="N728" t="s">
        <v>376</v>
      </c>
      <c r="O728" t="s">
        <v>215</v>
      </c>
      <c r="Q728" t="s">
        <v>216</v>
      </c>
      <c r="R728" t="s">
        <v>185</v>
      </c>
      <c r="S728" t="s">
        <v>128</v>
      </c>
      <c r="T728" t="s">
        <v>165</v>
      </c>
      <c r="U728" t="s">
        <v>151</v>
      </c>
      <c r="V728" t="s">
        <v>72</v>
      </c>
      <c r="W728" s="58">
        <v>43339</v>
      </c>
      <c r="X728" s="59">
        <v>0.41666666666666669</v>
      </c>
      <c r="Y728" s="59">
        <v>0.45833333333333331</v>
      </c>
      <c r="Z728" s="59">
        <v>4.1666666666666664E-2</v>
      </c>
      <c r="AA728">
        <v>4</v>
      </c>
      <c r="AB728">
        <v>2.2181999999999999</v>
      </c>
      <c r="AC728">
        <v>20</v>
      </c>
      <c r="AD728">
        <v>9</v>
      </c>
      <c r="AE728" s="59">
        <v>0.41666666666666669</v>
      </c>
      <c r="AF728" s="59">
        <v>0.45763888888888887</v>
      </c>
      <c r="AG728">
        <v>0</v>
      </c>
    </row>
    <row r="729" spans="1:33" x14ac:dyDescent="0.25">
      <c r="A729" t="s">
        <v>258</v>
      </c>
      <c r="B729" t="s">
        <v>325</v>
      </c>
      <c r="C729" t="s">
        <v>326</v>
      </c>
      <c r="E729" t="s">
        <v>327</v>
      </c>
      <c r="F729" t="s">
        <v>134</v>
      </c>
      <c r="H729" t="s">
        <v>182</v>
      </c>
      <c r="I729" t="s">
        <v>147</v>
      </c>
      <c r="J729" t="s">
        <v>258</v>
      </c>
      <c r="K729" t="s">
        <v>374</v>
      </c>
      <c r="L729" t="s">
        <v>375</v>
      </c>
      <c r="N729" t="s">
        <v>376</v>
      </c>
      <c r="O729" t="s">
        <v>215</v>
      </c>
      <c r="Q729" t="s">
        <v>216</v>
      </c>
      <c r="R729" t="s">
        <v>183</v>
      </c>
      <c r="S729" t="s">
        <v>128</v>
      </c>
      <c r="T729" t="s">
        <v>165</v>
      </c>
      <c r="U729" t="s">
        <v>129</v>
      </c>
      <c r="V729" t="s">
        <v>72</v>
      </c>
      <c r="W729" s="58">
        <v>43339</v>
      </c>
      <c r="X729" s="59">
        <v>0.48958333333333331</v>
      </c>
      <c r="Y729" s="59">
        <v>0.53125</v>
      </c>
      <c r="Z729" s="59">
        <v>4.1666666666666664E-2</v>
      </c>
      <c r="AA729">
        <v>0</v>
      </c>
      <c r="AB729">
        <v>2.2181999999999999</v>
      </c>
      <c r="AC729">
        <v>23</v>
      </c>
      <c r="AD729">
        <v>9</v>
      </c>
      <c r="AE729" s="59">
        <v>0.48958333333333331</v>
      </c>
      <c r="AF729" s="59">
        <v>0.53055555555555556</v>
      </c>
      <c r="AG729">
        <v>0</v>
      </c>
    </row>
    <row r="730" spans="1:33" x14ac:dyDescent="0.25">
      <c r="A730" t="s">
        <v>258</v>
      </c>
      <c r="B730" t="s">
        <v>281</v>
      </c>
      <c r="C730" t="s">
        <v>282</v>
      </c>
      <c r="E730" t="s">
        <v>283</v>
      </c>
      <c r="F730" t="s">
        <v>134</v>
      </c>
      <c r="G730" t="s">
        <v>218</v>
      </c>
      <c r="H730" t="s">
        <v>146</v>
      </c>
      <c r="I730" t="s">
        <v>147</v>
      </c>
      <c r="J730" t="s">
        <v>258</v>
      </c>
      <c r="K730" t="s">
        <v>374</v>
      </c>
      <c r="L730" t="s">
        <v>375</v>
      </c>
      <c r="N730" t="s">
        <v>376</v>
      </c>
      <c r="O730" t="s">
        <v>215</v>
      </c>
      <c r="Q730" t="s">
        <v>216</v>
      </c>
      <c r="R730" t="s">
        <v>148</v>
      </c>
      <c r="S730" t="s">
        <v>128</v>
      </c>
      <c r="T730" t="s">
        <v>165</v>
      </c>
      <c r="U730" t="s">
        <v>129</v>
      </c>
      <c r="V730" t="s">
        <v>72</v>
      </c>
      <c r="W730" s="58">
        <v>43339</v>
      </c>
      <c r="X730" s="59">
        <v>0.54166666666666663</v>
      </c>
      <c r="Y730" s="59">
        <v>0.58333333333333337</v>
      </c>
      <c r="Z730" s="59">
        <v>4.1666666666666664E-2</v>
      </c>
      <c r="AA730">
        <v>3</v>
      </c>
      <c r="AB730">
        <v>1.266</v>
      </c>
      <c r="AC730">
        <v>23</v>
      </c>
      <c r="AD730">
        <v>9</v>
      </c>
      <c r="AE730" s="59">
        <v>0.54166666666666663</v>
      </c>
      <c r="AF730" s="59">
        <v>0.58263888888888882</v>
      </c>
      <c r="AG730">
        <v>0</v>
      </c>
    </row>
    <row r="731" spans="1:33" x14ac:dyDescent="0.25">
      <c r="A731" t="s">
        <v>258</v>
      </c>
      <c r="B731" t="s">
        <v>342</v>
      </c>
      <c r="C731" t="s">
        <v>343</v>
      </c>
      <c r="E731" t="s">
        <v>344</v>
      </c>
      <c r="F731" t="s">
        <v>134</v>
      </c>
      <c r="H731" t="s">
        <v>197</v>
      </c>
      <c r="I731" t="s">
        <v>198</v>
      </c>
      <c r="J731" t="s">
        <v>258</v>
      </c>
      <c r="K731" t="s">
        <v>374</v>
      </c>
      <c r="L731" t="s">
        <v>375</v>
      </c>
      <c r="N731" t="s">
        <v>376</v>
      </c>
      <c r="O731" t="s">
        <v>215</v>
      </c>
      <c r="Q731" t="s">
        <v>216</v>
      </c>
      <c r="R731" t="s">
        <v>199</v>
      </c>
      <c r="S731" t="s">
        <v>128</v>
      </c>
      <c r="T731" t="s">
        <v>165</v>
      </c>
      <c r="U731" t="s">
        <v>151</v>
      </c>
      <c r="V731" t="s">
        <v>73</v>
      </c>
      <c r="W731" s="58">
        <v>43340</v>
      </c>
      <c r="X731" s="59">
        <v>0.33333333333333331</v>
      </c>
      <c r="Y731" s="59">
        <v>0.375</v>
      </c>
      <c r="Z731" s="59">
        <v>4.1666666666666664E-2</v>
      </c>
      <c r="AA731">
        <v>9</v>
      </c>
      <c r="AC731">
        <v>20</v>
      </c>
      <c r="AD731">
        <v>9</v>
      </c>
      <c r="AE731" s="59">
        <v>0.33333333333333331</v>
      </c>
      <c r="AF731" s="59">
        <v>0.3743055555555555</v>
      </c>
      <c r="AG731">
        <v>0</v>
      </c>
    </row>
    <row r="732" spans="1:33" x14ac:dyDescent="0.25">
      <c r="A732" t="s">
        <v>274</v>
      </c>
      <c r="B732" t="s">
        <v>334</v>
      </c>
      <c r="C732" t="s">
        <v>285</v>
      </c>
      <c r="E732" t="s">
        <v>335</v>
      </c>
      <c r="F732" t="s">
        <v>134</v>
      </c>
      <c r="H732" t="s">
        <v>192</v>
      </c>
      <c r="I732" t="s">
        <v>155</v>
      </c>
      <c r="J732" t="s">
        <v>258</v>
      </c>
      <c r="K732" t="s">
        <v>374</v>
      </c>
      <c r="L732" t="s">
        <v>375</v>
      </c>
      <c r="N732" t="s">
        <v>376</v>
      </c>
      <c r="O732" t="s">
        <v>215</v>
      </c>
      <c r="Q732" t="s">
        <v>216</v>
      </c>
      <c r="R732" t="s">
        <v>193</v>
      </c>
      <c r="S732" t="s">
        <v>128</v>
      </c>
      <c r="T732" t="s">
        <v>165</v>
      </c>
      <c r="U732" t="s">
        <v>129</v>
      </c>
      <c r="V732" t="s">
        <v>73</v>
      </c>
      <c r="W732" s="58">
        <v>43340</v>
      </c>
      <c r="X732" s="59">
        <v>0.39583333333333331</v>
      </c>
      <c r="Y732" s="59">
        <v>0.4375</v>
      </c>
      <c r="Z732" s="59">
        <v>4.1666666666666664E-2</v>
      </c>
      <c r="AA732">
        <v>5</v>
      </c>
      <c r="AB732">
        <v>2.1818</v>
      </c>
      <c r="AC732">
        <v>23</v>
      </c>
      <c r="AD732">
        <v>9</v>
      </c>
      <c r="AE732" s="59">
        <v>0.39583333333333331</v>
      </c>
      <c r="AF732" s="59">
        <v>0.4368055555555555</v>
      </c>
      <c r="AG732">
        <v>0</v>
      </c>
    </row>
    <row r="733" spans="1:33" x14ac:dyDescent="0.25">
      <c r="A733" t="s">
        <v>258</v>
      </c>
      <c r="B733" t="s">
        <v>290</v>
      </c>
      <c r="C733" t="s">
        <v>291</v>
      </c>
      <c r="E733" t="s">
        <v>292</v>
      </c>
      <c r="F733" t="s">
        <v>134</v>
      </c>
      <c r="H733" t="s">
        <v>154</v>
      </c>
      <c r="I733" t="s">
        <v>155</v>
      </c>
      <c r="J733" t="s">
        <v>258</v>
      </c>
      <c r="K733" t="s">
        <v>374</v>
      </c>
      <c r="L733" t="s">
        <v>375</v>
      </c>
      <c r="N733" t="s">
        <v>376</v>
      </c>
      <c r="O733" t="s">
        <v>215</v>
      </c>
      <c r="Q733" t="s">
        <v>216</v>
      </c>
      <c r="R733" t="s">
        <v>156</v>
      </c>
      <c r="S733" t="s">
        <v>128</v>
      </c>
      <c r="T733" t="s">
        <v>165</v>
      </c>
      <c r="U733" t="s">
        <v>151</v>
      </c>
      <c r="V733" t="s">
        <v>73</v>
      </c>
      <c r="W733" s="58">
        <v>43340</v>
      </c>
      <c r="X733" s="59">
        <v>0.4375</v>
      </c>
      <c r="Y733" s="59">
        <v>0.5</v>
      </c>
      <c r="Z733" s="59">
        <v>6.25E-2</v>
      </c>
      <c r="AA733">
        <v>6</v>
      </c>
      <c r="AB733">
        <v>2.9318</v>
      </c>
      <c r="AC733">
        <v>30</v>
      </c>
      <c r="AD733">
        <v>13.5</v>
      </c>
      <c r="AE733" s="59">
        <v>0.44791666666666669</v>
      </c>
      <c r="AF733" s="59">
        <v>0.4993055555555555</v>
      </c>
      <c r="AG733">
        <v>0</v>
      </c>
    </row>
    <row r="734" spans="1:33" x14ac:dyDescent="0.25">
      <c r="A734" t="s">
        <v>274</v>
      </c>
      <c r="B734" t="s">
        <v>334</v>
      </c>
      <c r="C734" t="s">
        <v>285</v>
      </c>
      <c r="E734" t="s">
        <v>335</v>
      </c>
      <c r="F734" t="s">
        <v>134</v>
      </c>
      <c r="H734" t="s">
        <v>192</v>
      </c>
      <c r="I734" t="s">
        <v>155</v>
      </c>
      <c r="J734" t="s">
        <v>258</v>
      </c>
      <c r="K734" t="s">
        <v>374</v>
      </c>
      <c r="L734" t="s">
        <v>375</v>
      </c>
      <c r="N734" t="s">
        <v>376</v>
      </c>
      <c r="O734" t="s">
        <v>215</v>
      </c>
      <c r="Q734" t="s">
        <v>216</v>
      </c>
      <c r="R734" t="s">
        <v>193</v>
      </c>
      <c r="S734" t="s">
        <v>128</v>
      </c>
      <c r="T734" t="s">
        <v>165</v>
      </c>
      <c r="U734" t="s">
        <v>129</v>
      </c>
      <c r="V734" t="s">
        <v>74</v>
      </c>
      <c r="W734" s="58">
        <v>43341</v>
      </c>
      <c r="X734" s="59">
        <v>0.70833333333333337</v>
      </c>
      <c r="Y734" s="59">
        <v>0.75</v>
      </c>
      <c r="Z734" s="59">
        <v>4.1666666666666664E-2</v>
      </c>
      <c r="AA734">
        <v>0</v>
      </c>
      <c r="AC734">
        <v>23</v>
      </c>
      <c r="AD734">
        <v>9</v>
      </c>
      <c r="AE734" s="59">
        <v>0.70833333333333337</v>
      </c>
      <c r="AF734" s="59">
        <v>0.74930555555555556</v>
      </c>
      <c r="AG734">
        <v>0</v>
      </c>
    </row>
    <row r="735" spans="1:33" x14ac:dyDescent="0.25">
      <c r="A735" t="s">
        <v>368</v>
      </c>
      <c r="B735" t="s">
        <v>369</v>
      </c>
      <c r="C735" t="s">
        <v>370</v>
      </c>
      <c r="E735" t="s">
        <v>292</v>
      </c>
      <c r="F735" t="s">
        <v>134</v>
      </c>
      <c r="H735" t="s">
        <v>154</v>
      </c>
      <c r="I735" t="s">
        <v>155</v>
      </c>
      <c r="J735" t="s">
        <v>258</v>
      </c>
      <c r="K735" t="s">
        <v>374</v>
      </c>
      <c r="L735" t="s">
        <v>375</v>
      </c>
      <c r="N735" t="s">
        <v>376</v>
      </c>
      <c r="O735" t="s">
        <v>215</v>
      </c>
      <c r="Q735" t="s">
        <v>216</v>
      </c>
      <c r="R735" t="s">
        <v>212</v>
      </c>
      <c r="S735" t="s">
        <v>128</v>
      </c>
      <c r="T735" t="s">
        <v>165</v>
      </c>
      <c r="U735" t="s">
        <v>213</v>
      </c>
      <c r="V735" t="s">
        <v>75</v>
      </c>
      <c r="W735" s="58">
        <v>43342</v>
      </c>
      <c r="X735" s="59">
        <v>0.72916666666666663</v>
      </c>
      <c r="Y735" s="59">
        <v>2.0833333333333332E-2</v>
      </c>
      <c r="Z735" s="59">
        <v>0.29166666666666669</v>
      </c>
      <c r="AA735">
        <v>0</v>
      </c>
      <c r="AC735">
        <v>140</v>
      </c>
      <c r="AD735">
        <v>63</v>
      </c>
      <c r="AE735" s="59">
        <v>0.77083333333333337</v>
      </c>
      <c r="AF735" s="59">
        <v>0.95763888888888893</v>
      </c>
      <c r="AG735">
        <v>0</v>
      </c>
    </row>
    <row r="736" spans="1:33" x14ac:dyDescent="0.25">
      <c r="A736" t="s">
        <v>258</v>
      </c>
      <c r="B736" t="s">
        <v>342</v>
      </c>
      <c r="C736" t="s">
        <v>343</v>
      </c>
      <c r="E736" t="s">
        <v>344</v>
      </c>
      <c r="F736" t="s">
        <v>134</v>
      </c>
      <c r="H736" t="s">
        <v>197</v>
      </c>
      <c r="I736" t="s">
        <v>198</v>
      </c>
      <c r="J736" t="s">
        <v>258</v>
      </c>
      <c r="K736" t="s">
        <v>374</v>
      </c>
      <c r="L736" t="s">
        <v>375</v>
      </c>
      <c r="N736" t="s">
        <v>376</v>
      </c>
      <c r="O736" t="s">
        <v>215</v>
      </c>
      <c r="Q736" t="s">
        <v>216</v>
      </c>
      <c r="R736" t="s">
        <v>199</v>
      </c>
      <c r="S736" t="s">
        <v>128</v>
      </c>
      <c r="T736" t="s">
        <v>165</v>
      </c>
      <c r="U736" t="s">
        <v>151</v>
      </c>
      <c r="V736" t="s">
        <v>76</v>
      </c>
      <c r="W736" s="58">
        <v>43343</v>
      </c>
      <c r="X736" s="59">
        <v>0.33333333333333331</v>
      </c>
      <c r="Y736" s="59">
        <v>0.375</v>
      </c>
      <c r="Z736" s="59">
        <v>4.1666666666666664E-2</v>
      </c>
      <c r="AA736">
        <v>9</v>
      </c>
      <c r="AC736">
        <v>20</v>
      </c>
      <c r="AD736">
        <v>9</v>
      </c>
      <c r="AE736" s="59">
        <v>0.33333333333333331</v>
      </c>
      <c r="AF736" s="59">
        <v>0.3743055555555555</v>
      </c>
      <c r="AG736">
        <v>0</v>
      </c>
    </row>
    <row r="737" spans="1:33" x14ac:dyDescent="0.25">
      <c r="A737" t="s">
        <v>274</v>
      </c>
      <c r="B737" t="s">
        <v>334</v>
      </c>
      <c r="C737" t="s">
        <v>285</v>
      </c>
      <c r="E737" t="s">
        <v>335</v>
      </c>
      <c r="F737" t="s">
        <v>134</v>
      </c>
      <c r="H737" t="s">
        <v>192</v>
      </c>
      <c r="I737" t="s">
        <v>155</v>
      </c>
      <c r="J737" t="s">
        <v>258</v>
      </c>
      <c r="K737" t="s">
        <v>374</v>
      </c>
      <c r="L737" t="s">
        <v>375</v>
      </c>
      <c r="N737" t="s">
        <v>376</v>
      </c>
      <c r="O737" t="s">
        <v>215</v>
      </c>
      <c r="Q737" t="s">
        <v>216</v>
      </c>
      <c r="R737" t="s">
        <v>193</v>
      </c>
      <c r="S737" t="s">
        <v>128</v>
      </c>
      <c r="T737" t="s">
        <v>165</v>
      </c>
      <c r="U737" t="s">
        <v>129</v>
      </c>
      <c r="V737" t="s">
        <v>76</v>
      </c>
      <c r="W737" s="58">
        <v>43343</v>
      </c>
      <c r="X737" s="59">
        <v>0.39583333333333331</v>
      </c>
      <c r="Y737" s="59">
        <v>0.4375</v>
      </c>
      <c r="Z737" s="59">
        <v>4.1666666666666664E-2</v>
      </c>
      <c r="AA737">
        <v>5</v>
      </c>
      <c r="AB737">
        <v>2.1818</v>
      </c>
      <c r="AC737">
        <v>23</v>
      </c>
      <c r="AD737">
        <v>9</v>
      </c>
      <c r="AE737" s="59">
        <v>0.39583333333333331</v>
      </c>
      <c r="AF737" s="59">
        <v>0.4368055555555555</v>
      </c>
      <c r="AG737">
        <v>0</v>
      </c>
    </row>
    <row r="738" spans="1:33" x14ac:dyDescent="0.25">
      <c r="A738" t="s">
        <v>258</v>
      </c>
      <c r="B738" t="s">
        <v>290</v>
      </c>
      <c r="C738" t="s">
        <v>291</v>
      </c>
      <c r="E738" t="s">
        <v>292</v>
      </c>
      <c r="F738" t="s">
        <v>134</v>
      </c>
      <c r="H738" t="s">
        <v>154</v>
      </c>
      <c r="I738" t="s">
        <v>155</v>
      </c>
      <c r="J738" t="s">
        <v>258</v>
      </c>
      <c r="K738" t="s">
        <v>374</v>
      </c>
      <c r="L738" t="s">
        <v>375</v>
      </c>
      <c r="N738" t="s">
        <v>376</v>
      </c>
      <c r="O738" t="s">
        <v>215</v>
      </c>
      <c r="Q738" t="s">
        <v>216</v>
      </c>
      <c r="R738" t="s">
        <v>156</v>
      </c>
      <c r="S738" t="s">
        <v>128</v>
      </c>
      <c r="T738" t="s">
        <v>165</v>
      </c>
      <c r="U738" t="s">
        <v>151</v>
      </c>
      <c r="V738" t="s">
        <v>76</v>
      </c>
      <c r="W738" s="58">
        <v>43343</v>
      </c>
      <c r="X738" s="59">
        <v>0.44791666666666669</v>
      </c>
      <c r="Y738" s="59">
        <v>0.5</v>
      </c>
      <c r="Z738" s="59">
        <v>5.2083333333333336E-2</v>
      </c>
      <c r="AA738">
        <v>6</v>
      </c>
      <c r="AB738">
        <v>2.9318</v>
      </c>
      <c r="AC738">
        <v>25</v>
      </c>
      <c r="AD738">
        <v>11.25</v>
      </c>
      <c r="AE738" s="59">
        <v>0.44791666666666669</v>
      </c>
      <c r="AF738" s="59">
        <v>0.4993055555555555</v>
      </c>
      <c r="AG738">
        <v>0</v>
      </c>
    </row>
    <row r="739" spans="1:33" x14ac:dyDescent="0.25">
      <c r="A739" t="s">
        <v>258</v>
      </c>
      <c r="B739" t="s">
        <v>342</v>
      </c>
      <c r="C739" t="s">
        <v>343</v>
      </c>
      <c r="E739" t="s">
        <v>344</v>
      </c>
      <c r="F739" t="s">
        <v>134</v>
      </c>
      <c r="H739" t="s">
        <v>197</v>
      </c>
      <c r="I739" t="s">
        <v>198</v>
      </c>
      <c r="J739" t="s">
        <v>258</v>
      </c>
      <c r="K739" t="s">
        <v>374</v>
      </c>
      <c r="L739" t="s">
        <v>375</v>
      </c>
      <c r="N739" t="s">
        <v>376</v>
      </c>
      <c r="O739" t="s">
        <v>215</v>
      </c>
      <c r="Q739" t="s">
        <v>216</v>
      </c>
      <c r="R739" t="s">
        <v>199</v>
      </c>
      <c r="S739" t="s">
        <v>128</v>
      </c>
      <c r="T739" t="s">
        <v>165</v>
      </c>
      <c r="U739" t="s">
        <v>151</v>
      </c>
      <c r="V739" t="s">
        <v>77</v>
      </c>
      <c r="W739" s="58">
        <v>43344</v>
      </c>
      <c r="X739" s="59">
        <v>0.33333333333333331</v>
      </c>
      <c r="Y739" s="59">
        <v>0.375</v>
      </c>
      <c r="Z739" s="59">
        <v>4.1666666666666664E-2</v>
      </c>
      <c r="AA739">
        <v>0</v>
      </c>
      <c r="AC739">
        <v>20</v>
      </c>
      <c r="AD739">
        <v>10</v>
      </c>
      <c r="AE739" s="59">
        <v>0.33333333333333331</v>
      </c>
      <c r="AF739" s="59">
        <v>0.3743055555555555</v>
      </c>
      <c r="AG739">
        <v>0</v>
      </c>
    </row>
    <row r="740" spans="1:33" x14ac:dyDescent="0.25">
      <c r="A740" t="s">
        <v>274</v>
      </c>
      <c r="B740" t="s">
        <v>334</v>
      </c>
      <c r="C740" t="s">
        <v>285</v>
      </c>
      <c r="E740" t="s">
        <v>335</v>
      </c>
      <c r="F740" t="s">
        <v>134</v>
      </c>
      <c r="H740" t="s">
        <v>192</v>
      </c>
      <c r="I740" t="s">
        <v>155</v>
      </c>
      <c r="J740" t="s">
        <v>258</v>
      </c>
      <c r="K740" t="s">
        <v>374</v>
      </c>
      <c r="L740" t="s">
        <v>375</v>
      </c>
      <c r="N740" t="s">
        <v>376</v>
      </c>
      <c r="O740" t="s">
        <v>215</v>
      </c>
      <c r="Q740" t="s">
        <v>216</v>
      </c>
      <c r="R740" t="s">
        <v>193</v>
      </c>
      <c r="S740" t="s">
        <v>128</v>
      </c>
      <c r="T740" t="s">
        <v>165</v>
      </c>
      <c r="U740" t="s">
        <v>129</v>
      </c>
      <c r="V740" t="s">
        <v>77</v>
      </c>
      <c r="W740" s="58">
        <v>43344</v>
      </c>
      <c r="X740" s="59">
        <v>0.39583333333333331</v>
      </c>
      <c r="Y740" s="59">
        <v>0.4375</v>
      </c>
      <c r="Z740" s="59">
        <v>4.1666666666666664E-2</v>
      </c>
      <c r="AA740">
        <v>4</v>
      </c>
      <c r="AB740">
        <v>2.1818</v>
      </c>
      <c r="AC740">
        <v>23</v>
      </c>
      <c r="AD740">
        <v>10</v>
      </c>
      <c r="AE740" s="59">
        <v>0.39583333333333331</v>
      </c>
      <c r="AF740" s="59">
        <v>0.4368055555555555</v>
      </c>
      <c r="AG740">
        <v>0</v>
      </c>
    </row>
    <row r="741" spans="1:33" x14ac:dyDescent="0.25">
      <c r="A741" t="s">
        <v>258</v>
      </c>
      <c r="B741" t="s">
        <v>342</v>
      </c>
      <c r="C741" t="s">
        <v>343</v>
      </c>
      <c r="E741" t="s">
        <v>344</v>
      </c>
      <c r="F741" t="s">
        <v>134</v>
      </c>
      <c r="H741" t="s">
        <v>197</v>
      </c>
      <c r="I741" t="s">
        <v>198</v>
      </c>
      <c r="J741" t="s">
        <v>258</v>
      </c>
      <c r="K741" t="s">
        <v>374</v>
      </c>
      <c r="L741" t="s">
        <v>375</v>
      </c>
      <c r="N741" t="s">
        <v>376</v>
      </c>
      <c r="O741" t="s">
        <v>215</v>
      </c>
      <c r="Q741" t="s">
        <v>216</v>
      </c>
      <c r="R741" t="s">
        <v>199</v>
      </c>
      <c r="S741" t="s">
        <v>128</v>
      </c>
      <c r="T741" t="s">
        <v>165</v>
      </c>
      <c r="U741" t="s">
        <v>151</v>
      </c>
      <c r="V741" t="s">
        <v>71</v>
      </c>
      <c r="W741" s="58">
        <v>43345</v>
      </c>
      <c r="X741" s="59">
        <v>0.33333333333333331</v>
      </c>
      <c r="Y741" s="59">
        <v>0.375</v>
      </c>
      <c r="Z741" s="59">
        <v>4.1666666666666664E-2</v>
      </c>
      <c r="AA741">
        <v>0</v>
      </c>
      <c r="AC741">
        <v>20</v>
      </c>
      <c r="AD741">
        <v>10</v>
      </c>
      <c r="AE741" s="59">
        <v>0.33333333333333331</v>
      </c>
      <c r="AF741" s="59">
        <v>0.3743055555555555</v>
      </c>
      <c r="AG741">
        <v>0</v>
      </c>
    </row>
    <row r="742" spans="1:33" x14ac:dyDescent="0.25">
      <c r="A742" t="s">
        <v>258</v>
      </c>
      <c r="B742" t="s">
        <v>325</v>
      </c>
      <c r="C742" t="s">
        <v>326</v>
      </c>
      <c r="E742" t="s">
        <v>327</v>
      </c>
      <c r="F742" t="s">
        <v>134</v>
      </c>
      <c r="H742" t="s">
        <v>182</v>
      </c>
      <c r="I742" t="s">
        <v>147</v>
      </c>
      <c r="J742" t="s">
        <v>258</v>
      </c>
      <c r="K742" t="s">
        <v>374</v>
      </c>
      <c r="L742" t="s">
        <v>375</v>
      </c>
      <c r="N742" t="s">
        <v>376</v>
      </c>
      <c r="O742" t="s">
        <v>215</v>
      </c>
      <c r="Q742" t="s">
        <v>216</v>
      </c>
      <c r="R742" t="s">
        <v>183</v>
      </c>
      <c r="S742" t="s">
        <v>128</v>
      </c>
      <c r="T742" t="s">
        <v>165</v>
      </c>
      <c r="U742" t="s">
        <v>129</v>
      </c>
      <c r="V742" t="s">
        <v>72</v>
      </c>
      <c r="W742" s="58">
        <v>43346</v>
      </c>
      <c r="X742" s="59">
        <v>0.36458333333333331</v>
      </c>
      <c r="Y742" s="59">
        <v>0.40625</v>
      </c>
      <c r="Z742" s="59">
        <v>4.1666666666666664E-2</v>
      </c>
      <c r="AA742">
        <v>13</v>
      </c>
      <c r="AC742">
        <v>23</v>
      </c>
      <c r="AD742">
        <v>9</v>
      </c>
      <c r="AE742" s="59">
        <v>0.36458333333333331</v>
      </c>
      <c r="AF742" s="59">
        <v>0.4055555555555555</v>
      </c>
      <c r="AG742">
        <v>0</v>
      </c>
    </row>
    <row r="743" spans="1:33" x14ac:dyDescent="0.25">
      <c r="A743" t="s">
        <v>274</v>
      </c>
      <c r="B743" t="s">
        <v>321</v>
      </c>
      <c r="C743" t="s">
        <v>322</v>
      </c>
      <c r="D743" t="s">
        <v>323</v>
      </c>
      <c r="E743" t="s">
        <v>324</v>
      </c>
      <c r="F743" t="s">
        <v>134</v>
      </c>
      <c r="H743" t="s">
        <v>184</v>
      </c>
      <c r="I743" t="s">
        <v>147</v>
      </c>
      <c r="J743" t="s">
        <v>258</v>
      </c>
      <c r="K743" t="s">
        <v>374</v>
      </c>
      <c r="L743" t="s">
        <v>375</v>
      </c>
      <c r="N743" t="s">
        <v>376</v>
      </c>
      <c r="O743" t="s">
        <v>215</v>
      </c>
      <c r="Q743" t="s">
        <v>216</v>
      </c>
      <c r="R743" t="s">
        <v>185</v>
      </c>
      <c r="S743" t="s">
        <v>128</v>
      </c>
      <c r="T743" t="s">
        <v>165</v>
      </c>
      <c r="U743" t="s">
        <v>151</v>
      </c>
      <c r="V743" t="s">
        <v>72</v>
      </c>
      <c r="W743" s="58">
        <v>43346</v>
      </c>
      <c r="X743" s="59">
        <v>0.41666666666666669</v>
      </c>
      <c r="Y743" s="59">
        <v>0.45833333333333331</v>
      </c>
      <c r="Z743" s="59">
        <v>4.1666666666666664E-2</v>
      </c>
      <c r="AA743">
        <v>4</v>
      </c>
      <c r="AB743">
        <v>2.2181999999999999</v>
      </c>
      <c r="AC743">
        <v>20</v>
      </c>
      <c r="AD743">
        <v>9</v>
      </c>
      <c r="AE743" s="59">
        <v>0.41666666666666669</v>
      </c>
      <c r="AF743" s="59">
        <v>0.45763888888888887</v>
      </c>
      <c r="AG743">
        <v>0</v>
      </c>
    </row>
    <row r="744" spans="1:33" x14ac:dyDescent="0.25">
      <c r="A744" t="s">
        <v>258</v>
      </c>
      <c r="B744" t="s">
        <v>310</v>
      </c>
      <c r="C744" t="s">
        <v>311</v>
      </c>
      <c r="D744" t="s">
        <v>312</v>
      </c>
      <c r="E744" t="s">
        <v>313</v>
      </c>
      <c r="F744" t="s">
        <v>134</v>
      </c>
      <c r="H744" t="s">
        <v>175</v>
      </c>
      <c r="I744" t="s">
        <v>127</v>
      </c>
      <c r="J744" t="s">
        <v>258</v>
      </c>
      <c r="K744" t="s">
        <v>374</v>
      </c>
      <c r="L744" t="s">
        <v>375</v>
      </c>
      <c r="N744" t="s">
        <v>376</v>
      </c>
      <c r="O744" t="s">
        <v>215</v>
      </c>
      <c r="Q744" t="s">
        <v>216</v>
      </c>
      <c r="R744" t="s">
        <v>176</v>
      </c>
      <c r="S744" t="s">
        <v>128</v>
      </c>
      <c r="T744" t="s">
        <v>165</v>
      </c>
      <c r="U744" t="s">
        <v>151</v>
      </c>
      <c r="V744" t="s">
        <v>72</v>
      </c>
      <c r="W744" s="58">
        <v>43346</v>
      </c>
      <c r="X744" s="59">
        <v>0.47916666666666669</v>
      </c>
      <c r="Y744" s="59">
        <v>0.64583333333333337</v>
      </c>
      <c r="Z744" s="59">
        <v>0.16666666666666666</v>
      </c>
      <c r="AA744">
        <v>7</v>
      </c>
      <c r="AB744">
        <v>4.8944000000000001</v>
      </c>
      <c r="AC744">
        <v>80</v>
      </c>
      <c r="AD744">
        <v>36</v>
      </c>
      <c r="AE744" s="59">
        <v>0.47916666666666669</v>
      </c>
      <c r="AF744" s="59">
        <v>0.64513888888888882</v>
      </c>
      <c r="AG744">
        <v>0</v>
      </c>
    </row>
    <row r="745" spans="1:33" x14ac:dyDescent="0.25">
      <c r="A745" t="s">
        <v>258</v>
      </c>
      <c r="B745" t="s">
        <v>342</v>
      </c>
      <c r="C745" t="s">
        <v>343</v>
      </c>
      <c r="E745" t="s">
        <v>344</v>
      </c>
      <c r="F745" t="s">
        <v>134</v>
      </c>
      <c r="H745" t="s">
        <v>197</v>
      </c>
      <c r="I745" t="s">
        <v>198</v>
      </c>
      <c r="J745" t="s">
        <v>258</v>
      </c>
      <c r="K745" t="s">
        <v>374</v>
      </c>
      <c r="L745" t="s">
        <v>375</v>
      </c>
      <c r="N745" t="s">
        <v>376</v>
      </c>
      <c r="O745" t="s">
        <v>215</v>
      </c>
      <c r="Q745" t="s">
        <v>216</v>
      </c>
      <c r="R745" t="s">
        <v>199</v>
      </c>
      <c r="S745" t="s">
        <v>128</v>
      </c>
      <c r="T745" t="s">
        <v>165</v>
      </c>
      <c r="U745" t="s">
        <v>151</v>
      </c>
      <c r="V745" t="s">
        <v>73</v>
      </c>
      <c r="W745" s="58">
        <v>43347</v>
      </c>
      <c r="X745" s="59">
        <v>0.33333333333333331</v>
      </c>
      <c r="Y745" s="59">
        <v>0.375</v>
      </c>
      <c r="Z745" s="59">
        <v>4.1666666666666664E-2</v>
      </c>
      <c r="AA745">
        <v>9</v>
      </c>
      <c r="AC745">
        <v>20</v>
      </c>
      <c r="AD745">
        <v>9</v>
      </c>
      <c r="AE745" s="59">
        <v>0.33333333333333331</v>
      </c>
      <c r="AF745" s="59">
        <v>0.3743055555555555</v>
      </c>
      <c r="AG745">
        <v>0</v>
      </c>
    </row>
    <row r="746" spans="1:33" x14ac:dyDescent="0.25">
      <c r="A746" t="s">
        <v>274</v>
      </c>
      <c r="B746" t="s">
        <v>334</v>
      </c>
      <c r="C746" t="s">
        <v>285</v>
      </c>
      <c r="E746" t="s">
        <v>335</v>
      </c>
      <c r="F746" t="s">
        <v>134</v>
      </c>
      <c r="H746" t="s">
        <v>192</v>
      </c>
      <c r="I746" t="s">
        <v>155</v>
      </c>
      <c r="J746" t="s">
        <v>258</v>
      </c>
      <c r="K746" t="s">
        <v>374</v>
      </c>
      <c r="L746" t="s">
        <v>375</v>
      </c>
      <c r="N746" t="s">
        <v>376</v>
      </c>
      <c r="O746" t="s">
        <v>215</v>
      </c>
      <c r="Q746" t="s">
        <v>216</v>
      </c>
      <c r="R746" t="s">
        <v>193</v>
      </c>
      <c r="S746" t="s">
        <v>128</v>
      </c>
      <c r="T746" t="s">
        <v>165</v>
      </c>
      <c r="U746" t="s">
        <v>129</v>
      </c>
      <c r="V746" t="s">
        <v>73</v>
      </c>
      <c r="W746" s="58">
        <v>43347</v>
      </c>
      <c r="X746" s="59">
        <v>0.39583333333333331</v>
      </c>
      <c r="Y746" s="59">
        <v>0.4375</v>
      </c>
      <c r="Z746" s="59">
        <v>4.1666666666666664E-2</v>
      </c>
      <c r="AA746">
        <v>4</v>
      </c>
      <c r="AB746">
        <v>2.1818</v>
      </c>
      <c r="AC746">
        <v>23</v>
      </c>
      <c r="AD746">
        <v>9</v>
      </c>
      <c r="AE746" s="59">
        <v>0.39583333333333331</v>
      </c>
      <c r="AF746" s="59">
        <v>0.4368055555555555</v>
      </c>
      <c r="AG746">
        <v>0</v>
      </c>
    </row>
    <row r="747" spans="1:33" x14ac:dyDescent="0.25">
      <c r="A747" t="s">
        <v>258</v>
      </c>
      <c r="B747" t="s">
        <v>290</v>
      </c>
      <c r="C747" t="s">
        <v>291</v>
      </c>
      <c r="E747" t="s">
        <v>292</v>
      </c>
      <c r="F747" t="s">
        <v>134</v>
      </c>
      <c r="H747" t="s">
        <v>154</v>
      </c>
      <c r="I747" t="s">
        <v>155</v>
      </c>
      <c r="J747" t="s">
        <v>258</v>
      </c>
      <c r="K747" t="s">
        <v>374</v>
      </c>
      <c r="L747" t="s">
        <v>375</v>
      </c>
      <c r="N747" t="s">
        <v>376</v>
      </c>
      <c r="O747" t="s">
        <v>215</v>
      </c>
      <c r="Q747" t="s">
        <v>216</v>
      </c>
      <c r="R747" t="s">
        <v>156</v>
      </c>
      <c r="S747" t="s">
        <v>128</v>
      </c>
      <c r="T747" t="s">
        <v>165</v>
      </c>
      <c r="U747" t="s">
        <v>151</v>
      </c>
      <c r="V747" t="s">
        <v>73</v>
      </c>
      <c r="W747" s="58">
        <v>43347</v>
      </c>
      <c r="X747" s="59">
        <v>0.44791666666666669</v>
      </c>
      <c r="Y747" s="59">
        <v>0.5</v>
      </c>
      <c r="Z747" s="59">
        <v>5.2083333333333336E-2</v>
      </c>
      <c r="AA747">
        <v>6</v>
      </c>
      <c r="AC747">
        <v>25</v>
      </c>
      <c r="AD747">
        <v>9</v>
      </c>
      <c r="AG747">
        <v>0</v>
      </c>
    </row>
    <row r="748" spans="1:33" x14ac:dyDescent="0.25">
      <c r="A748" t="s">
        <v>258</v>
      </c>
      <c r="B748" t="s">
        <v>342</v>
      </c>
      <c r="C748" t="s">
        <v>343</v>
      </c>
      <c r="E748" t="s">
        <v>344</v>
      </c>
      <c r="F748" t="s">
        <v>134</v>
      </c>
      <c r="H748" t="s">
        <v>197</v>
      </c>
      <c r="I748" t="s">
        <v>198</v>
      </c>
      <c r="J748" t="s">
        <v>258</v>
      </c>
      <c r="K748" t="s">
        <v>374</v>
      </c>
      <c r="L748" t="s">
        <v>375</v>
      </c>
      <c r="N748" t="s">
        <v>376</v>
      </c>
      <c r="O748" t="s">
        <v>215</v>
      </c>
      <c r="Q748" t="s">
        <v>216</v>
      </c>
      <c r="R748" t="s">
        <v>199</v>
      </c>
      <c r="S748" t="s">
        <v>128</v>
      </c>
      <c r="T748" t="s">
        <v>165</v>
      </c>
      <c r="U748" t="s">
        <v>151</v>
      </c>
      <c r="V748" t="s">
        <v>74</v>
      </c>
      <c r="W748" s="58">
        <v>43348</v>
      </c>
      <c r="X748" s="59">
        <v>0.33333333333333331</v>
      </c>
      <c r="Y748" s="59">
        <v>0.375</v>
      </c>
      <c r="Z748" s="59">
        <v>4.1666666666666664E-2</v>
      </c>
      <c r="AA748">
        <v>9</v>
      </c>
      <c r="AC748">
        <v>20</v>
      </c>
      <c r="AD748">
        <v>9</v>
      </c>
      <c r="AE748" s="59">
        <v>0.33333333333333331</v>
      </c>
      <c r="AF748" s="59">
        <v>0.3743055555555555</v>
      </c>
      <c r="AG748">
        <v>0</v>
      </c>
    </row>
    <row r="749" spans="1:33" x14ac:dyDescent="0.25">
      <c r="A749" t="s">
        <v>274</v>
      </c>
      <c r="B749" t="s">
        <v>334</v>
      </c>
      <c r="C749" t="s">
        <v>285</v>
      </c>
      <c r="E749" t="s">
        <v>335</v>
      </c>
      <c r="F749" t="s">
        <v>134</v>
      </c>
      <c r="H749" t="s">
        <v>192</v>
      </c>
      <c r="I749" t="s">
        <v>155</v>
      </c>
      <c r="J749" t="s">
        <v>258</v>
      </c>
      <c r="K749" t="s">
        <v>374</v>
      </c>
      <c r="L749" t="s">
        <v>375</v>
      </c>
      <c r="N749" t="s">
        <v>376</v>
      </c>
      <c r="O749" t="s">
        <v>215</v>
      </c>
      <c r="Q749" t="s">
        <v>216</v>
      </c>
      <c r="R749" t="s">
        <v>193</v>
      </c>
      <c r="S749" t="s">
        <v>128</v>
      </c>
      <c r="T749" t="s">
        <v>165</v>
      </c>
      <c r="U749" t="s">
        <v>129</v>
      </c>
      <c r="V749" t="s">
        <v>74</v>
      </c>
      <c r="W749" s="58">
        <v>43348</v>
      </c>
      <c r="X749" s="59">
        <v>0.39583333333333331</v>
      </c>
      <c r="Y749" s="59">
        <v>0.4375</v>
      </c>
      <c r="Z749" s="59">
        <v>4.1666666666666664E-2</v>
      </c>
      <c r="AA749">
        <v>4</v>
      </c>
      <c r="AB749">
        <v>2.1818</v>
      </c>
      <c r="AC749">
        <v>23</v>
      </c>
      <c r="AD749">
        <v>9</v>
      </c>
      <c r="AE749" s="59">
        <v>0.39583333333333331</v>
      </c>
      <c r="AF749" s="59">
        <v>0.4368055555555555</v>
      </c>
      <c r="AG749">
        <v>0</v>
      </c>
    </row>
    <row r="750" spans="1:33" x14ac:dyDescent="0.25">
      <c r="A750" t="s">
        <v>258</v>
      </c>
      <c r="B750" t="s">
        <v>290</v>
      </c>
      <c r="C750" t="s">
        <v>291</v>
      </c>
      <c r="E750" t="s">
        <v>292</v>
      </c>
      <c r="F750" t="s">
        <v>134</v>
      </c>
      <c r="H750" t="s">
        <v>154</v>
      </c>
      <c r="I750" t="s">
        <v>155</v>
      </c>
      <c r="J750" t="s">
        <v>258</v>
      </c>
      <c r="K750" t="s">
        <v>374</v>
      </c>
      <c r="L750" t="s">
        <v>375</v>
      </c>
      <c r="N750" t="s">
        <v>376</v>
      </c>
      <c r="O750" t="s">
        <v>215</v>
      </c>
      <c r="Q750" t="s">
        <v>216</v>
      </c>
      <c r="R750" t="s">
        <v>156</v>
      </c>
      <c r="S750" t="s">
        <v>128</v>
      </c>
      <c r="T750" t="s">
        <v>165</v>
      </c>
      <c r="U750" t="s">
        <v>151</v>
      </c>
      <c r="V750" t="s">
        <v>74</v>
      </c>
      <c r="W750" s="58">
        <v>43348</v>
      </c>
      <c r="X750" s="59">
        <v>0.44791666666666669</v>
      </c>
      <c r="Y750" s="59">
        <v>0.5</v>
      </c>
      <c r="Z750" s="59">
        <v>5.2083333333333336E-2</v>
      </c>
      <c r="AA750">
        <v>6</v>
      </c>
      <c r="AB750">
        <v>2.9318</v>
      </c>
      <c r="AC750">
        <v>25</v>
      </c>
      <c r="AD750">
        <v>11.25</v>
      </c>
      <c r="AE750" s="59">
        <v>0.44791666666666669</v>
      </c>
      <c r="AF750" s="59">
        <v>0.4993055555555555</v>
      </c>
      <c r="AG750">
        <v>0</v>
      </c>
    </row>
    <row r="751" spans="1:33" x14ac:dyDescent="0.25">
      <c r="A751" t="s">
        <v>258</v>
      </c>
      <c r="B751" t="s">
        <v>342</v>
      </c>
      <c r="C751" t="s">
        <v>343</v>
      </c>
      <c r="E751" t="s">
        <v>344</v>
      </c>
      <c r="F751" t="s">
        <v>134</v>
      </c>
      <c r="H751" t="s">
        <v>197</v>
      </c>
      <c r="I751" t="s">
        <v>198</v>
      </c>
      <c r="J751" t="s">
        <v>258</v>
      </c>
      <c r="K751" t="s">
        <v>374</v>
      </c>
      <c r="L751" t="s">
        <v>375</v>
      </c>
      <c r="N751" t="s">
        <v>376</v>
      </c>
      <c r="O751" t="s">
        <v>215</v>
      </c>
      <c r="Q751" t="s">
        <v>216</v>
      </c>
      <c r="R751" t="s">
        <v>199</v>
      </c>
      <c r="S751" t="s">
        <v>128</v>
      </c>
      <c r="T751" t="s">
        <v>165</v>
      </c>
      <c r="U751" t="s">
        <v>151</v>
      </c>
      <c r="V751" t="s">
        <v>75</v>
      </c>
      <c r="W751" s="58">
        <v>43349</v>
      </c>
      <c r="X751" s="59">
        <v>0.33333333333333331</v>
      </c>
      <c r="Y751" s="59">
        <v>0.375</v>
      </c>
      <c r="Z751" s="59">
        <v>4.1666666666666664E-2</v>
      </c>
      <c r="AA751">
        <v>0</v>
      </c>
      <c r="AC751">
        <v>20</v>
      </c>
      <c r="AD751">
        <v>9</v>
      </c>
      <c r="AE751" s="59">
        <v>0.33333333333333331</v>
      </c>
      <c r="AF751" s="59">
        <v>0.3743055555555555</v>
      </c>
      <c r="AG751">
        <v>0</v>
      </c>
    </row>
    <row r="752" spans="1:33" x14ac:dyDescent="0.25">
      <c r="A752" t="s">
        <v>274</v>
      </c>
      <c r="B752" t="s">
        <v>334</v>
      </c>
      <c r="C752" t="s">
        <v>285</v>
      </c>
      <c r="E752" t="s">
        <v>335</v>
      </c>
      <c r="F752" t="s">
        <v>134</v>
      </c>
      <c r="H752" t="s">
        <v>192</v>
      </c>
      <c r="I752" t="s">
        <v>155</v>
      </c>
      <c r="J752" t="s">
        <v>258</v>
      </c>
      <c r="K752" t="s">
        <v>374</v>
      </c>
      <c r="L752" t="s">
        <v>375</v>
      </c>
      <c r="N752" t="s">
        <v>376</v>
      </c>
      <c r="O752" t="s">
        <v>215</v>
      </c>
      <c r="Q752" t="s">
        <v>216</v>
      </c>
      <c r="R752" t="s">
        <v>193</v>
      </c>
      <c r="S752" t="s">
        <v>128</v>
      </c>
      <c r="T752" t="s">
        <v>165</v>
      </c>
      <c r="U752" t="s">
        <v>129</v>
      </c>
      <c r="V752" t="s">
        <v>75</v>
      </c>
      <c r="W752" s="58">
        <v>43349</v>
      </c>
      <c r="X752" s="59">
        <v>0.39583333333333331</v>
      </c>
      <c r="Y752" s="59">
        <v>0.4375</v>
      </c>
      <c r="Z752" s="59">
        <v>4.1666666666666664E-2</v>
      </c>
      <c r="AA752">
        <v>4</v>
      </c>
      <c r="AB752">
        <v>2.1818</v>
      </c>
      <c r="AC752">
        <v>23</v>
      </c>
      <c r="AD752">
        <v>9</v>
      </c>
      <c r="AE752" s="59">
        <v>0.39583333333333331</v>
      </c>
      <c r="AF752" s="59">
        <v>0.4368055555555555</v>
      </c>
      <c r="AG752">
        <v>0</v>
      </c>
    </row>
    <row r="753" spans="1:33" x14ac:dyDescent="0.25">
      <c r="A753" t="s">
        <v>258</v>
      </c>
      <c r="B753" t="s">
        <v>290</v>
      </c>
      <c r="C753" t="s">
        <v>291</v>
      </c>
      <c r="E753" t="s">
        <v>292</v>
      </c>
      <c r="F753" t="s">
        <v>134</v>
      </c>
      <c r="H753" t="s">
        <v>154</v>
      </c>
      <c r="I753" t="s">
        <v>155</v>
      </c>
      <c r="J753" t="s">
        <v>258</v>
      </c>
      <c r="K753" t="s">
        <v>374</v>
      </c>
      <c r="L753" t="s">
        <v>375</v>
      </c>
      <c r="N753" t="s">
        <v>376</v>
      </c>
      <c r="O753" t="s">
        <v>215</v>
      </c>
      <c r="Q753" t="s">
        <v>216</v>
      </c>
      <c r="R753" t="s">
        <v>156</v>
      </c>
      <c r="S753" t="s">
        <v>128</v>
      </c>
      <c r="T753" t="s">
        <v>165</v>
      </c>
      <c r="U753" t="s">
        <v>151</v>
      </c>
      <c r="V753" t="s">
        <v>75</v>
      </c>
      <c r="W753" s="58">
        <v>43349</v>
      </c>
      <c r="X753" s="59">
        <v>0.44791666666666669</v>
      </c>
      <c r="Y753" s="59">
        <v>0.5</v>
      </c>
      <c r="Z753" s="59">
        <v>5.2083333333333336E-2</v>
      </c>
      <c r="AA753">
        <v>6</v>
      </c>
      <c r="AB753">
        <v>2.9318</v>
      </c>
      <c r="AC753">
        <v>25</v>
      </c>
      <c r="AD753">
        <v>11.25</v>
      </c>
      <c r="AE753" s="59">
        <v>0.44791666666666669</v>
      </c>
      <c r="AF753" s="59">
        <v>0.4993055555555555</v>
      </c>
      <c r="AG753">
        <v>0</v>
      </c>
    </row>
    <row r="754" spans="1:33" x14ac:dyDescent="0.25">
      <c r="A754" t="s">
        <v>258</v>
      </c>
      <c r="B754" t="s">
        <v>342</v>
      </c>
      <c r="C754" t="s">
        <v>343</v>
      </c>
      <c r="E754" t="s">
        <v>344</v>
      </c>
      <c r="F754" t="s">
        <v>134</v>
      </c>
      <c r="H754" t="s">
        <v>197</v>
      </c>
      <c r="I754" t="s">
        <v>198</v>
      </c>
      <c r="J754" t="s">
        <v>258</v>
      </c>
      <c r="K754" t="s">
        <v>374</v>
      </c>
      <c r="L754" t="s">
        <v>375</v>
      </c>
      <c r="N754" t="s">
        <v>376</v>
      </c>
      <c r="O754" t="s">
        <v>215</v>
      </c>
      <c r="Q754" t="s">
        <v>216</v>
      </c>
      <c r="R754" t="s">
        <v>199</v>
      </c>
      <c r="S754" t="s">
        <v>128</v>
      </c>
      <c r="T754" t="s">
        <v>165</v>
      </c>
      <c r="U754" t="s">
        <v>151</v>
      </c>
      <c r="V754" t="s">
        <v>76</v>
      </c>
      <c r="W754" s="58">
        <v>43350</v>
      </c>
      <c r="X754" s="59">
        <v>0.33333333333333331</v>
      </c>
      <c r="Y754" s="59">
        <v>0.375</v>
      </c>
      <c r="Z754" s="59">
        <v>4.1666666666666664E-2</v>
      </c>
      <c r="AA754">
        <v>9</v>
      </c>
      <c r="AC754">
        <v>20</v>
      </c>
      <c r="AD754">
        <v>9</v>
      </c>
      <c r="AE754" s="59">
        <v>0.33333333333333331</v>
      </c>
      <c r="AF754" s="59">
        <v>0.3743055555555555</v>
      </c>
      <c r="AG754">
        <v>0</v>
      </c>
    </row>
    <row r="755" spans="1:33" x14ac:dyDescent="0.25">
      <c r="A755" t="s">
        <v>274</v>
      </c>
      <c r="B755" t="s">
        <v>334</v>
      </c>
      <c r="C755" t="s">
        <v>285</v>
      </c>
      <c r="E755" t="s">
        <v>335</v>
      </c>
      <c r="F755" t="s">
        <v>134</v>
      </c>
      <c r="H755" t="s">
        <v>192</v>
      </c>
      <c r="I755" t="s">
        <v>155</v>
      </c>
      <c r="J755" t="s">
        <v>258</v>
      </c>
      <c r="K755" t="s">
        <v>374</v>
      </c>
      <c r="L755" t="s">
        <v>375</v>
      </c>
      <c r="N755" t="s">
        <v>376</v>
      </c>
      <c r="O755" t="s">
        <v>215</v>
      </c>
      <c r="Q755" t="s">
        <v>216</v>
      </c>
      <c r="R755" t="s">
        <v>193</v>
      </c>
      <c r="S755" t="s">
        <v>128</v>
      </c>
      <c r="T755" t="s">
        <v>165</v>
      </c>
      <c r="U755" t="s">
        <v>129</v>
      </c>
      <c r="V755" t="s">
        <v>76</v>
      </c>
      <c r="W755" s="58">
        <v>43350</v>
      </c>
      <c r="X755" s="59">
        <v>0.3888888888888889</v>
      </c>
      <c r="Y755" s="59">
        <v>0.43055555555555558</v>
      </c>
      <c r="Z755" s="59">
        <v>4.1666666666666664E-2</v>
      </c>
      <c r="AA755">
        <v>4</v>
      </c>
      <c r="AB755">
        <v>2.1818</v>
      </c>
      <c r="AC755">
        <v>23</v>
      </c>
      <c r="AD755">
        <v>9</v>
      </c>
      <c r="AE755" s="59">
        <v>0.3888888888888889</v>
      </c>
      <c r="AF755" s="59">
        <v>0.42986111111111108</v>
      </c>
      <c r="AG755">
        <v>0</v>
      </c>
    </row>
    <row r="756" spans="1:33" x14ac:dyDescent="0.25">
      <c r="A756" t="s">
        <v>368</v>
      </c>
      <c r="B756" t="s">
        <v>369</v>
      </c>
      <c r="C756" t="s">
        <v>370</v>
      </c>
      <c r="E756" t="s">
        <v>292</v>
      </c>
      <c r="F756" t="s">
        <v>134</v>
      </c>
      <c r="H756" t="s">
        <v>154</v>
      </c>
      <c r="I756" t="s">
        <v>155</v>
      </c>
      <c r="J756" t="s">
        <v>258</v>
      </c>
      <c r="K756" t="s">
        <v>374</v>
      </c>
      <c r="L756" t="s">
        <v>375</v>
      </c>
      <c r="N756" t="s">
        <v>376</v>
      </c>
      <c r="O756" t="s">
        <v>215</v>
      </c>
      <c r="Q756" t="s">
        <v>216</v>
      </c>
      <c r="R756" t="s">
        <v>212</v>
      </c>
      <c r="S756" t="s">
        <v>128</v>
      </c>
      <c r="T756" t="s">
        <v>165</v>
      </c>
      <c r="U756" t="s">
        <v>213</v>
      </c>
      <c r="V756" t="s">
        <v>76</v>
      </c>
      <c r="W756" s="58">
        <v>43350</v>
      </c>
      <c r="X756" s="59">
        <v>0.73958333333333337</v>
      </c>
      <c r="Y756" s="59">
        <v>0.98958333333333337</v>
      </c>
      <c r="Z756" s="59">
        <v>0.25</v>
      </c>
      <c r="AA756">
        <v>0</v>
      </c>
      <c r="AC756">
        <v>120</v>
      </c>
      <c r="AD756">
        <v>54</v>
      </c>
      <c r="AE756" s="59">
        <v>0.78125</v>
      </c>
      <c r="AF756" s="59">
        <v>0.95763888888888893</v>
      </c>
      <c r="AG756">
        <v>0</v>
      </c>
    </row>
    <row r="757" spans="1:33" x14ac:dyDescent="0.25">
      <c r="A757" t="s">
        <v>258</v>
      </c>
      <c r="B757" t="s">
        <v>342</v>
      </c>
      <c r="C757" t="s">
        <v>343</v>
      </c>
      <c r="E757" t="s">
        <v>344</v>
      </c>
      <c r="F757" t="s">
        <v>134</v>
      </c>
      <c r="H757" t="s">
        <v>197</v>
      </c>
      <c r="I757" t="s">
        <v>198</v>
      </c>
      <c r="J757" t="s">
        <v>258</v>
      </c>
      <c r="K757" t="s">
        <v>374</v>
      </c>
      <c r="L757" t="s">
        <v>375</v>
      </c>
      <c r="N757" t="s">
        <v>376</v>
      </c>
      <c r="O757" t="s">
        <v>215</v>
      </c>
      <c r="Q757" t="s">
        <v>216</v>
      </c>
      <c r="R757" t="s">
        <v>199</v>
      </c>
      <c r="S757" t="s">
        <v>128</v>
      </c>
      <c r="T757" t="s">
        <v>165</v>
      </c>
      <c r="U757" t="s">
        <v>151</v>
      </c>
      <c r="V757" t="s">
        <v>77</v>
      </c>
      <c r="W757" s="58">
        <v>43351</v>
      </c>
      <c r="X757" s="59">
        <v>0.33333333333333331</v>
      </c>
      <c r="Y757" s="59">
        <v>0.375</v>
      </c>
      <c r="Z757" s="59">
        <v>4.1666666666666664E-2</v>
      </c>
      <c r="AA757">
        <v>0</v>
      </c>
      <c r="AC757">
        <v>20</v>
      </c>
      <c r="AD757">
        <v>10</v>
      </c>
      <c r="AE757" s="59">
        <v>0.33333333333333331</v>
      </c>
      <c r="AF757" s="59">
        <v>0.3743055555555555</v>
      </c>
      <c r="AG757">
        <v>0</v>
      </c>
    </row>
    <row r="758" spans="1:33" x14ac:dyDescent="0.25">
      <c r="A758" t="s">
        <v>274</v>
      </c>
      <c r="B758" t="s">
        <v>334</v>
      </c>
      <c r="C758" t="s">
        <v>285</v>
      </c>
      <c r="E758" t="s">
        <v>335</v>
      </c>
      <c r="F758" t="s">
        <v>134</v>
      </c>
      <c r="H758" t="s">
        <v>192</v>
      </c>
      <c r="I758" t="s">
        <v>155</v>
      </c>
      <c r="J758" t="s">
        <v>258</v>
      </c>
      <c r="K758" t="s">
        <v>374</v>
      </c>
      <c r="L758" t="s">
        <v>375</v>
      </c>
      <c r="N758" t="s">
        <v>376</v>
      </c>
      <c r="O758" t="s">
        <v>215</v>
      </c>
      <c r="Q758" t="s">
        <v>216</v>
      </c>
      <c r="R758" t="s">
        <v>193</v>
      </c>
      <c r="S758" t="s">
        <v>128</v>
      </c>
      <c r="T758" t="s">
        <v>165</v>
      </c>
      <c r="U758" t="s">
        <v>129</v>
      </c>
      <c r="V758" t="s">
        <v>77</v>
      </c>
      <c r="W758" s="58">
        <v>43351</v>
      </c>
      <c r="X758" s="59">
        <v>0.39583333333333331</v>
      </c>
      <c r="Y758" s="59">
        <v>0.4375</v>
      </c>
      <c r="Z758" s="59">
        <v>4.1666666666666664E-2</v>
      </c>
      <c r="AA758">
        <v>4</v>
      </c>
      <c r="AB758">
        <v>2.1818</v>
      </c>
      <c r="AC758">
        <v>23</v>
      </c>
      <c r="AD758">
        <v>10</v>
      </c>
      <c r="AE758" s="59">
        <v>0.39583333333333331</v>
      </c>
      <c r="AF758" s="59">
        <v>0.4368055555555555</v>
      </c>
      <c r="AG758">
        <v>0</v>
      </c>
    </row>
    <row r="759" spans="1:33" x14ac:dyDescent="0.25">
      <c r="A759" t="s">
        <v>368</v>
      </c>
      <c r="B759" t="s">
        <v>369</v>
      </c>
      <c r="C759" t="s">
        <v>370</v>
      </c>
      <c r="E759" t="s">
        <v>292</v>
      </c>
      <c r="F759" t="s">
        <v>134</v>
      </c>
      <c r="H759" t="s">
        <v>154</v>
      </c>
      <c r="I759" t="s">
        <v>155</v>
      </c>
      <c r="J759" t="s">
        <v>258</v>
      </c>
      <c r="K759" t="s">
        <v>374</v>
      </c>
      <c r="L759" t="s">
        <v>375</v>
      </c>
      <c r="N759" t="s">
        <v>376</v>
      </c>
      <c r="O759" t="s">
        <v>215</v>
      </c>
      <c r="Q759" t="s">
        <v>216</v>
      </c>
      <c r="R759" t="s">
        <v>212</v>
      </c>
      <c r="S759" t="s">
        <v>128</v>
      </c>
      <c r="T759" t="s">
        <v>165</v>
      </c>
      <c r="U759" t="s">
        <v>213</v>
      </c>
      <c r="V759" t="s">
        <v>71</v>
      </c>
      <c r="W759" s="58">
        <v>43352</v>
      </c>
      <c r="X759" s="59">
        <v>0.375</v>
      </c>
      <c r="Y759" s="59">
        <v>0.59375</v>
      </c>
      <c r="Z759" s="59">
        <v>0.21875</v>
      </c>
      <c r="AA759">
        <v>0</v>
      </c>
      <c r="AC759">
        <v>105</v>
      </c>
      <c r="AD759">
        <v>52.5</v>
      </c>
      <c r="AE759" s="59">
        <v>0.40625</v>
      </c>
      <c r="AF759" s="59">
        <v>0.58263888888888882</v>
      </c>
      <c r="AG759">
        <v>0</v>
      </c>
    </row>
    <row r="760" spans="1:33" x14ac:dyDescent="0.25">
      <c r="A760" t="s">
        <v>258</v>
      </c>
      <c r="B760" t="s">
        <v>325</v>
      </c>
      <c r="C760" t="s">
        <v>326</v>
      </c>
      <c r="E760" t="s">
        <v>327</v>
      </c>
      <c r="F760" t="s">
        <v>134</v>
      </c>
      <c r="H760" t="s">
        <v>182</v>
      </c>
      <c r="I760" t="s">
        <v>147</v>
      </c>
      <c r="J760" t="s">
        <v>258</v>
      </c>
      <c r="K760" t="s">
        <v>374</v>
      </c>
      <c r="L760" t="s">
        <v>375</v>
      </c>
      <c r="N760" t="s">
        <v>376</v>
      </c>
      <c r="O760" t="s">
        <v>215</v>
      </c>
      <c r="Q760" t="s">
        <v>216</v>
      </c>
      <c r="R760" t="s">
        <v>183</v>
      </c>
      <c r="S760" t="s">
        <v>128</v>
      </c>
      <c r="T760" t="s">
        <v>165</v>
      </c>
      <c r="U760" t="s">
        <v>129</v>
      </c>
      <c r="V760" t="s">
        <v>72</v>
      </c>
      <c r="W760" s="58">
        <v>43353</v>
      </c>
      <c r="X760" s="59">
        <v>0.36458333333333331</v>
      </c>
      <c r="Y760" s="59">
        <v>0.40625</v>
      </c>
      <c r="Z760" s="59">
        <v>4.1666666666666664E-2</v>
      </c>
      <c r="AA760">
        <v>13</v>
      </c>
      <c r="AC760">
        <v>23</v>
      </c>
      <c r="AD760">
        <v>9</v>
      </c>
      <c r="AE760" s="59">
        <v>0.36458333333333331</v>
      </c>
      <c r="AF760" s="59">
        <v>0.4055555555555555</v>
      </c>
      <c r="AG760">
        <v>0</v>
      </c>
    </row>
    <row r="761" spans="1:33" x14ac:dyDescent="0.25">
      <c r="A761" t="s">
        <v>274</v>
      </c>
      <c r="B761" t="s">
        <v>321</v>
      </c>
      <c r="C761" t="s">
        <v>322</v>
      </c>
      <c r="D761" t="s">
        <v>323</v>
      </c>
      <c r="E761" t="s">
        <v>324</v>
      </c>
      <c r="F761" t="s">
        <v>134</v>
      </c>
      <c r="H761" t="s">
        <v>184</v>
      </c>
      <c r="I761" t="s">
        <v>147</v>
      </c>
      <c r="J761" t="s">
        <v>258</v>
      </c>
      <c r="K761" t="s">
        <v>374</v>
      </c>
      <c r="L761" t="s">
        <v>375</v>
      </c>
      <c r="N761" t="s">
        <v>376</v>
      </c>
      <c r="O761" t="s">
        <v>215</v>
      </c>
      <c r="Q761" t="s">
        <v>216</v>
      </c>
      <c r="R761" t="s">
        <v>185</v>
      </c>
      <c r="S761" t="s">
        <v>128</v>
      </c>
      <c r="T761" t="s">
        <v>165</v>
      </c>
      <c r="U761" t="s">
        <v>151</v>
      </c>
      <c r="V761" t="s">
        <v>72</v>
      </c>
      <c r="W761" s="58">
        <v>43353</v>
      </c>
      <c r="X761" s="59">
        <v>0.41666666666666669</v>
      </c>
      <c r="Y761" s="59">
        <v>0.45833333333333331</v>
      </c>
      <c r="Z761" s="59">
        <v>4.1666666666666664E-2</v>
      </c>
      <c r="AA761">
        <v>4</v>
      </c>
      <c r="AB761">
        <v>2.2181999999999999</v>
      </c>
      <c r="AC761">
        <v>20</v>
      </c>
      <c r="AD761">
        <v>9</v>
      </c>
      <c r="AE761" s="59">
        <v>0.41666666666666669</v>
      </c>
      <c r="AF761" s="59">
        <v>0.45763888888888887</v>
      </c>
      <c r="AG761">
        <v>0</v>
      </c>
    </row>
    <row r="762" spans="1:33" x14ac:dyDescent="0.25">
      <c r="A762" t="s">
        <v>258</v>
      </c>
      <c r="B762" t="s">
        <v>342</v>
      </c>
      <c r="C762" t="s">
        <v>343</v>
      </c>
      <c r="E762" t="s">
        <v>344</v>
      </c>
      <c r="F762" t="s">
        <v>134</v>
      </c>
      <c r="H762" t="s">
        <v>197</v>
      </c>
      <c r="I762" t="s">
        <v>198</v>
      </c>
      <c r="J762" t="s">
        <v>258</v>
      </c>
      <c r="K762" t="s">
        <v>374</v>
      </c>
      <c r="L762" t="s">
        <v>375</v>
      </c>
      <c r="N762" t="s">
        <v>376</v>
      </c>
      <c r="O762" t="s">
        <v>215</v>
      </c>
      <c r="Q762" t="s">
        <v>216</v>
      </c>
      <c r="R762" t="s">
        <v>199</v>
      </c>
      <c r="S762" t="s">
        <v>128</v>
      </c>
      <c r="T762" t="s">
        <v>165</v>
      </c>
      <c r="U762" t="s">
        <v>151</v>
      </c>
      <c r="V762" t="s">
        <v>73</v>
      </c>
      <c r="W762" s="58">
        <v>43354</v>
      </c>
      <c r="X762" s="59">
        <v>0.33333333333333331</v>
      </c>
      <c r="Y762" s="59">
        <v>0.375</v>
      </c>
      <c r="Z762" s="59">
        <v>4.1666666666666664E-2</v>
      </c>
      <c r="AA762">
        <v>9</v>
      </c>
      <c r="AC762">
        <v>20</v>
      </c>
      <c r="AD762">
        <v>9</v>
      </c>
      <c r="AE762" s="59">
        <v>0.33333333333333331</v>
      </c>
      <c r="AF762" s="59">
        <v>0.3743055555555555</v>
      </c>
      <c r="AG762">
        <v>0</v>
      </c>
    </row>
    <row r="763" spans="1:33" x14ac:dyDescent="0.25">
      <c r="A763" t="s">
        <v>274</v>
      </c>
      <c r="B763" t="s">
        <v>334</v>
      </c>
      <c r="C763" t="s">
        <v>285</v>
      </c>
      <c r="E763" t="s">
        <v>335</v>
      </c>
      <c r="F763" t="s">
        <v>134</v>
      </c>
      <c r="H763" t="s">
        <v>192</v>
      </c>
      <c r="I763" t="s">
        <v>155</v>
      </c>
      <c r="J763" t="s">
        <v>258</v>
      </c>
      <c r="K763" t="s">
        <v>374</v>
      </c>
      <c r="L763" t="s">
        <v>375</v>
      </c>
      <c r="N763" t="s">
        <v>376</v>
      </c>
      <c r="O763" t="s">
        <v>215</v>
      </c>
      <c r="Q763" t="s">
        <v>216</v>
      </c>
      <c r="R763" t="s">
        <v>193</v>
      </c>
      <c r="S763" t="s">
        <v>128</v>
      </c>
      <c r="T763" t="s">
        <v>165</v>
      </c>
      <c r="U763" t="s">
        <v>129</v>
      </c>
      <c r="V763" t="s">
        <v>73</v>
      </c>
      <c r="W763" s="58">
        <v>43354</v>
      </c>
      <c r="X763" s="59">
        <v>0.39583333333333331</v>
      </c>
      <c r="Y763" s="59">
        <v>0.4375</v>
      </c>
      <c r="Z763" s="59">
        <v>4.1666666666666664E-2</v>
      </c>
      <c r="AA763">
        <v>4</v>
      </c>
      <c r="AB763">
        <v>2.1818</v>
      </c>
      <c r="AC763">
        <v>23</v>
      </c>
      <c r="AD763">
        <v>9</v>
      </c>
      <c r="AE763" s="59">
        <v>0.39583333333333331</v>
      </c>
      <c r="AF763" s="59">
        <v>0.4368055555555555</v>
      </c>
      <c r="AG763">
        <v>0</v>
      </c>
    </row>
    <row r="764" spans="1:33" x14ac:dyDescent="0.25">
      <c r="A764" t="s">
        <v>258</v>
      </c>
      <c r="B764" t="s">
        <v>290</v>
      </c>
      <c r="C764" t="s">
        <v>291</v>
      </c>
      <c r="E764" t="s">
        <v>292</v>
      </c>
      <c r="F764" t="s">
        <v>134</v>
      </c>
      <c r="H764" t="s">
        <v>154</v>
      </c>
      <c r="I764" t="s">
        <v>155</v>
      </c>
      <c r="J764" t="s">
        <v>258</v>
      </c>
      <c r="K764" t="s">
        <v>374</v>
      </c>
      <c r="L764" t="s">
        <v>375</v>
      </c>
      <c r="N764" t="s">
        <v>376</v>
      </c>
      <c r="O764" t="s">
        <v>215</v>
      </c>
      <c r="Q764" t="s">
        <v>216</v>
      </c>
      <c r="R764" t="s">
        <v>156</v>
      </c>
      <c r="S764" t="s">
        <v>128</v>
      </c>
      <c r="T764" t="s">
        <v>165</v>
      </c>
      <c r="U764" t="s">
        <v>151</v>
      </c>
      <c r="V764" t="s">
        <v>73</v>
      </c>
      <c r="W764" s="58">
        <v>43354</v>
      </c>
      <c r="X764" s="59">
        <v>0.44791666666666669</v>
      </c>
      <c r="Y764" s="59">
        <v>0.5</v>
      </c>
      <c r="Z764" s="59">
        <v>5.2083333333333336E-2</v>
      </c>
      <c r="AA764">
        <v>6</v>
      </c>
      <c r="AB764">
        <v>2.9318</v>
      </c>
      <c r="AC764">
        <v>25</v>
      </c>
      <c r="AD764">
        <v>11.25</v>
      </c>
      <c r="AE764" s="59">
        <v>0.44791666666666669</v>
      </c>
      <c r="AF764" s="59">
        <v>0.4993055555555555</v>
      </c>
      <c r="AG764">
        <v>0</v>
      </c>
    </row>
    <row r="765" spans="1:33" x14ac:dyDescent="0.25">
      <c r="A765" t="s">
        <v>258</v>
      </c>
      <c r="B765" t="s">
        <v>342</v>
      </c>
      <c r="C765" t="s">
        <v>343</v>
      </c>
      <c r="E765" t="s">
        <v>344</v>
      </c>
      <c r="F765" t="s">
        <v>134</v>
      </c>
      <c r="H765" t="s">
        <v>197</v>
      </c>
      <c r="I765" t="s">
        <v>198</v>
      </c>
      <c r="J765" t="s">
        <v>258</v>
      </c>
      <c r="K765" t="s">
        <v>374</v>
      </c>
      <c r="L765" t="s">
        <v>375</v>
      </c>
      <c r="N765" t="s">
        <v>376</v>
      </c>
      <c r="O765" t="s">
        <v>215</v>
      </c>
      <c r="Q765" t="s">
        <v>216</v>
      </c>
      <c r="R765" t="s">
        <v>199</v>
      </c>
      <c r="S765" t="s">
        <v>128</v>
      </c>
      <c r="T765" t="s">
        <v>165</v>
      </c>
      <c r="U765" t="s">
        <v>151</v>
      </c>
      <c r="V765" t="s">
        <v>74</v>
      </c>
      <c r="W765" s="58">
        <v>43355</v>
      </c>
      <c r="X765" s="59">
        <v>0.33333333333333331</v>
      </c>
      <c r="Y765" s="59">
        <v>0.375</v>
      </c>
      <c r="Z765" s="59">
        <v>4.1666666666666664E-2</v>
      </c>
      <c r="AA765">
        <v>9</v>
      </c>
      <c r="AC765">
        <v>20</v>
      </c>
      <c r="AD765">
        <v>9</v>
      </c>
      <c r="AE765" s="59">
        <v>0.33333333333333331</v>
      </c>
      <c r="AF765" s="59">
        <v>0.3743055555555555</v>
      </c>
      <c r="AG765">
        <v>0</v>
      </c>
    </row>
    <row r="766" spans="1:33" x14ac:dyDescent="0.25">
      <c r="A766" t="s">
        <v>274</v>
      </c>
      <c r="B766" t="s">
        <v>334</v>
      </c>
      <c r="C766" t="s">
        <v>285</v>
      </c>
      <c r="E766" t="s">
        <v>335</v>
      </c>
      <c r="F766" t="s">
        <v>134</v>
      </c>
      <c r="H766" t="s">
        <v>192</v>
      </c>
      <c r="I766" t="s">
        <v>155</v>
      </c>
      <c r="J766" t="s">
        <v>258</v>
      </c>
      <c r="K766" t="s">
        <v>374</v>
      </c>
      <c r="L766" t="s">
        <v>375</v>
      </c>
      <c r="N766" t="s">
        <v>376</v>
      </c>
      <c r="O766" t="s">
        <v>215</v>
      </c>
      <c r="Q766" t="s">
        <v>216</v>
      </c>
      <c r="R766" t="s">
        <v>193</v>
      </c>
      <c r="S766" t="s">
        <v>128</v>
      </c>
      <c r="T766" t="s">
        <v>165</v>
      </c>
      <c r="U766" t="s">
        <v>129</v>
      </c>
      <c r="V766" t="s">
        <v>74</v>
      </c>
      <c r="W766" s="58">
        <v>43355</v>
      </c>
      <c r="X766" s="59">
        <v>0.39583333333333331</v>
      </c>
      <c r="Y766" s="59">
        <v>0.4375</v>
      </c>
      <c r="Z766" s="59">
        <v>4.1666666666666664E-2</v>
      </c>
      <c r="AA766">
        <v>4</v>
      </c>
      <c r="AB766">
        <v>2.1818</v>
      </c>
      <c r="AC766">
        <v>23</v>
      </c>
      <c r="AD766">
        <v>9</v>
      </c>
      <c r="AE766" s="59">
        <v>0.39583333333333331</v>
      </c>
      <c r="AF766" s="59">
        <v>0.4368055555555555</v>
      </c>
      <c r="AG766">
        <v>0</v>
      </c>
    </row>
    <row r="767" spans="1:33" x14ac:dyDescent="0.25">
      <c r="A767" t="s">
        <v>258</v>
      </c>
      <c r="B767" t="s">
        <v>290</v>
      </c>
      <c r="C767" t="s">
        <v>291</v>
      </c>
      <c r="E767" t="s">
        <v>292</v>
      </c>
      <c r="F767" t="s">
        <v>134</v>
      </c>
      <c r="H767" t="s">
        <v>154</v>
      </c>
      <c r="I767" t="s">
        <v>155</v>
      </c>
      <c r="J767" t="s">
        <v>258</v>
      </c>
      <c r="K767" t="s">
        <v>374</v>
      </c>
      <c r="L767" t="s">
        <v>375</v>
      </c>
      <c r="N767" t="s">
        <v>376</v>
      </c>
      <c r="O767" t="s">
        <v>215</v>
      </c>
      <c r="Q767" t="s">
        <v>216</v>
      </c>
      <c r="R767" t="s">
        <v>156</v>
      </c>
      <c r="S767" t="s">
        <v>128</v>
      </c>
      <c r="T767" t="s">
        <v>165</v>
      </c>
      <c r="U767" t="s">
        <v>151</v>
      </c>
      <c r="V767" t="s">
        <v>74</v>
      </c>
      <c r="W767" s="58">
        <v>43355</v>
      </c>
      <c r="X767" s="59">
        <v>0.44791666666666669</v>
      </c>
      <c r="Y767" s="59">
        <v>0.54166666666666663</v>
      </c>
      <c r="Z767" s="59">
        <v>9.375E-2</v>
      </c>
      <c r="AA767">
        <v>6</v>
      </c>
      <c r="AB767">
        <v>2.9318</v>
      </c>
      <c r="AC767">
        <v>45</v>
      </c>
      <c r="AD767">
        <v>20.25</v>
      </c>
      <c r="AE767" s="59">
        <v>0.44791666666666669</v>
      </c>
      <c r="AF767" s="59">
        <v>0.4993055555555555</v>
      </c>
      <c r="AG767">
        <v>0</v>
      </c>
    </row>
    <row r="768" spans="1:33" x14ac:dyDescent="0.25">
      <c r="A768" t="s">
        <v>258</v>
      </c>
      <c r="B768" t="s">
        <v>342</v>
      </c>
      <c r="C768" t="s">
        <v>343</v>
      </c>
      <c r="E768" t="s">
        <v>344</v>
      </c>
      <c r="F768" t="s">
        <v>134</v>
      </c>
      <c r="H768" t="s">
        <v>197</v>
      </c>
      <c r="I768" t="s">
        <v>198</v>
      </c>
      <c r="J768" t="s">
        <v>258</v>
      </c>
      <c r="K768" t="s">
        <v>374</v>
      </c>
      <c r="L768" t="s">
        <v>375</v>
      </c>
      <c r="N768" t="s">
        <v>376</v>
      </c>
      <c r="O768" t="s">
        <v>215</v>
      </c>
      <c r="Q768" t="s">
        <v>216</v>
      </c>
      <c r="R768" t="s">
        <v>199</v>
      </c>
      <c r="S768" t="s">
        <v>128</v>
      </c>
      <c r="T768" t="s">
        <v>165</v>
      </c>
      <c r="U768" t="s">
        <v>151</v>
      </c>
      <c r="V768" t="s">
        <v>75</v>
      </c>
      <c r="W768" s="58">
        <v>43356</v>
      </c>
      <c r="X768" s="59">
        <v>0.33333333333333331</v>
      </c>
      <c r="Y768" s="59">
        <v>0.375</v>
      </c>
      <c r="Z768" s="59">
        <v>4.1666666666666664E-2</v>
      </c>
      <c r="AA768">
        <v>9</v>
      </c>
      <c r="AC768">
        <v>20</v>
      </c>
      <c r="AD768">
        <v>9</v>
      </c>
      <c r="AE768" s="59">
        <v>0.33333333333333331</v>
      </c>
      <c r="AF768" s="59">
        <v>0.3743055555555555</v>
      </c>
      <c r="AG768">
        <v>0</v>
      </c>
    </row>
    <row r="769" spans="1:33" x14ac:dyDescent="0.25">
      <c r="A769" t="s">
        <v>274</v>
      </c>
      <c r="B769" t="s">
        <v>334</v>
      </c>
      <c r="C769" t="s">
        <v>285</v>
      </c>
      <c r="E769" t="s">
        <v>335</v>
      </c>
      <c r="F769" t="s">
        <v>134</v>
      </c>
      <c r="H769" t="s">
        <v>192</v>
      </c>
      <c r="I769" t="s">
        <v>155</v>
      </c>
      <c r="J769" t="s">
        <v>258</v>
      </c>
      <c r="K769" t="s">
        <v>374</v>
      </c>
      <c r="L769" t="s">
        <v>375</v>
      </c>
      <c r="N769" t="s">
        <v>376</v>
      </c>
      <c r="O769" t="s">
        <v>215</v>
      </c>
      <c r="Q769" t="s">
        <v>216</v>
      </c>
      <c r="R769" t="s">
        <v>193</v>
      </c>
      <c r="S769" t="s">
        <v>128</v>
      </c>
      <c r="T769" t="s">
        <v>165</v>
      </c>
      <c r="U769" t="s">
        <v>129</v>
      </c>
      <c r="V769" t="s">
        <v>75</v>
      </c>
      <c r="W769" s="58">
        <v>43356</v>
      </c>
      <c r="X769" s="59">
        <v>0.39583333333333331</v>
      </c>
      <c r="Y769" s="59">
        <v>0.4375</v>
      </c>
      <c r="Z769" s="59">
        <v>4.1666666666666664E-2</v>
      </c>
      <c r="AA769">
        <v>4</v>
      </c>
      <c r="AB769">
        <v>2.1818</v>
      </c>
      <c r="AC769">
        <v>23</v>
      </c>
      <c r="AD769">
        <v>9</v>
      </c>
      <c r="AE769" s="59">
        <v>0.39583333333333331</v>
      </c>
      <c r="AF769" s="59">
        <v>0.4368055555555555</v>
      </c>
      <c r="AG769">
        <v>0</v>
      </c>
    </row>
    <row r="770" spans="1:33" x14ac:dyDescent="0.25">
      <c r="A770" t="s">
        <v>258</v>
      </c>
      <c r="B770" t="s">
        <v>290</v>
      </c>
      <c r="C770" t="s">
        <v>291</v>
      </c>
      <c r="E770" t="s">
        <v>292</v>
      </c>
      <c r="F770" t="s">
        <v>134</v>
      </c>
      <c r="H770" t="s">
        <v>154</v>
      </c>
      <c r="I770" t="s">
        <v>155</v>
      </c>
      <c r="J770" t="s">
        <v>258</v>
      </c>
      <c r="K770" t="s">
        <v>374</v>
      </c>
      <c r="L770" t="s">
        <v>375</v>
      </c>
      <c r="N770" t="s">
        <v>376</v>
      </c>
      <c r="O770" t="s">
        <v>215</v>
      </c>
      <c r="Q770" t="s">
        <v>216</v>
      </c>
      <c r="R770" t="s">
        <v>156</v>
      </c>
      <c r="S770" t="s">
        <v>128</v>
      </c>
      <c r="T770" t="s">
        <v>165</v>
      </c>
      <c r="U770" t="s">
        <v>151</v>
      </c>
      <c r="V770" t="s">
        <v>75</v>
      </c>
      <c r="W770" s="58">
        <v>43356</v>
      </c>
      <c r="X770" s="59">
        <v>0.44791666666666669</v>
      </c>
      <c r="Y770" s="59">
        <v>0.5</v>
      </c>
      <c r="Z770" s="59">
        <v>5.2083333333333336E-2</v>
      </c>
      <c r="AA770">
        <v>6</v>
      </c>
      <c r="AB770">
        <v>2.9318</v>
      </c>
      <c r="AC770">
        <v>25</v>
      </c>
      <c r="AD770">
        <v>11.25</v>
      </c>
      <c r="AE770" s="59">
        <v>0.44791666666666669</v>
      </c>
      <c r="AF770" s="59">
        <v>0.4993055555555555</v>
      </c>
      <c r="AG770">
        <v>0</v>
      </c>
    </row>
    <row r="771" spans="1:33" x14ac:dyDescent="0.25">
      <c r="A771" t="s">
        <v>258</v>
      </c>
      <c r="B771" t="s">
        <v>342</v>
      </c>
      <c r="C771" t="s">
        <v>343</v>
      </c>
      <c r="E771" t="s">
        <v>344</v>
      </c>
      <c r="F771" t="s">
        <v>134</v>
      </c>
      <c r="H771" t="s">
        <v>197</v>
      </c>
      <c r="I771" t="s">
        <v>198</v>
      </c>
      <c r="J771" t="s">
        <v>258</v>
      </c>
      <c r="K771" t="s">
        <v>374</v>
      </c>
      <c r="L771" t="s">
        <v>375</v>
      </c>
      <c r="N771" t="s">
        <v>376</v>
      </c>
      <c r="O771" t="s">
        <v>215</v>
      </c>
      <c r="Q771" t="s">
        <v>216</v>
      </c>
      <c r="R771" t="s">
        <v>199</v>
      </c>
      <c r="S771" t="s">
        <v>128</v>
      </c>
      <c r="T771" t="s">
        <v>165</v>
      </c>
      <c r="U771" t="s">
        <v>151</v>
      </c>
      <c r="V771" t="s">
        <v>76</v>
      </c>
      <c r="W771" s="58">
        <v>43357</v>
      </c>
      <c r="X771" s="59">
        <v>0.33333333333333331</v>
      </c>
      <c r="Y771" s="59">
        <v>0.375</v>
      </c>
      <c r="Z771" s="59">
        <v>4.1666666666666664E-2</v>
      </c>
      <c r="AA771">
        <v>9</v>
      </c>
      <c r="AC771">
        <v>20</v>
      </c>
      <c r="AD771">
        <v>9</v>
      </c>
      <c r="AE771" s="59">
        <v>0.33333333333333331</v>
      </c>
      <c r="AF771" s="59">
        <v>0.3743055555555555</v>
      </c>
      <c r="AG771">
        <v>0</v>
      </c>
    </row>
    <row r="772" spans="1:33" x14ac:dyDescent="0.25">
      <c r="A772" t="s">
        <v>274</v>
      </c>
      <c r="B772" t="s">
        <v>334</v>
      </c>
      <c r="C772" t="s">
        <v>285</v>
      </c>
      <c r="E772" t="s">
        <v>335</v>
      </c>
      <c r="F772" t="s">
        <v>134</v>
      </c>
      <c r="H772" t="s">
        <v>192</v>
      </c>
      <c r="I772" t="s">
        <v>155</v>
      </c>
      <c r="J772" t="s">
        <v>258</v>
      </c>
      <c r="K772" t="s">
        <v>374</v>
      </c>
      <c r="L772" t="s">
        <v>375</v>
      </c>
      <c r="N772" t="s">
        <v>376</v>
      </c>
      <c r="O772" t="s">
        <v>215</v>
      </c>
      <c r="Q772" t="s">
        <v>216</v>
      </c>
      <c r="R772" t="s">
        <v>193</v>
      </c>
      <c r="S772" t="s">
        <v>128</v>
      </c>
      <c r="T772" t="s">
        <v>165</v>
      </c>
      <c r="U772" t="s">
        <v>129</v>
      </c>
      <c r="V772" t="s">
        <v>76</v>
      </c>
      <c r="W772" s="58">
        <v>43357</v>
      </c>
      <c r="X772" s="59">
        <v>0.3888888888888889</v>
      </c>
      <c r="Y772" s="59">
        <v>0.43055555555555558</v>
      </c>
      <c r="Z772" s="59">
        <v>4.1666666666666664E-2</v>
      </c>
      <c r="AA772">
        <v>4</v>
      </c>
      <c r="AB772">
        <v>2.1818</v>
      </c>
      <c r="AC772">
        <v>23</v>
      </c>
      <c r="AD772">
        <v>9</v>
      </c>
      <c r="AE772" s="59">
        <v>0.3888888888888889</v>
      </c>
      <c r="AF772" s="59">
        <v>0.42986111111111108</v>
      </c>
      <c r="AG772">
        <v>0</v>
      </c>
    </row>
    <row r="773" spans="1:33" x14ac:dyDescent="0.25">
      <c r="A773" t="s">
        <v>258</v>
      </c>
      <c r="B773" t="s">
        <v>290</v>
      </c>
      <c r="C773" t="s">
        <v>291</v>
      </c>
      <c r="E773" t="s">
        <v>292</v>
      </c>
      <c r="F773" t="s">
        <v>134</v>
      </c>
      <c r="H773" t="s">
        <v>154</v>
      </c>
      <c r="I773" t="s">
        <v>155</v>
      </c>
      <c r="J773" t="s">
        <v>258</v>
      </c>
      <c r="K773" t="s">
        <v>374</v>
      </c>
      <c r="L773" t="s">
        <v>375</v>
      </c>
      <c r="N773" t="s">
        <v>376</v>
      </c>
      <c r="O773" t="s">
        <v>215</v>
      </c>
      <c r="Q773" t="s">
        <v>216</v>
      </c>
      <c r="R773" t="s">
        <v>156</v>
      </c>
      <c r="S773" t="s">
        <v>128</v>
      </c>
      <c r="T773" t="s">
        <v>165</v>
      </c>
      <c r="U773" t="s">
        <v>151</v>
      </c>
      <c r="V773" t="s">
        <v>76</v>
      </c>
      <c r="W773" s="58">
        <v>43357</v>
      </c>
      <c r="X773" s="59">
        <v>0.44791666666666669</v>
      </c>
      <c r="Y773" s="59">
        <v>0.51041666666666663</v>
      </c>
      <c r="Z773" s="59">
        <v>6.25E-2</v>
      </c>
      <c r="AA773">
        <v>6</v>
      </c>
      <c r="AB773">
        <v>2.9318</v>
      </c>
      <c r="AC773">
        <v>30</v>
      </c>
      <c r="AD773">
        <v>13.5</v>
      </c>
      <c r="AE773" s="59">
        <v>0.44791666666666669</v>
      </c>
      <c r="AF773" s="59">
        <v>0.4993055555555555</v>
      </c>
      <c r="AG773">
        <v>0</v>
      </c>
    </row>
    <row r="774" spans="1:33" x14ac:dyDescent="0.25">
      <c r="A774" t="s">
        <v>368</v>
      </c>
      <c r="B774" t="s">
        <v>369</v>
      </c>
      <c r="C774" t="s">
        <v>370</v>
      </c>
      <c r="E774" t="s">
        <v>292</v>
      </c>
      <c r="F774" t="s">
        <v>134</v>
      </c>
      <c r="H774" t="s">
        <v>154</v>
      </c>
      <c r="I774" t="s">
        <v>155</v>
      </c>
      <c r="J774" t="s">
        <v>258</v>
      </c>
      <c r="K774" t="s">
        <v>374</v>
      </c>
      <c r="L774" t="s">
        <v>375</v>
      </c>
      <c r="N774" t="s">
        <v>376</v>
      </c>
      <c r="O774" t="s">
        <v>215</v>
      </c>
      <c r="Q774" t="s">
        <v>216</v>
      </c>
      <c r="R774" t="s">
        <v>212</v>
      </c>
      <c r="S774" t="s">
        <v>128</v>
      </c>
      <c r="T774" t="s">
        <v>165</v>
      </c>
      <c r="U774" t="s">
        <v>213</v>
      </c>
      <c r="V774" t="s">
        <v>76</v>
      </c>
      <c r="W774" s="58">
        <v>43357</v>
      </c>
      <c r="X774" s="59">
        <v>0.77083333333333337</v>
      </c>
      <c r="Y774" s="59">
        <v>0.96875</v>
      </c>
      <c r="Z774" s="59">
        <v>0.19791666666666666</v>
      </c>
      <c r="AA774">
        <v>0</v>
      </c>
      <c r="AC774">
        <v>95</v>
      </c>
      <c r="AD774">
        <v>42.75</v>
      </c>
      <c r="AE774" s="59">
        <v>0.77083333333333337</v>
      </c>
      <c r="AF774" s="59">
        <v>4.0972222222222222E-2</v>
      </c>
      <c r="AG774">
        <v>0</v>
      </c>
    </row>
    <row r="775" spans="1:33" x14ac:dyDescent="0.25">
      <c r="A775" t="s">
        <v>266</v>
      </c>
      <c r="B775" t="s">
        <v>293</v>
      </c>
      <c r="C775" t="s">
        <v>294</v>
      </c>
      <c r="E775" t="s">
        <v>295</v>
      </c>
      <c r="F775" t="s">
        <v>134</v>
      </c>
      <c r="H775" t="s">
        <v>157</v>
      </c>
      <c r="I775" t="s">
        <v>158</v>
      </c>
      <c r="J775" t="s">
        <v>266</v>
      </c>
      <c r="K775" t="s">
        <v>377</v>
      </c>
      <c r="L775" t="s">
        <v>378</v>
      </c>
      <c r="N775" t="s">
        <v>379</v>
      </c>
      <c r="O775" t="s">
        <v>134</v>
      </c>
      <c r="Q775" t="s">
        <v>217</v>
      </c>
      <c r="R775" t="s">
        <v>161</v>
      </c>
      <c r="S775" t="s">
        <v>128</v>
      </c>
      <c r="T775" t="s">
        <v>137</v>
      </c>
      <c r="U775" t="s">
        <v>163</v>
      </c>
      <c r="V775" t="s">
        <v>71</v>
      </c>
      <c r="W775" s="58">
        <v>43310</v>
      </c>
      <c r="X775" s="59">
        <v>0.60416666666666663</v>
      </c>
      <c r="Y775" s="59">
        <v>0.85416666666666663</v>
      </c>
      <c r="Z775" s="59">
        <v>0.25</v>
      </c>
      <c r="AA775">
        <v>0</v>
      </c>
      <c r="AC775">
        <v>108</v>
      </c>
      <c r="AD775">
        <v>58.5</v>
      </c>
      <c r="AE775" s="59">
        <v>0.60416666666666663</v>
      </c>
      <c r="AF775" s="59">
        <v>0.8534722222222223</v>
      </c>
      <c r="AG775">
        <v>12</v>
      </c>
    </row>
    <row r="776" spans="1:33" x14ac:dyDescent="0.25">
      <c r="A776" t="s">
        <v>258</v>
      </c>
      <c r="B776" t="s">
        <v>270</v>
      </c>
      <c r="C776" t="s">
        <v>271</v>
      </c>
      <c r="D776" t="s">
        <v>272</v>
      </c>
      <c r="E776" t="s">
        <v>273</v>
      </c>
      <c r="F776" t="s">
        <v>134</v>
      </c>
      <c r="H776" t="s">
        <v>138</v>
      </c>
      <c r="I776" t="s">
        <v>139</v>
      </c>
      <c r="J776" t="s">
        <v>266</v>
      </c>
      <c r="K776" t="s">
        <v>377</v>
      </c>
      <c r="L776" t="s">
        <v>378</v>
      </c>
      <c r="N776" t="s">
        <v>379</v>
      </c>
      <c r="O776" t="s">
        <v>134</v>
      </c>
      <c r="Q776" t="s">
        <v>217</v>
      </c>
      <c r="R776" t="s">
        <v>140</v>
      </c>
      <c r="S776" t="s">
        <v>128</v>
      </c>
      <c r="T776" t="s">
        <v>137</v>
      </c>
      <c r="U776" t="s">
        <v>129</v>
      </c>
      <c r="V776" t="s">
        <v>72</v>
      </c>
      <c r="W776" s="58">
        <v>43311</v>
      </c>
      <c r="X776" s="59">
        <v>0.33333333333333331</v>
      </c>
      <c r="Y776" s="59">
        <v>0.375</v>
      </c>
      <c r="Z776" s="59">
        <v>4.1666666666666664E-2</v>
      </c>
      <c r="AA776">
        <v>0</v>
      </c>
      <c r="AC776">
        <v>23</v>
      </c>
      <c r="AD776">
        <v>8.75</v>
      </c>
      <c r="AE776" s="59">
        <v>0.33333333333333331</v>
      </c>
      <c r="AF776" s="59">
        <v>0.3743055555555555</v>
      </c>
      <c r="AG776">
        <v>12</v>
      </c>
    </row>
    <row r="777" spans="1:33" x14ac:dyDescent="0.25">
      <c r="A777" t="s">
        <v>266</v>
      </c>
      <c r="B777" t="s">
        <v>293</v>
      </c>
      <c r="C777" t="s">
        <v>294</v>
      </c>
      <c r="E777" t="s">
        <v>295</v>
      </c>
      <c r="F777" t="s">
        <v>134</v>
      </c>
      <c r="H777" t="s">
        <v>157</v>
      </c>
      <c r="I777" t="s">
        <v>158</v>
      </c>
      <c r="J777" t="s">
        <v>266</v>
      </c>
      <c r="K777" t="s">
        <v>377</v>
      </c>
      <c r="L777" t="s">
        <v>378</v>
      </c>
      <c r="N777" t="s">
        <v>379</v>
      </c>
      <c r="O777" t="s">
        <v>134</v>
      </c>
      <c r="Q777" t="s">
        <v>217</v>
      </c>
      <c r="R777" t="s">
        <v>161</v>
      </c>
      <c r="S777" t="s">
        <v>128</v>
      </c>
      <c r="T777" t="s">
        <v>137</v>
      </c>
      <c r="U777" t="s">
        <v>163</v>
      </c>
      <c r="V777" t="s">
        <v>72</v>
      </c>
      <c r="W777" s="58">
        <v>43311</v>
      </c>
      <c r="X777" s="59">
        <v>0.39583333333333331</v>
      </c>
      <c r="Y777" s="59">
        <v>0.4375</v>
      </c>
      <c r="Z777" s="59">
        <v>4.1666666666666664E-2</v>
      </c>
      <c r="AA777">
        <v>0</v>
      </c>
      <c r="AB777">
        <v>4.1420000000000003</v>
      </c>
      <c r="AC777">
        <v>18</v>
      </c>
      <c r="AD777">
        <v>8.75</v>
      </c>
      <c r="AE777" s="59">
        <v>0.39583333333333331</v>
      </c>
      <c r="AF777" s="59">
        <v>0.4368055555555555</v>
      </c>
      <c r="AG777">
        <v>12</v>
      </c>
    </row>
    <row r="778" spans="1:33" x14ac:dyDescent="0.25">
      <c r="A778" t="s">
        <v>258</v>
      </c>
      <c r="B778" t="s">
        <v>270</v>
      </c>
      <c r="C778" t="s">
        <v>271</v>
      </c>
      <c r="D778" t="s">
        <v>272</v>
      </c>
      <c r="E778" t="s">
        <v>273</v>
      </c>
      <c r="F778" t="s">
        <v>134</v>
      </c>
      <c r="H778" t="s">
        <v>138</v>
      </c>
      <c r="I778" t="s">
        <v>139</v>
      </c>
      <c r="J778" t="s">
        <v>266</v>
      </c>
      <c r="K778" t="s">
        <v>377</v>
      </c>
      <c r="L778" t="s">
        <v>378</v>
      </c>
      <c r="N778" t="s">
        <v>379</v>
      </c>
      <c r="O778" t="s">
        <v>134</v>
      </c>
      <c r="Q778" t="s">
        <v>217</v>
      </c>
      <c r="R778" t="s">
        <v>140</v>
      </c>
      <c r="S778" t="s">
        <v>128</v>
      </c>
      <c r="T778" t="s">
        <v>137</v>
      </c>
      <c r="U778" t="s">
        <v>129</v>
      </c>
      <c r="V778" t="s">
        <v>71</v>
      </c>
      <c r="W778" s="58">
        <v>43317</v>
      </c>
      <c r="X778" s="59">
        <v>0.3263888888888889</v>
      </c>
      <c r="Y778" s="59">
        <v>0.36805555555555558</v>
      </c>
      <c r="Z778" s="59">
        <v>4.1666666666666664E-2</v>
      </c>
      <c r="AA778">
        <v>0</v>
      </c>
      <c r="AC778">
        <v>23</v>
      </c>
      <c r="AD778">
        <v>9.75</v>
      </c>
      <c r="AE778" s="59">
        <v>0.3263888888888889</v>
      </c>
      <c r="AF778" s="59">
        <v>0.36736111111111108</v>
      </c>
      <c r="AG778">
        <v>12</v>
      </c>
    </row>
    <row r="779" spans="1:33" x14ac:dyDescent="0.25">
      <c r="A779" t="s">
        <v>266</v>
      </c>
      <c r="B779" t="s">
        <v>293</v>
      </c>
      <c r="C779" t="s">
        <v>294</v>
      </c>
      <c r="E779" t="s">
        <v>295</v>
      </c>
      <c r="F779" t="s">
        <v>134</v>
      </c>
      <c r="H779" t="s">
        <v>157</v>
      </c>
      <c r="I779" t="s">
        <v>158</v>
      </c>
      <c r="J779" t="s">
        <v>266</v>
      </c>
      <c r="K779" t="s">
        <v>377</v>
      </c>
      <c r="L779" t="s">
        <v>378</v>
      </c>
      <c r="N779" t="s">
        <v>379</v>
      </c>
      <c r="O779" t="s">
        <v>134</v>
      </c>
      <c r="Q779" t="s">
        <v>217</v>
      </c>
      <c r="R779" t="s">
        <v>161</v>
      </c>
      <c r="S779" t="s">
        <v>128</v>
      </c>
      <c r="T779" t="s">
        <v>137</v>
      </c>
      <c r="U779" t="s">
        <v>163</v>
      </c>
      <c r="V779" t="s">
        <v>71</v>
      </c>
      <c r="W779" s="58">
        <v>43317</v>
      </c>
      <c r="X779" s="59">
        <v>0.38541666666666669</v>
      </c>
      <c r="Y779" s="59">
        <v>0.42708333333333331</v>
      </c>
      <c r="Z779" s="59">
        <v>4.1666666666666664E-2</v>
      </c>
      <c r="AA779">
        <v>0</v>
      </c>
      <c r="AB779">
        <v>4.1420000000000003</v>
      </c>
      <c r="AC779">
        <v>18</v>
      </c>
      <c r="AD779">
        <v>9.75</v>
      </c>
      <c r="AE779" s="59">
        <v>0.38541666666666669</v>
      </c>
      <c r="AF779" s="59">
        <v>0.42638888888888887</v>
      </c>
      <c r="AG779">
        <v>12</v>
      </c>
    </row>
    <row r="780" spans="1:33" x14ac:dyDescent="0.25">
      <c r="A780" t="s">
        <v>266</v>
      </c>
      <c r="B780" t="s">
        <v>293</v>
      </c>
      <c r="C780" t="s">
        <v>294</v>
      </c>
      <c r="E780" t="s">
        <v>295</v>
      </c>
      <c r="F780" t="s">
        <v>134</v>
      </c>
      <c r="H780" t="s">
        <v>157</v>
      </c>
      <c r="I780" t="s">
        <v>158</v>
      </c>
      <c r="J780" t="s">
        <v>266</v>
      </c>
      <c r="K780" t="s">
        <v>377</v>
      </c>
      <c r="L780" t="s">
        <v>378</v>
      </c>
      <c r="N780" t="s">
        <v>379</v>
      </c>
      <c r="O780" t="s">
        <v>134</v>
      </c>
      <c r="Q780" t="s">
        <v>217</v>
      </c>
      <c r="R780" t="s">
        <v>161</v>
      </c>
      <c r="S780" t="s">
        <v>128</v>
      </c>
      <c r="T780" t="s">
        <v>137</v>
      </c>
      <c r="U780" t="s">
        <v>163</v>
      </c>
      <c r="V780" t="s">
        <v>71</v>
      </c>
      <c r="W780" s="58">
        <v>43317</v>
      </c>
      <c r="X780" s="59">
        <v>0.60416666666666663</v>
      </c>
      <c r="Y780" s="59">
        <v>0.85416666666666663</v>
      </c>
      <c r="Z780" s="59">
        <v>0.25</v>
      </c>
      <c r="AA780">
        <v>0</v>
      </c>
      <c r="AC780">
        <v>108</v>
      </c>
      <c r="AD780">
        <v>58.5</v>
      </c>
      <c r="AE780" s="59">
        <v>0.60416666666666663</v>
      </c>
      <c r="AF780" s="59">
        <v>0.8534722222222223</v>
      </c>
      <c r="AG780">
        <v>12</v>
      </c>
    </row>
    <row r="781" spans="1:33" x14ac:dyDescent="0.25">
      <c r="A781" t="s">
        <v>258</v>
      </c>
      <c r="B781" t="s">
        <v>270</v>
      </c>
      <c r="C781" t="s">
        <v>271</v>
      </c>
      <c r="D781" t="s">
        <v>272</v>
      </c>
      <c r="E781" t="s">
        <v>273</v>
      </c>
      <c r="F781" t="s">
        <v>134</v>
      </c>
      <c r="H781" t="s">
        <v>138</v>
      </c>
      <c r="I781" t="s">
        <v>139</v>
      </c>
      <c r="J781" t="s">
        <v>266</v>
      </c>
      <c r="K781" t="s">
        <v>377</v>
      </c>
      <c r="L781" t="s">
        <v>378</v>
      </c>
      <c r="N781" t="s">
        <v>379</v>
      </c>
      <c r="O781" t="s">
        <v>134</v>
      </c>
      <c r="Q781" t="s">
        <v>217</v>
      </c>
      <c r="R781" t="s">
        <v>140</v>
      </c>
      <c r="S781" t="s">
        <v>128</v>
      </c>
      <c r="T781" t="s">
        <v>137</v>
      </c>
      <c r="U781" t="s">
        <v>129</v>
      </c>
      <c r="V781" t="s">
        <v>72</v>
      </c>
      <c r="W781" s="58">
        <v>43318</v>
      </c>
      <c r="X781" s="59">
        <v>0.33333333333333331</v>
      </c>
      <c r="Y781" s="59">
        <v>0.375</v>
      </c>
      <c r="Z781" s="59">
        <v>4.1666666666666664E-2</v>
      </c>
      <c r="AA781">
        <v>0</v>
      </c>
      <c r="AC781">
        <v>23</v>
      </c>
      <c r="AD781">
        <v>8.75</v>
      </c>
      <c r="AE781" s="59">
        <v>0.33333333333333331</v>
      </c>
      <c r="AF781" s="59">
        <v>0.3743055555555555</v>
      </c>
      <c r="AG781">
        <v>12</v>
      </c>
    </row>
    <row r="782" spans="1:33" x14ac:dyDescent="0.25">
      <c r="A782" t="s">
        <v>266</v>
      </c>
      <c r="B782" t="s">
        <v>293</v>
      </c>
      <c r="C782" t="s">
        <v>294</v>
      </c>
      <c r="E782" t="s">
        <v>295</v>
      </c>
      <c r="F782" t="s">
        <v>134</v>
      </c>
      <c r="H782" t="s">
        <v>157</v>
      </c>
      <c r="I782" t="s">
        <v>158</v>
      </c>
      <c r="J782" t="s">
        <v>266</v>
      </c>
      <c r="K782" t="s">
        <v>377</v>
      </c>
      <c r="L782" t="s">
        <v>378</v>
      </c>
      <c r="N782" t="s">
        <v>379</v>
      </c>
      <c r="O782" t="s">
        <v>134</v>
      </c>
      <c r="Q782" t="s">
        <v>217</v>
      </c>
      <c r="R782" t="s">
        <v>161</v>
      </c>
      <c r="S782" t="s">
        <v>128</v>
      </c>
      <c r="T782" t="s">
        <v>137</v>
      </c>
      <c r="U782" t="s">
        <v>163</v>
      </c>
      <c r="V782" t="s">
        <v>72</v>
      </c>
      <c r="W782" s="58">
        <v>43318</v>
      </c>
      <c r="X782" s="59">
        <v>0.39583333333333331</v>
      </c>
      <c r="Y782" s="59">
        <v>0.4375</v>
      </c>
      <c r="Z782" s="59">
        <v>4.1666666666666664E-2</v>
      </c>
      <c r="AA782">
        <v>0</v>
      </c>
      <c r="AB782">
        <v>4.1420000000000003</v>
      </c>
      <c r="AC782">
        <v>18</v>
      </c>
      <c r="AD782">
        <v>8.75</v>
      </c>
      <c r="AE782" s="59">
        <v>0.39583333333333331</v>
      </c>
      <c r="AF782" s="59">
        <v>0.4368055555555555</v>
      </c>
      <c r="AG782">
        <v>12</v>
      </c>
    </row>
    <row r="783" spans="1:33" x14ac:dyDescent="0.25">
      <c r="A783" t="s">
        <v>258</v>
      </c>
      <c r="B783" t="s">
        <v>270</v>
      </c>
      <c r="C783" t="s">
        <v>271</v>
      </c>
      <c r="D783" t="s">
        <v>272</v>
      </c>
      <c r="E783" t="s">
        <v>273</v>
      </c>
      <c r="F783" t="s">
        <v>134</v>
      </c>
      <c r="H783" t="s">
        <v>138</v>
      </c>
      <c r="I783" t="s">
        <v>139</v>
      </c>
      <c r="J783" t="s">
        <v>266</v>
      </c>
      <c r="K783" t="s">
        <v>377</v>
      </c>
      <c r="L783" t="s">
        <v>378</v>
      </c>
      <c r="N783" t="s">
        <v>379</v>
      </c>
      <c r="O783" t="s">
        <v>134</v>
      </c>
      <c r="Q783" t="s">
        <v>217</v>
      </c>
      <c r="R783" t="s">
        <v>140</v>
      </c>
      <c r="S783" t="s">
        <v>128</v>
      </c>
      <c r="T783" t="s">
        <v>137</v>
      </c>
      <c r="U783" t="s">
        <v>129</v>
      </c>
      <c r="V783" t="s">
        <v>75</v>
      </c>
      <c r="W783" s="58">
        <v>43321</v>
      </c>
      <c r="X783" s="59">
        <v>0.76041666666666663</v>
      </c>
      <c r="Y783" s="59">
        <v>0.80208333333333337</v>
      </c>
      <c r="Z783" s="59">
        <v>4.1666666666666664E-2</v>
      </c>
      <c r="AA783">
        <v>0</v>
      </c>
      <c r="AC783">
        <v>23</v>
      </c>
      <c r="AD783">
        <v>8.75</v>
      </c>
      <c r="AE783" s="59">
        <v>0.76041666666666663</v>
      </c>
      <c r="AF783" s="59">
        <v>0.80138888888888893</v>
      </c>
      <c r="AG783">
        <v>12</v>
      </c>
    </row>
    <row r="784" spans="1:33" x14ac:dyDescent="0.25">
      <c r="A784" t="s">
        <v>274</v>
      </c>
      <c r="B784" t="s">
        <v>275</v>
      </c>
      <c r="C784" t="s">
        <v>276</v>
      </c>
      <c r="E784" t="s">
        <v>277</v>
      </c>
      <c r="F784" t="s">
        <v>134</v>
      </c>
      <c r="H784" t="s">
        <v>141</v>
      </c>
      <c r="I784" t="s">
        <v>142</v>
      </c>
      <c r="J784" t="s">
        <v>266</v>
      </c>
      <c r="K784" t="s">
        <v>377</v>
      </c>
      <c r="L784" t="s">
        <v>378</v>
      </c>
      <c r="N784" t="s">
        <v>379</v>
      </c>
      <c r="O784" t="s">
        <v>134</v>
      </c>
      <c r="Q784" t="s">
        <v>217</v>
      </c>
      <c r="R784" t="s">
        <v>143</v>
      </c>
      <c r="S784" t="s">
        <v>128</v>
      </c>
      <c r="T784" t="s">
        <v>137</v>
      </c>
      <c r="U784" t="s">
        <v>129</v>
      </c>
      <c r="V784" t="s">
        <v>75</v>
      </c>
      <c r="W784" s="58">
        <v>43321</v>
      </c>
      <c r="X784" s="59">
        <v>0.8125</v>
      </c>
      <c r="Y784" s="59">
        <v>0.83333333333333337</v>
      </c>
      <c r="Z784" s="59">
        <v>2.0833333333333332E-2</v>
      </c>
      <c r="AA784">
        <v>0</v>
      </c>
      <c r="AB784">
        <v>0.9</v>
      </c>
      <c r="AC784">
        <v>11.5</v>
      </c>
      <c r="AD784">
        <v>4.375</v>
      </c>
      <c r="AE784" s="59">
        <v>0.8125</v>
      </c>
      <c r="AF784" s="59">
        <v>0.83263888888888893</v>
      </c>
      <c r="AG784">
        <v>12</v>
      </c>
    </row>
    <row r="785" spans="1:33" x14ac:dyDescent="0.25">
      <c r="A785" t="s">
        <v>258</v>
      </c>
      <c r="B785" t="s">
        <v>270</v>
      </c>
      <c r="C785" t="s">
        <v>271</v>
      </c>
      <c r="D785" t="s">
        <v>272</v>
      </c>
      <c r="E785" t="s">
        <v>273</v>
      </c>
      <c r="F785" t="s">
        <v>134</v>
      </c>
      <c r="H785" t="s">
        <v>138</v>
      </c>
      <c r="I785" t="s">
        <v>139</v>
      </c>
      <c r="J785" t="s">
        <v>266</v>
      </c>
      <c r="K785" t="s">
        <v>377</v>
      </c>
      <c r="L785" t="s">
        <v>378</v>
      </c>
      <c r="N785" t="s">
        <v>379</v>
      </c>
      <c r="O785" t="s">
        <v>134</v>
      </c>
      <c r="Q785" t="s">
        <v>217</v>
      </c>
      <c r="R785" t="s">
        <v>140</v>
      </c>
      <c r="S785" t="s">
        <v>128</v>
      </c>
      <c r="T785" t="s">
        <v>137</v>
      </c>
      <c r="U785" t="s">
        <v>129</v>
      </c>
      <c r="V785" t="s">
        <v>76</v>
      </c>
      <c r="W785" s="58">
        <v>43322</v>
      </c>
      <c r="X785" s="59">
        <v>0.33333333333333331</v>
      </c>
      <c r="Y785" s="59">
        <v>0.375</v>
      </c>
      <c r="Z785" s="59">
        <v>4.1666666666666664E-2</v>
      </c>
      <c r="AA785">
        <v>0</v>
      </c>
      <c r="AC785">
        <v>23</v>
      </c>
      <c r="AD785">
        <v>8.75</v>
      </c>
      <c r="AE785" s="59">
        <v>0.33333333333333331</v>
      </c>
      <c r="AF785" s="59">
        <v>0.3743055555555555</v>
      </c>
      <c r="AG785">
        <v>12</v>
      </c>
    </row>
    <row r="786" spans="1:33" x14ac:dyDescent="0.25">
      <c r="A786" t="s">
        <v>274</v>
      </c>
      <c r="B786" t="s">
        <v>275</v>
      </c>
      <c r="C786" t="s">
        <v>276</v>
      </c>
      <c r="E786" t="s">
        <v>277</v>
      </c>
      <c r="F786" t="s">
        <v>134</v>
      </c>
      <c r="H786" t="s">
        <v>141</v>
      </c>
      <c r="I786" t="s">
        <v>142</v>
      </c>
      <c r="J786" t="s">
        <v>266</v>
      </c>
      <c r="K786" t="s">
        <v>377</v>
      </c>
      <c r="L786" t="s">
        <v>378</v>
      </c>
      <c r="N786" t="s">
        <v>379</v>
      </c>
      <c r="O786" t="s">
        <v>134</v>
      </c>
      <c r="Q786" t="s">
        <v>217</v>
      </c>
      <c r="R786" t="s">
        <v>143</v>
      </c>
      <c r="S786" t="s">
        <v>128</v>
      </c>
      <c r="T786" t="s">
        <v>137</v>
      </c>
      <c r="U786" t="s">
        <v>129</v>
      </c>
      <c r="V786" t="s">
        <v>76</v>
      </c>
      <c r="W786" s="58">
        <v>43322</v>
      </c>
      <c r="X786" s="59">
        <v>0.3888888888888889</v>
      </c>
      <c r="Y786" s="59">
        <v>0.43055555555555558</v>
      </c>
      <c r="Z786" s="59">
        <v>4.1666666666666664E-2</v>
      </c>
      <c r="AA786">
        <v>0</v>
      </c>
      <c r="AB786">
        <v>0.9</v>
      </c>
      <c r="AC786">
        <v>23</v>
      </c>
      <c r="AD786">
        <v>8.75</v>
      </c>
      <c r="AE786" s="59">
        <v>0.3888888888888889</v>
      </c>
      <c r="AF786" s="59">
        <v>0.42986111111111108</v>
      </c>
      <c r="AG786">
        <v>12</v>
      </c>
    </row>
    <row r="787" spans="1:33" x14ac:dyDescent="0.25">
      <c r="A787" t="s">
        <v>258</v>
      </c>
      <c r="B787" t="s">
        <v>270</v>
      </c>
      <c r="C787" t="s">
        <v>271</v>
      </c>
      <c r="D787" t="s">
        <v>272</v>
      </c>
      <c r="E787" t="s">
        <v>273</v>
      </c>
      <c r="F787" t="s">
        <v>134</v>
      </c>
      <c r="H787" t="s">
        <v>138</v>
      </c>
      <c r="I787" t="s">
        <v>139</v>
      </c>
      <c r="J787" t="s">
        <v>266</v>
      </c>
      <c r="K787" t="s">
        <v>377</v>
      </c>
      <c r="L787" t="s">
        <v>378</v>
      </c>
      <c r="N787" t="s">
        <v>379</v>
      </c>
      <c r="O787" t="s">
        <v>134</v>
      </c>
      <c r="Q787" t="s">
        <v>217</v>
      </c>
      <c r="R787" t="s">
        <v>140</v>
      </c>
      <c r="S787" t="s">
        <v>128</v>
      </c>
      <c r="T787" t="s">
        <v>137</v>
      </c>
      <c r="U787" t="s">
        <v>129</v>
      </c>
      <c r="V787" t="s">
        <v>71</v>
      </c>
      <c r="W787" s="58">
        <v>43324</v>
      </c>
      <c r="X787" s="59">
        <v>0.3298611111111111</v>
      </c>
      <c r="Y787" s="59">
        <v>0.37152777777777773</v>
      </c>
      <c r="Z787" s="59">
        <v>4.1666666666666664E-2</v>
      </c>
      <c r="AA787">
        <v>0</v>
      </c>
      <c r="AC787">
        <v>23</v>
      </c>
      <c r="AD787">
        <v>9.75</v>
      </c>
      <c r="AE787" s="59">
        <v>0.3298611111111111</v>
      </c>
      <c r="AF787" s="59">
        <v>0.37083333333333335</v>
      </c>
      <c r="AG787">
        <v>12</v>
      </c>
    </row>
    <row r="788" spans="1:33" x14ac:dyDescent="0.25">
      <c r="A788" t="s">
        <v>266</v>
      </c>
      <c r="B788" t="s">
        <v>293</v>
      </c>
      <c r="C788" t="s">
        <v>294</v>
      </c>
      <c r="E788" t="s">
        <v>295</v>
      </c>
      <c r="F788" t="s">
        <v>134</v>
      </c>
      <c r="H788" t="s">
        <v>157</v>
      </c>
      <c r="I788" t="s">
        <v>158</v>
      </c>
      <c r="J788" t="s">
        <v>266</v>
      </c>
      <c r="K788" t="s">
        <v>377</v>
      </c>
      <c r="L788" t="s">
        <v>378</v>
      </c>
      <c r="N788" t="s">
        <v>379</v>
      </c>
      <c r="O788" t="s">
        <v>134</v>
      </c>
      <c r="Q788" t="s">
        <v>217</v>
      </c>
      <c r="R788" t="s">
        <v>161</v>
      </c>
      <c r="S788" t="s">
        <v>128</v>
      </c>
      <c r="T788" t="s">
        <v>137</v>
      </c>
      <c r="U788" t="s">
        <v>163</v>
      </c>
      <c r="V788" t="s">
        <v>71</v>
      </c>
      <c r="W788" s="58">
        <v>43324</v>
      </c>
      <c r="X788" s="59">
        <v>0.38541666666666669</v>
      </c>
      <c r="Y788" s="59">
        <v>0.42708333333333331</v>
      </c>
      <c r="Z788" s="59">
        <v>4.1666666666666664E-2</v>
      </c>
      <c r="AA788">
        <v>0</v>
      </c>
      <c r="AB788">
        <v>4.1420000000000003</v>
      </c>
      <c r="AC788">
        <v>18</v>
      </c>
      <c r="AD788">
        <v>9.75</v>
      </c>
      <c r="AE788" s="59">
        <v>0.38541666666666669</v>
      </c>
      <c r="AF788" s="59">
        <v>0.42638888888888887</v>
      </c>
      <c r="AG788">
        <v>12</v>
      </c>
    </row>
    <row r="789" spans="1:33" x14ac:dyDescent="0.25">
      <c r="A789" t="s">
        <v>266</v>
      </c>
      <c r="B789" t="s">
        <v>293</v>
      </c>
      <c r="C789" t="s">
        <v>294</v>
      </c>
      <c r="E789" t="s">
        <v>295</v>
      </c>
      <c r="F789" t="s">
        <v>134</v>
      </c>
      <c r="H789" t="s">
        <v>157</v>
      </c>
      <c r="I789" t="s">
        <v>158</v>
      </c>
      <c r="J789" t="s">
        <v>266</v>
      </c>
      <c r="K789" t="s">
        <v>377</v>
      </c>
      <c r="L789" t="s">
        <v>378</v>
      </c>
      <c r="N789" t="s">
        <v>379</v>
      </c>
      <c r="O789" t="s">
        <v>134</v>
      </c>
      <c r="Q789" t="s">
        <v>217</v>
      </c>
      <c r="R789" t="s">
        <v>161</v>
      </c>
      <c r="S789" t="s">
        <v>128</v>
      </c>
      <c r="T789" t="s">
        <v>137</v>
      </c>
      <c r="U789" t="s">
        <v>163</v>
      </c>
      <c r="V789" t="s">
        <v>71</v>
      </c>
      <c r="W789" s="58">
        <v>43324</v>
      </c>
      <c r="X789" s="59">
        <v>0.60416666666666663</v>
      </c>
      <c r="Y789" s="59">
        <v>0.85416666666666663</v>
      </c>
      <c r="Z789" s="59">
        <v>0.25</v>
      </c>
      <c r="AA789">
        <v>0</v>
      </c>
      <c r="AC789">
        <v>108</v>
      </c>
      <c r="AD789">
        <v>58.5</v>
      </c>
      <c r="AE789" s="59">
        <v>0.60416666666666663</v>
      </c>
      <c r="AF789" s="59">
        <v>0.8534722222222223</v>
      </c>
      <c r="AG789">
        <v>12</v>
      </c>
    </row>
    <row r="790" spans="1:33" x14ac:dyDescent="0.25">
      <c r="A790" t="s">
        <v>258</v>
      </c>
      <c r="B790" t="s">
        <v>270</v>
      </c>
      <c r="C790" t="s">
        <v>271</v>
      </c>
      <c r="D790" t="s">
        <v>272</v>
      </c>
      <c r="E790" t="s">
        <v>273</v>
      </c>
      <c r="F790" t="s">
        <v>134</v>
      </c>
      <c r="H790" t="s">
        <v>138</v>
      </c>
      <c r="I790" t="s">
        <v>139</v>
      </c>
      <c r="J790" t="s">
        <v>266</v>
      </c>
      <c r="K790" t="s">
        <v>377</v>
      </c>
      <c r="L790" t="s">
        <v>378</v>
      </c>
      <c r="N790" t="s">
        <v>379</v>
      </c>
      <c r="O790" t="s">
        <v>134</v>
      </c>
      <c r="Q790" t="s">
        <v>217</v>
      </c>
      <c r="R790" t="s">
        <v>140</v>
      </c>
      <c r="S790" t="s">
        <v>128</v>
      </c>
      <c r="T790" t="s">
        <v>137</v>
      </c>
      <c r="U790" t="s">
        <v>129</v>
      </c>
      <c r="V790" t="s">
        <v>72</v>
      </c>
      <c r="W790" s="58">
        <v>43325</v>
      </c>
      <c r="X790" s="59">
        <v>0.33333333333333331</v>
      </c>
      <c r="Y790" s="59">
        <v>0.375</v>
      </c>
      <c r="Z790" s="59">
        <v>4.1666666666666664E-2</v>
      </c>
      <c r="AA790">
        <v>0</v>
      </c>
      <c r="AC790">
        <v>23</v>
      </c>
      <c r="AD790">
        <v>8.75</v>
      </c>
      <c r="AE790" s="59">
        <v>0.33333333333333331</v>
      </c>
      <c r="AF790" s="59">
        <v>0.3743055555555555</v>
      </c>
      <c r="AG790">
        <v>12</v>
      </c>
    </row>
    <row r="791" spans="1:33" x14ac:dyDescent="0.25">
      <c r="A791" t="s">
        <v>266</v>
      </c>
      <c r="B791" t="s">
        <v>293</v>
      </c>
      <c r="C791" t="s">
        <v>294</v>
      </c>
      <c r="E791" t="s">
        <v>295</v>
      </c>
      <c r="F791" t="s">
        <v>134</v>
      </c>
      <c r="H791" t="s">
        <v>157</v>
      </c>
      <c r="I791" t="s">
        <v>158</v>
      </c>
      <c r="J791" t="s">
        <v>266</v>
      </c>
      <c r="K791" t="s">
        <v>377</v>
      </c>
      <c r="L791" t="s">
        <v>378</v>
      </c>
      <c r="N791" t="s">
        <v>379</v>
      </c>
      <c r="O791" t="s">
        <v>134</v>
      </c>
      <c r="Q791" t="s">
        <v>217</v>
      </c>
      <c r="R791" t="s">
        <v>161</v>
      </c>
      <c r="S791" t="s">
        <v>128</v>
      </c>
      <c r="T791" t="s">
        <v>137</v>
      </c>
      <c r="U791" t="s">
        <v>163</v>
      </c>
      <c r="V791" t="s">
        <v>72</v>
      </c>
      <c r="W791" s="58">
        <v>43325</v>
      </c>
      <c r="X791" s="59">
        <v>0.39583333333333331</v>
      </c>
      <c r="Y791" s="59">
        <v>0.4375</v>
      </c>
      <c r="Z791" s="59">
        <v>4.1666666666666664E-2</v>
      </c>
      <c r="AA791">
        <v>0</v>
      </c>
      <c r="AB791">
        <v>4.1420000000000003</v>
      </c>
      <c r="AC791">
        <v>18</v>
      </c>
      <c r="AD791">
        <v>8.75</v>
      </c>
      <c r="AE791" s="59">
        <v>0.39583333333333331</v>
      </c>
      <c r="AF791" s="59">
        <v>0.4368055555555555</v>
      </c>
      <c r="AG791">
        <v>12</v>
      </c>
    </row>
    <row r="792" spans="1:33" x14ac:dyDescent="0.25">
      <c r="A792" t="s">
        <v>258</v>
      </c>
      <c r="B792" t="s">
        <v>270</v>
      </c>
      <c r="C792" t="s">
        <v>271</v>
      </c>
      <c r="D792" t="s">
        <v>272</v>
      </c>
      <c r="E792" t="s">
        <v>273</v>
      </c>
      <c r="F792" t="s">
        <v>134</v>
      </c>
      <c r="H792" t="s">
        <v>138</v>
      </c>
      <c r="I792" t="s">
        <v>139</v>
      </c>
      <c r="J792" t="s">
        <v>266</v>
      </c>
      <c r="K792" t="s">
        <v>377</v>
      </c>
      <c r="L792" t="s">
        <v>378</v>
      </c>
      <c r="N792" t="s">
        <v>379</v>
      </c>
      <c r="O792" t="s">
        <v>134</v>
      </c>
      <c r="Q792" t="s">
        <v>217</v>
      </c>
      <c r="R792" t="s">
        <v>140</v>
      </c>
      <c r="S792" t="s">
        <v>128</v>
      </c>
      <c r="T792" t="s">
        <v>137</v>
      </c>
      <c r="U792" t="s">
        <v>129</v>
      </c>
      <c r="V792" t="s">
        <v>76</v>
      </c>
      <c r="W792" s="58">
        <v>43329</v>
      </c>
      <c r="X792" s="59">
        <v>0.33333333333333331</v>
      </c>
      <c r="Y792" s="59">
        <v>0.375</v>
      </c>
      <c r="Z792" s="59">
        <v>4.1666666666666664E-2</v>
      </c>
      <c r="AA792">
        <v>0</v>
      </c>
      <c r="AC792">
        <v>23</v>
      </c>
      <c r="AD792">
        <v>8.75</v>
      </c>
      <c r="AE792" s="59">
        <v>0.33333333333333331</v>
      </c>
      <c r="AF792" s="59">
        <v>0.3743055555555555</v>
      </c>
      <c r="AG792">
        <v>12</v>
      </c>
    </row>
    <row r="793" spans="1:33" x14ac:dyDescent="0.25">
      <c r="A793" t="s">
        <v>274</v>
      </c>
      <c r="B793" t="s">
        <v>275</v>
      </c>
      <c r="C793" t="s">
        <v>276</v>
      </c>
      <c r="E793" t="s">
        <v>277</v>
      </c>
      <c r="F793" t="s">
        <v>134</v>
      </c>
      <c r="H793" t="s">
        <v>141</v>
      </c>
      <c r="I793" t="s">
        <v>142</v>
      </c>
      <c r="J793" t="s">
        <v>266</v>
      </c>
      <c r="K793" t="s">
        <v>377</v>
      </c>
      <c r="L793" t="s">
        <v>378</v>
      </c>
      <c r="N793" t="s">
        <v>379</v>
      </c>
      <c r="O793" t="s">
        <v>134</v>
      </c>
      <c r="Q793" t="s">
        <v>217</v>
      </c>
      <c r="R793" t="s">
        <v>143</v>
      </c>
      <c r="S793" t="s">
        <v>128</v>
      </c>
      <c r="T793" t="s">
        <v>137</v>
      </c>
      <c r="U793" t="s">
        <v>129</v>
      </c>
      <c r="V793" t="s">
        <v>76</v>
      </c>
      <c r="W793" s="58">
        <v>43329</v>
      </c>
      <c r="X793" s="59">
        <v>0.3888888888888889</v>
      </c>
      <c r="Y793" s="59">
        <v>0.43055555555555558</v>
      </c>
      <c r="Z793" s="59">
        <v>4.1666666666666664E-2</v>
      </c>
      <c r="AA793">
        <v>0</v>
      </c>
      <c r="AB793">
        <v>0.9</v>
      </c>
      <c r="AC793">
        <v>23</v>
      </c>
      <c r="AD793">
        <v>8.75</v>
      </c>
      <c r="AE793" s="59">
        <v>0.3888888888888889</v>
      </c>
      <c r="AF793" s="59">
        <v>0.42986111111111108</v>
      </c>
      <c r="AG793">
        <v>12</v>
      </c>
    </row>
    <row r="794" spans="1:33" x14ac:dyDescent="0.25">
      <c r="A794" t="s">
        <v>258</v>
      </c>
      <c r="B794" t="s">
        <v>270</v>
      </c>
      <c r="C794" t="s">
        <v>271</v>
      </c>
      <c r="D794" t="s">
        <v>272</v>
      </c>
      <c r="E794" t="s">
        <v>273</v>
      </c>
      <c r="F794" t="s">
        <v>134</v>
      </c>
      <c r="H794" t="s">
        <v>138</v>
      </c>
      <c r="I794" t="s">
        <v>139</v>
      </c>
      <c r="J794" t="s">
        <v>266</v>
      </c>
      <c r="K794" t="s">
        <v>377</v>
      </c>
      <c r="L794" t="s">
        <v>378</v>
      </c>
      <c r="N794" t="s">
        <v>379</v>
      </c>
      <c r="O794" t="s">
        <v>134</v>
      </c>
      <c r="Q794" t="s">
        <v>217</v>
      </c>
      <c r="R794" t="s">
        <v>140</v>
      </c>
      <c r="S794" t="s">
        <v>128</v>
      </c>
      <c r="T794" t="s">
        <v>137</v>
      </c>
      <c r="U794" t="s">
        <v>129</v>
      </c>
      <c r="V794" t="s">
        <v>77</v>
      </c>
      <c r="W794" s="58">
        <v>43330</v>
      </c>
      <c r="X794" s="59">
        <v>0.3263888888888889</v>
      </c>
      <c r="Y794" s="59">
        <v>0.36805555555555558</v>
      </c>
      <c r="Z794" s="59">
        <v>4.1666666666666664E-2</v>
      </c>
      <c r="AA794">
        <v>0</v>
      </c>
      <c r="AC794">
        <v>23</v>
      </c>
      <c r="AD794">
        <v>9.75</v>
      </c>
      <c r="AE794" s="59">
        <v>0.3263888888888889</v>
      </c>
      <c r="AF794" s="59">
        <v>0.36736111111111108</v>
      </c>
      <c r="AG794">
        <v>12</v>
      </c>
    </row>
    <row r="795" spans="1:33" x14ac:dyDescent="0.25">
      <c r="A795" t="s">
        <v>274</v>
      </c>
      <c r="B795" t="s">
        <v>275</v>
      </c>
      <c r="C795" t="s">
        <v>276</v>
      </c>
      <c r="E795" t="s">
        <v>277</v>
      </c>
      <c r="F795" t="s">
        <v>134</v>
      </c>
      <c r="H795" t="s">
        <v>141</v>
      </c>
      <c r="I795" t="s">
        <v>142</v>
      </c>
      <c r="J795" t="s">
        <v>266</v>
      </c>
      <c r="K795" t="s">
        <v>377</v>
      </c>
      <c r="L795" t="s">
        <v>378</v>
      </c>
      <c r="N795" t="s">
        <v>379</v>
      </c>
      <c r="O795" t="s">
        <v>134</v>
      </c>
      <c r="Q795" t="s">
        <v>217</v>
      </c>
      <c r="R795" t="s">
        <v>143</v>
      </c>
      <c r="S795" t="s">
        <v>128</v>
      </c>
      <c r="T795" t="s">
        <v>137</v>
      </c>
      <c r="U795" t="s">
        <v>129</v>
      </c>
      <c r="V795" t="s">
        <v>77</v>
      </c>
      <c r="W795" s="58">
        <v>43330</v>
      </c>
      <c r="X795" s="59">
        <v>0.375</v>
      </c>
      <c r="Y795" s="59">
        <v>0.41666666666666669</v>
      </c>
      <c r="Z795" s="59">
        <v>4.1666666666666664E-2</v>
      </c>
      <c r="AA795">
        <v>0</v>
      </c>
      <c r="AB795">
        <v>0.9</v>
      </c>
      <c r="AC795">
        <v>23</v>
      </c>
      <c r="AD795">
        <v>9.75</v>
      </c>
      <c r="AE795" s="59">
        <v>0.375</v>
      </c>
      <c r="AF795" s="59">
        <v>0.41597222222222219</v>
      </c>
      <c r="AG795">
        <v>12</v>
      </c>
    </row>
    <row r="796" spans="1:33" x14ac:dyDescent="0.25">
      <c r="A796" t="s">
        <v>258</v>
      </c>
      <c r="B796" t="s">
        <v>270</v>
      </c>
      <c r="C796" t="s">
        <v>271</v>
      </c>
      <c r="D796" t="s">
        <v>272</v>
      </c>
      <c r="E796" t="s">
        <v>273</v>
      </c>
      <c r="F796" t="s">
        <v>134</v>
      </c>
      <c r="H796" t="s">
        <v>138</v>
      </c>
      <c r="I796" t="s">
        <v>139</v>
      </c>
      <c r="J796" t="s">
        <v>266</v>
      </c>
      <c r="K796" t="s">
        <v>377</v>
      </c>
      <c r="L796" t="s">
        <v>378</v>
      </c>
      <c r="N796" t="s">
        <v>379</v>
      </c>
      <c r="O796" t="s">
        <v>134</v>
      </c>
      <c r="Q796" t="s">
        <v>217</v>
      </c>
      <c r="R796" t="s">
        <v>140</v>
      </c>
      <c r="S796" t="s">
        <v>128</v>
      </c>
      <c r="T796" t="s">
        <v>137</v>
      </c>
      <c r="U796" t="s">
        <v>129</v>
      </c>
      <c r="V796" t="s">
        <v>71</v>
      </c>
      <c r="W796" s="58">
        <v>43331</v>
      </c>
      <c r="X796" s="59">
        <v>0.33333333333333331</v>
      </c>
      <c r="Y796" s="59">
        <v>0.375</v>
      </c>
      <c r="Z796" s="59">
        <v>4.1666666666666664E-2</v>
      </c>
      <c r="AA796">
        <v>0</v>
      </c>
      <c r="AC796">
        <v>23</v>
      </c>
      <c r="AD796">
        <v>9.75</v>
      </c>
      <c r="AE796" s="59">
        <v>0.33333333333333331</v>
      </c>
      <c r="AF796" s="59">
        <v>0.3743055555555555</v>
      </c>
      <c r="AG796">
        <v>12</v>
      </c>
    </row>
    <row r="797" spans="1:33" x14ac:dyDescent="0.25">
      <c r="A797" t="s">
        <v>266</v>
      </c>
      <c r="B797" t="s">
        <v>293</v>
      </c>
      <c r="C797" t="s">
        <v>294</v>
      </c>
      <c r="E797" t="s">
        <v>295</v>
      </c>
      <c r="F797" t="s">
        <v>134</v>
      </c>
      <c r="H797" t="s">
        <v>157</v>
      </c>
      <c r="I797" t="s">
        <v>158</v>
      </c>
      <c r="J797" t="s">
        <v>266</v>
      </c>
      <c r="K797" t="s">
        <v>377</v>
      </c>
      <c r="L797" t="s">
        <v>378</v>
      </c>
      <c r="N797" t="s">
        <v>379</v>
      </c>
      <c r="O797" t="s">
        <v>134</v>
      </c>
      <c r="Q797" t="s">
        <v>217</v>
      </c>
      <c r="R797" t="s">
        <v>161</v>
      </c>
      <c r="S797" t="s">
        <v>128</v>
      </c>
      <c r="T797" t="s">
        <v>137</v>
      </c>
      <c r="U797" t="s">
        <v>163</v>
      </c>
      <c r="V797" t="s">
        <v>71</v>
      </c>
      <c r="W797" s="58">
        <v>43331</v>
      </c>
      <c r="X797" s="59">
        <v>0.40277777777777773</v>
      </c>
      <c r="Y797" s="59">
        <v>0.44444444444444442</v>
      </c>
      <c r="Z797" s="59">
        <v>4.1666666666666664E-2</v>
      </c>
      <c r="AA797">
        <v>0</v>
      </c>
      <c r="AB797">
        <v>4.1420000000000003</v>
      </c>
      <c r="AC797">
        <v>18</v>
      </c>
      <c r="AD797">
        <v>9.75</v>
      </c>
      <c r="AE797" s="59">
        <v>0.40277777777777773</v>
      </c>
      <c r="AF797" s="59">
        <v>0.44375000000000003</v>
      </c>
      <c r="AG797">
        <v>12</v>
      </c>
    </row>
    <row r="798" spans="1:33" x14ac:dyDescent="0.25">
      <c r="A798" t="s">
        <v>266</v>
      </c>
      <c r="B798" t="s">
        <v>293</v>
      </c>
      <c r="C798" t="s">
        <v>294</v>
      </c>
      <c r="E798" t="s">
        <v>295</v>
      </c>
      <c r="F798" t="s">
        <v>134</v>
      </c>
      <c r="H798" t="s">
        <v>157</v>
      </c>
      <c r="I798" t="s">
        <v>158</v>
      </c>
      <c r="J798" t="s">
        <v>266</v>
      </c>
      <c r="K798" t="s">
        <v>377</v>
      </c>
      <c r="L798" t="s">
        <v>378</v>
      </c>
      <c r="N798" t="s">
        <v>379</v>
      </c>
      <c r="O798" t="s">
        <v>134</v>
      </c>
      <c r="Q798" t="s">
        <v>217</v>
      </c>
      <c r="R798" t="s">
        <v>161</v>
      </c>
      <c r="S798" t="s">
        <v>128</v>
      </c>
      <c r="T798" t="s">
        <v>137</v>
      </c>
      <c r="U798" t="s">
        <v>163</v>
      </c>
      <c r="V798" t="s">
        <v>71</v>
      </c>
      <c r="W798" s="58">
        <v>43331</v>
      </c>
      <c r="X798" s="59">
        <v>0.60416666666666663</v>
      </c>
      <c r="Y798" s="59">
        <v>0.85416666666666663</v>
      </c>
      <c r="Z798" s="59">
        <v>0.25</v>
      </c>
      <c r="AA798">
        <v>0</v>
      </c>
      <c r="AC798">
        <v>108</v>
      </c>
      <c r="AD798">
        <v>58.5</v>
      </c>
      <c r="AE798" s="59">
        <v>0.60416666666666663</v>
      </c>
      <c r="AF798" s="59">
        <v>0.8534722222222223</v>
      </c>
      <c r="AG798">
        <v>12</v>
      </c>
    </row>
    <row r="799" spans="1:33" x14ac:dyDescent="0.25">
      <c r="A799" t="s">
        <v>258</v>
      </c>
      <c r="B799" t="s">
        <v>270</v>
      </c>
      <c r="C799" t="s">
        <v>271</v>
      </c>
      <c r="D799" t="s">
        <v>272</v>
      </c>
      <c r="E799" t="s">
        <v>273</v>
      </c>
      <c r="F799" t="s">
        <v>134</v>
      </c>
      <c r="H799" t="s">
        <v>138</v>
      </c>
      <c r="I799" t="s">
        <v>139</v>
      </c>
      <c r="J799" t="s">
        <v>266</v>
      </c>
      <c r="K799" t="s">
        <v>377</v>
      </c>
      <c r="L799" t="s">
        <v>378</v>
      </c>
      <c r="N799" t="s">
        <v>379</v>
      </c>
      <c r="O799" t="s">
        <v>134</v>
      </c>
      <c r="Q799" t="s">
        <v>217</v>
      </c>
      <c r="R799" t="s">
        <v>140</v>
      </c>
      <c r="S799" t="s">
        <v>128</v>
      </c>
      <c r="T799" t="s">
        <v>137</v>
      </c>
      <c r="U799" t="s">
        <v>129</v>
      </c>
      <c r="V799" t="s">
        <v>72</v>
      </c>
      <c r="W799" s="58">
        <v>43332</v>
      </c>
      <c r="X799" s="59">
        <v>0.33333333333333331</v>
      </c>
      <c r="Y799" s="59">
        <v>0.375</v>
      </c>
      <c r="Z799" s="59">
        <v>4.1666666666666664E-2</v>
      </c>
      <c r="AA799">
        <v>0</v>
      </c>
      <c r="AC799">
        <v>23</v>
      </c>
      <c r="AD799">
        <v>8.75</v>
      </c>
      <c r="AE799" s="59">
        <v>0.33333333333333331</v>
      </c>
      <c r="AF799" s="59">
        <v>0.3743055555555555</v>
      </c>
      <c r="AG799">
        <v>12</v>
      </c>
    </row>
    <row r="800" spans="1:33" x14ac:dyDescent="0.25">
      <c r="A800" t="s">
        <v>266</v>
      </c>
      <c r="B800" t="s">
        <v>293</v>
      </c>
      <c r="C800" t="s">
        <v>294</v>
      </c>
      <c r="E800" t="s">
        <v>295</v>
      </c>
      <c r="F800" t="s">
        <v>134</v>
      </c>
      <c r="H800" t="s">
        <v>157</v>
      </c>
      <c r="I800" t="s">
        <v>158</v>
      </c>
      <c r="J800" t="s">
        <v>266</v>
      </c>
      <c r="K800" t="s">
        <v>377</v>
      </c>
      <c r="L800" t="s">
        <v>378</v>
      </c>
      <c r="N800" t="s">
        <v>379</v>
      </c>
      <c r="O800" t="s">
        <v>134</v>
      </c>
      <c r="Q800" t="s">
        <v>217</v>
      </c>
      <c r="R800" t="s">
        <v>161</v>
      </c>
      <c r="S800" t="s">
        <v>128</v>
      </c>
      <c r="T800" t="s">
        <v>137</v>
      </c>
      <c r="U800" t="s">
        <v>163</v>
      </c>
      <c r="V800" t="s">
        <v>72</v>
      </c>
      <c r="W800" s="58">
        <v>43332</v>
      </c>
      <c r="X800" s="59">
        <v>0.39583333333333331</v>
      </c>
      <c r="Y800" s="59">
        <v>0.4375</v>
      </c>
      <c r="Z800" s="59">
        <v>4.1666666666666664E-2</v>
      </c>
      <c r="AA800">
        <v>0</v>
      </c>
      <c r="AB800">
        <v>4.1420000000000003</v>
      </c>
      <c r="AC800">
        <v>18</v>
      </c>
      <c r="AD800">
        <v>8.75</v>
      </c>
      <c r="AE800" s="59">
        <v>0.39583333333333331</v>
      </c>
      <c r="AF800" s="59">
        <v>0.4368055555555555</v>
      </c>
      <c r="AG800">
        <v>12</v>
      </c>
    </row>
    <row r="801" spans="1:33" x14ac:dyDescent="0.25">
      <c r="A801" t="s">
        <v>258</v>
      </c>
      <c r="B801" t="s">
        <v>270</v>
      </c>
      <c r="C801" t="s">
        <v>271</v>
      </c>
      <c r="D801" t="s">
        <v>272</v>
      </c>
      <c r="E801" t="s">
        <v>273</v>
      </c>
      <c r="F801" t="s">
        <v>134</v>
      </c>
      <c r="H801" t="s">
        <v>138</v>
      </c>
      <c r="I801" t="s">
        <v>139</v>
      </c>
      <c r="J801" t="s">
        <v>266</v>
      </c>
      <c r="K801" t="s">
        <v>377</v>
      </c>
      <c r="L801" t="s">
        <v>378</v>
      </c>
      <c r="N801" t="s">
        <v>379</v>
      </c>
      <c r="O801" t="s">
        <v>134</v>
      </c>
      <c r="Q801" t="s">
        <v>217</v>
      </c>
      <c r="R801" t="s">
        <v>140</v>
      </c>
      <c r="S801" t="s">
        <v>128</v>
      </c>
      <c r="T801" t="s">
        <v>137</v>
      </c>
      <c r="U801" t="s">
        <v>129</v>
      </c>
      <c r="V801" t="s">
        <v>77</v>
      </c>
      <c r="W801" s="58">
        <v>43337</v>
      </c>
      <c r="X801" s="59">
        <v>0.33333333333333331</v>
      </c>
      <c r="Y801" s="59">
        <v>0.375</v>
      </c>
      <c r="Z801" s="59">
        <v>4.1666666666666664E-2</v>
      </c>
      <c r="AA801">
        <v>0</v>
      </c>
      <c r="AC801">
        <v>23</v>
      </c>
      <c r="AD801">
        <v>9.75</v>
      </c>
      <c r="AE801" s="59">
        <v>0.33333333333333331</v>
      </c>
      <c r="AF801" s="59">
        <v>0.3743055555555555</v>
      </c>
      <c r="AG801">
        <v>12</v>
      </c>
    </row>
    <row r="802" spans="1:33" x14ac:dyDescent="0.25">
      <c r="A802" t="s">
        <v>274</v>
      </c>
      <c r="B802" t="s">
        <v>275</v>
      </c>
      <c r="C802" t="s">
        <v>276</v>
      </c>
      <c r="E802" t="s">
        <v>277</v>
      </c>
      <c r="F802" t="s">
        <v>134</v>
      </c>
      <c r="H802" t="s">
        <v>141</v>
      </c>
      <c r="I802" t="s">
        <v>142</v>
      </c>
      <c r="J802" t="s">
        <v>266</v>
      </c>
      <c r="K802" t="s">
        <v>377</v>
      </c>
      <c r="L802" t="s">
        <v>378</v>
      </c>
      <c r="N802" t="s">
        <v>379</v>
      </c>
      <c r="O802" t="s">
        <v>134</v>
      </c>
      <c r="Q802" t="s">
        <v>217</v>
      </c>
      <c r="R802" t="s">
        <v>143</v>
      </c>
      <c r="S802" t="s">
        <v>128</v>
      </c>
      <c r="T802" t="s">
        <v>137</v>
      </c>
      <c r="U802" t="s">
        <v>129</v>
      </c>
      <c r="V802" t="s">
        <v>77</v>
      </c>
      <c r="W802" s="58">
        <v>43337</v>
      </c>
      <c r="X802" s="59">
        <v>0.38541666666666669</v>
      </c>
      <c r="Y802" s="59">
        <v>0.42708333333333331</v>
      </c>
      <c r="Z802" s="59">
        <v>4.1666666666666664E-2</v>
      </c>
      <c r="AA802">
        <v>0</v>
      </c>
      <c r="AB802">
        <v>0.9</v>
      </c>
      <c r="AC802">
        <v>23</v>
      </c>
      <c r="AD802">
        <v>9.75</v>
      </c>
      <c r="AE802" s="59">
        <v>0.38541666666666669</v>
      </c>
      <c r="AF802" s="59">
        <v>0.42638888888888887</v>
      </c>
      <c r="AG802">
        <v>12</v>
      </c>
    </row>
    <row r="803" spans="1:33" x14ac:dyDescent="0.25">
      <c r="A803" t="s">
        <v>258</v>
      </c>
      <c r="B803" t="s">
        <v>278</v>
      </c>
      <c r="C803" t="s">
        <v>279</v>
      </c>
      <c r="E803" t="s">
        <v>280</v>
      </c>
      <c r="F803" t="s">
        <v>134</v>
      </c>
      <c r="H803" t="s">
        <v>144</v>
      </c>
      <c r="I803" t="s">
        <v>133</v>
      </c>
      <c r="J803" t="s">
        <v>266</v>
      </c>
      <c r="K803" t="s">
        <v>377</v>
      </c>
      <c r="L803" t="s">
        <v>378</v>
      </c>
      <c r="N803" t="s">
        <v>379</v>
      </c>
      <c r="O803" t="s">
        <v>134</v>
      </c>
      <c r="Q803" t="s">
        <v>217</v>
      </c>
      <c r="R803" t="s">
        <v>145</v>
      </c>
      <c r="S803" t="s">
        <v>128</v>
      </c>
      <c r="T803" t="s">
        <v>137</v>
      </c>
      <c r="U803" t="s">
        <v>129</v>
      </c>
      <c r="V803" t="s">
        <v>77</v>
      </c>
      <c r="W803" s="58">
        <v>43337</v>
      </c>
      <c r="X803" s="59">
        <v>0.4375</v>
      </c>
      <c r="Y803" s="59">
        <v>0.47916666666666669</v>
      </c>
      <c r="Z803" s="59">
        <v>4.1666666666666664E-2</v>
      </c>
      <c r="AA803">
        <v>0</v>
      </c>
      <c r="AB803">
        <v>2.0796000000000001</v>
      </c>
      <c r="AC803">
        <v>23</v>
      </c>
      <c r="AD803">
        <v>9.75</v>
      </c>
      <c r="AE803" s="59">
        <v>0.4375</v>
      </c>
      <c r="AF803" s="59">
        <v>0.47847222222222219</v>
      </c>
      <c r="AG803">
        <v>12</v>
      </c>
    </row>
    <row r="804" spans="1:33" x14ac:dyDescent="0.25">
      <c r="A804" t="s">
        <v>258</v>
      </c>
      <c r="B804" t="s">
        <v>270</v>
      </c>
      <c r="C804" t="s">
        <v>271</v>
      </c>
      <c r="D804" t="s">
        <v>272</v>
      </c>
      <c r="E804" t="s">
        <v>273</v>
      </c>
      <c r="F804" t="s">
        <v>134</v>
      </c>
      <c r="H804" t="s">
        <v>138</v>
      </c>
      <c r="I804" t="s">
        <v>139</v>
      </c>
      <c r="J804" t="s">
        <v>266</v>
      </c>
      <c r="K804" t="s">
        <v>377</v>
      </c>
      <c r="L804" t="s">
        <v>378</v>
      </c>
      <c r="N804" t="s">
        <v>379</v>
      </c>
      <c r="O804" t="s">
        <v>134</v>
      </c>
      <c r="Q804" t="s">
        <v>217</v>
      </c>
      <c r="R804" t="s">
        <v>140</v>
      </c>
      <c r="S804" t="s">
        <v>128</v>
      </c>
      <c r="T804" t="s">
        <v>137</v>
      </c>
      <c r="U804" t="s">
        <v>129</v>
      </c>
      <c r="V804" t="s">
        <v>71</v>
      </c>
      <c r="W804" s="58">
        <v>43338</v>
      </c>
      <c r="X804" s="59">
        <v>0.33333333333333331</v>
      </c>
      <c r="Y804" s="59">
        <v>0.375</v>
      </c>
      <c r="Z804" s="59">
        <v>4.1666666666666664E-2</v>
      </c>
      <c r="AA804">
        <v>0</v>
      </c>
      <c r="AC804">
        <v>23</v>
      </c>
      <c r="AD804">
        <v>9.75</v>
      </c>
      <c r="AE804" s="59">
        <v>0.33333333333333331</v>
      </c>
      <c r="AF804" s="59">
        <v>0.3743055555555555</v>
      </c>
      <c r="AG804">
        <v>12</v>
      </c>
    </row>
    <row r="805" spans="1:33" x14ac:dyDescent="0.25">
      <c r="A805" t="s">
        <v>266</v>
      </c>
      <c r="B805" t="s">
        <v>293</v>
      </c>
      <c r="C805" t="s">
        <v>294</v>
      </c>
      <c r="E805" t="s">
        <v>295</v>
      </c>
      <c r="F805" t="s">
        <v>134</v>
      </c>
      <c r="H805" t="s">
        <v>157</v>
      </c>
      <c r="I805" t="s">
        <v>158</v>
      </c>
      <c r="J805" t="s">
        <v>266</v>
      </c>
      <c r="K805" t="s">
        <v>377</v>
      </c>
      <c r="L805" t="s">
        <v>378</v>
      </c>
      <c r="N805" t="s">
        <v>379</v>
      </c>
      <c r="O805" t="s">
        <v>134</v>
      </c>
      <c r="Q805" t="s">
        <v>217</v>
      </c>
      <c r="R805" t="s">
        <v>161</v>
      </c>
      <c r="S805" t="s">
        <v>128</v>
      </c>
      <c r="T805" t="s">
        <v>137</v>
      </c>
      <c r="U805" t="s">
        <v>163</v>
      </c>
      <c r="V805" t="s">
        <v>71</v>
      </c>
      <c r="W805" s="58">
        <v>43338</v>
      </c>
      <c r="X805" s="59">
        <v>0.38541666666666669</v>
      </c>
      <c r="Y805" s="59">
        <v>0.42708333333333331</v>
      </c>
      <c r="Z805" s="59">
        <v>4.1666666666666664E-2</v>
      </c>
      <c r="AA805">
        <v>0</v>
      </c>
      <c r="AB805">
        <v>4.1420000000000003</v>
      </c>
      <c r="AC805">
        <v>18</v>
      </c>
      <c r="AD805">
        <v>9.75</v>
      </c>
      <c r="AE805" s="59">
        <v>0.38541666666666669</v>
      </c>
      <c r="AF805" s="59">
        <v>0.42638888888888887</v>
      </c>
      <c r="AG805">
        <v>12</v>
      </c>
    </row>
    <row r="806" spans="1:33" x14ac:dyDescent="0.25">
      <c r="A806" t="s">
        <v>266</v>
      </c>
      <c r="B806" t="s">
        <v>293</v>
      </c>
      <c r="C806" t="s">
        <v>294</v>
      </c>
      <c r="E806" t="s">
        <v>295</v>
      </c>
      <c r="F806" t="s">
        <v>134</v>
      </c>
      <c r="H806" t="s">
        <v>157</v>
      </c>
      <c r="I806" t="s">
        <v>158</v>
      </c>
      <c r="J806" t="s">
        <v>266</v>
      </c>
      <c r="K806" t="s">
        <v>377</v>
      </c>
      <c r="L806" t="s">
        <v>378</v>
      </c>
      <c r="N806" t="s">
        <v>379</v>
      </c>
      <c r="O806" t="s">
        <v>134</v>
      </c>
      <c r="Q806" t="s">
        <v>217</v>
      </c>
      <c r="R806" t="s">
        <v>161</v>
      </c>
      <c r="S806" t="s">
        <v>128</v>
      </c>
      <c r="T806" t="s">
        <v>137</v>
      </c>
      <c r="U806" t="s">
        <v>163</v>
      </c>
      <c r="V806" t="s">
        <v>71</v>
      </c>
      <c r="W806" s="58">
        <v>43338</v>
      </c>
      <c r="X806" s="59">
        <v>0.60416666666666663</v>
      </c>
      <c r="Y806" s="59">
        <v>0.85416666666666663</v>
      </c>
      <c r="Z806" s="59">
        <v>0.25</v>
      </c>
      <c r="AA806">
        <v>0</v>
      </c>
      <c r="AC806">
        <v>108</v>
      </c>
      <c r="AD806">
        <v>58.5</v>
      </c>
      <c r="AE806" s="59">
        <v>0.60416666666666663</v>
      </c>
      <c r="AF806" s="59">
        <v>0.8534722222222223</v>
      </c>
      <c r="AG806">
        <v>12</v>
      </c>
    </row>
    <row r="807" spans="1:33" x14ac:dyDescent="0.25">
      <c r="A807" t="s">
        <v>266</v>
      </c>
      <c r="B807" t="s">
        <v>293</v>
      </c>
      <c r="C807" t="s">
        <v>294</v>
      </c>
      <c r="E807" t="s">
        <v>295</v>
      </c>
      <c r="F807" t="s">
        <v>134</v>
      </c>
      <c r="H807" t="s">
        <v>157</v>
      </c>
      <c r="I807" t="s">
        <v>158</v>
      </c>
      <c r="J807" t="s">
        <v>266</v>
      </c>
      <c r="K807" t="s">
        <v>377</v>
      </c>
      <c r="L807" t="s">
        <v>378</v>
      </c>
      <c r="N807" t="s">
        <v>379</v>
      </c>
      <c r="O807" t="s">
        <v>134</v>
      </c>
      <c r="Q807" t="s">
        <v>217</v>
      </c>
      <c r="R807" t="s">
        <v>161</v>
      </c>
      <c r="S807" t="s">
        <v>128</v>
      </c>
      <c r="T807" t="s">
        <v>137</v>
      </c>
      <c r="U807" t="s">
        <v>163</v>
      </c>
      <c r="V807" t="s">
        <v>72</v>
      </c>
      <c r="W807" s="58">
        <v>43339</v>
      </c>
      <c r="X807" s="59">
        <v>0.39583333333333331</v>
      </c>
      <c r="Y807" s="59">
        <v>0.4375</v>
      </c>
      <c r="Z807" s="59">
        <v>4.1666666666666664E-2</v>
      </c>
      <c r="AA807">
        <v>0</v>
      </c>
      <c r="AC807">
        <v>18</v>
      </c>
      <c r="AD807">
        <v>8.75</v>
      </c>
      <c r="AE807" s="59">
        <v>0.39583333333333331</v>
      </c>
      <c r="AF807" s="59">
        <v>0.4368055555555555</v>
      </c>
      <c r="AG807">
        <v>12</v>
      </c>
    </row>
    <row r="808" spans="1:33" x14ac:dyDescent="0.25">
      <c r="A808" t="s">
        <v>258</v>
      </c>
      <c r="B808" t="s">
        <v>270</v>
      </c>
      <c r="C808" t="s">
        <v>271</v>
      </c>
      <c r="D808" t="s">
        <v>272</v>
      </c>
      <c r="E808" t="s">
        <v>273</v>
      </c>
      <c r="F808" t="s">
        <v>134</v>
      </c>
      <c r="H808" t="s">
        <v>138</v>
      </c>
      <c r="I808" t="s">
        <v>139</v>
      </c>
      <c r="J808" t="s">
        <v>266</v>
      </c>
      <c r="K808" t="s">
        <v>377</v>
      </c>
      <c r="L808" t="s">
        <v>378</v>
      </c>
      <c r="N808" t="s">
        <v>379</v>
      </c>
      <c r="O808" t="s">
        <v>134</v>
      </c>
      <c r="Q808" t="s">
        <v>217</v>
      </c>
      <c r="R808" t="s">
        <v>140</v>
      </c>
      <c r="S808" t="s">
        <v>128</v>
      </c>
      <c r="T808" t="s">
        <v>137</v>
      </c>
      <c r="U808" t="s">
        <v>129</v>
      </c>
      <c r="V808" t="s">
        <v>76</v>
      </c>
      <c r="W808" s="58">
        <v>43343</v>
      </c>
      <c r="X808" s="59">
        <v>0.33333333333333331</v>
      </c>
      <c r="Y808" s="59">
        <v>0.375</v>
      </c>
      <c r="Z808" s="59">
        <v>4.1666666666666664E-2</v>
      </c>
      <c r="AA808">
        <v>0</v>
      </c>
      <c r="AC808">
        <v>23</v>
      </c>
      <c r="AD808">
        <v>8.75</v>
      </c>
      <c r="AE808" s="59">
        <v>0.33333333333333331</v>
      </c>
      <c r="AF808" s="59">
        <v>0.3743055555555555</v>
      </c>
      <c r="AG808">
        <v>12</v>
      </c>
    </row>
    <row r="809" spans="1:33" x14ac:dyDescent="0.25">
      <c r="A809" t="s">
        <v>258</v>
      </c>
      <c r="B809" t="s">
        <v>278</v>
      </c>
      <c r="C809" t="s">
        <v>279</v>
      </c>
      <c r="E809" t="s">
        <v>280</v>
      </c>
      <c r="F809" t="s">
        <v>134</v>
      </c>
      <c r="H809" t="s">
        <v>144</v>
      </c>
      <c r="I809" t="s">
        <v>133</v>
      </c>
      <c r="J809" t="s">
        <v>266</v>
      </c>
      <c r="K809" t="s">
        <v>377</v>
      </c>
      <c r="L809" t="s">
        <v>378</v>
      </c>
      <c r="N809" t="s">
        <v>379</v>
      </c>
      <c r="O809" t="s">
        <v>134</v>
      </c>
      <c r="Q809" t="s">
        <v>217</v>
      </c>
      <c r="R809" t="s">
        <v>145</v>
      </c>
      <c r="S809" t="s">
        <v>128</v>
      </c>
      <c r="T809" t="s">
        <v>137</v>
      </c>
      <c r="U809" t="s">
        <v>129</v>
      </c>
      <c r="V809" t="s">
        <v>77</v>
      </c>
      <c r="W809" s="58">
        <v>43344</v>
      </c>
      <c r="X809" s="59">
        <v>0.375</v>
      </c>
      <c r="Y809" s="59">
        <v>0.41666666666666669</v>
      </c>
      <c r="Z809" s="59">
        <v>4.1666666666666664E-2</v>
      </c>
      <c r="AA809">
        <v>0</v>
      </c>
      <c r="AC809">
        <v>23</v>
      </c>
      <c r="AD809">
        <v>9.75</v>
      </c>
      <c r="AE809" s="59">
        <v>0.375</v>
      </c>
      <c r="AF809" s="59">
        <v>0.41597222222222219</v>
      </c>
      <c r="AG809">
        <v>12</v>
      </c>
    </row>
    <row r="810" spans="1:33" x14ac:dyDescent="0.25">
      <c r="A810" t="s">
        <v>266</v>
      </c>
      <c r="B810" t="s">
        <v>293</v>
      </c>
      <c r="C810" t="s">
        <v>294</v>
      </c>
      <c r="E810" t="s">
        <v>295</v>
      </c>
      <c r="F810" t="s">
        <v>134</v>
      </c>
      <c r="H810" t="s">
        <v>157</v>
      </c>
      <c r="I810" t="s">
        <v>158</v>
      </c>
      <c r="J810" t="s">
        <v>266</v>
      </c>
      <c r="K810" t="s">
        <v>377</v>
      </c>
      <c r="L810" t="s">
        <v>378</v>
      </c>
      <c r="N810" t="s">
        <v>379</v>
      </c>
      <c r="O810" t="s">
        <v>134</v>
      </c>
      <c r="Q810" t="s">
        <v>217</v>
      </c>
      <c r="R810" t="s">
        <v>161</v>
      </c>
      <c r="S810" t="s">
        <v>128</v>
      </c>
      <c r="T810" t="s">
        <v>137</v>
      </c>
      <c r="U810" t="s">
        <v>163</v>
      </c>
      <c r="V810" t="s">
        <v>77</v>
      </c>
      <c r="W810" s="58">
        <v>43344</v>
      </c>
      <c r="X810" s="59">
        <v>0.4375</v>
      </c>
      <c r="Y810" s="59">
        <v>0.64583333333333337</v>
      </c>
      <c r="Z810" s="59">
        <v>0.20833333333333334</v>
      </c>
      <c r="AA810">
        <v>8</v>
      </c>
      <c r="AB810">
        <v>3.7728000000000002</v>
      </c>
      <c r="AC810">
        <v>90</v>
      </c>
      <c r="AD810">
        <v>48.75</v>
      </c>
      <c r="AE810" s="59">
        <v>0.4375</v>
      </c>
      <c r="AF810" s="59">
        <v>0.64513888888888882</v>
      </c>
      <c r="AG810">
        <v>12</v>
      </c>
    </row>
    <row r="811" spans="1:33" x14ac:dyDescent="0.25">
      <c r="A811" t="s">
        <v>266</v>
      </c>
      <c r="B811" t="s">
        <v>293</v>
      </c>
      <c r="C811" t="s">
        <v>294</v>
      </c>
      <c r="E811" t="s">
        <v>295</v>
      </c>
      <c r="F811" t="s">
        <v>134</v>
      </c>
      <c r="H811" t="s">
        <v>157</v>
      </c>
      <c r="I811" t="s">
        <v>158</v>
      </c>
      <c r="J811" t="s">
        <v>266</v>
      </c>
      <c r="K811" t="s">
        <v>377</v>
      </c>
      <c r="L811" t="s">
        <v>378</v>
      </c>
      <c r="N811" t="s">
        <v>379</v>
      </c>
      <c r="O811" t="s">
        <v>134</v>
      </c>
      <c r="Q811" t="s">
        <v>217</v>
      </c>
      <c r="R811" t="s">
        <v>161</v>
      </c>
      <c r="S811" t="s">
        <v>128</v>
      </c>
      <c r="T811" t="s">
        <v>137</v>
      </c>
      <c r="U811" t="s">
        <v>163</v>
      </c>
      <c r="V811" t="s">
        <v>71</v>
      </c>
      <c r="W811" s="58">
        <v>43345</v>
      </c>
      <c r="X811" s="59">
        <v>0.38541666666666669</v>
      </c>
      <c r="Y811" s="59">
        <v>0.42708333333333331</v>
      </c>
      <c r="Z811" s="59">
        <v>4.1666666666666664E-2</v>
      </c>
      <c r="AA811">
        <v>8</v>
      </c>
      <c r="AC811">
        <v>18</v>
      </c>
      <c r="AD811">
        <v>9.75</v>
      </c>
      <c r="AE811" s="59">
        <v>0.38541666666666669</v>
      </c>
      <c r="AF811" s="59">
        <v>0.42638888888888887</v>
      </c>
      <c r="AG811">
        <v>12</v>
      </c>
    </row>
    <row r="812" spans="1:33" x14ac:dyDescent="0.25">
      <c r="A812" t="s">
        <v>266</v>
      </c>
      <c r="B812" t="s">
        <v>293</v>
      </c>
      <c r="C812" t="s">
        <v>294</v>
      </c>
      <c r="E812" t="s">
        <v>295</v>
      </c>
      <c r="F812" t="s">
        <v>134</v>
      </c>
      <c r="H812" t="s">
        <v>157</v>
      </c>
      <c r="I812" t="s">
        <v>158</v>
      </c>
      <c r="J812" t="s">
        <v>266</v>
      </c>
      <c r="K812" t="s">
        <v>377</v>
      </c>
      <c r="L812" t="s">
        <v>378</v>
      </c>
      <c r="N812" t="s">
        <v>379</v>
      </c>
      <c r="O812" t="s">
        <v>134</v>
      </c>
      <c r="Q812" t="s">
        <v>217</v>
      </c>
      <c r="R812" t="s">
        <v>161</v>
      </c>
      <c r="S812" t="s">
        <v>128</v>
      </c>
      <c r="T812" t="s">
        <v>137</v>
      </c>
      <c r="U812" t="s">
        <v>163</v>
      </c>
      <c r="V812" t="s">
        <v>71</v>
      </c>
      <c r="W812" s="58">
        <v>43345</v>
      </c>
      <c r="X812" s="59">
        <v>0.60416666666666663</v>
      </c>
      <c r="Y812" s="59">
        <v>0.85416666666666663</v>
      </c>
      <c r="Z812" s="59">
        <v>0.25</v>
      </c>
      <c r="AA812">
        <v>0</v>
      </c>
      <c r="AC812">
        <v>108</v>
      </c>
      <c r="AD812">
        <v>58.5</v>
      </c>
      <c r="AE812" s="59">
        <v>0.60416666666666663</v>
      </c>
      <c r="AF812" s="59">
        <v>0.8534722222222223</v>
      </c>
      <c r="AG812">
        <v>12</v>
      </c>
    </row>
    <row r="813" spans="1:33" x14ac:dyDescent="0.25">
      <c r="A813" t="s">
        <v>266</v>
      </c>
      <c r="B813" t="s">
        <v>293</v>
      </c>
      <c r="C813" t="s">
        <v>294</v>
      </c>
      <c r="E813" t="s">
        <v>295</v>
      </c>
      <c r="F813" t="s">
        <v>134</v>
      </c>
      <c r="H813" t="s">
        <v>157</v>
      </c>
      <c r="I813" t="s">
        <v>158</v>
      </c>
      <c r="J813" t="s">
        <v>266</v>
      </c>
      <c r="K813" t="s">
        <v>377</v>
      </c>
      <c r="L813" t="s">
        <v>378</v>
      </c>
      <c r="N813" t="s">
        <v>379</v>
      </c>
      <c r="O813" t="s">
        <v>134</v>
      </c>
      <c r="Q813" t="s">
        <v>217</v>
      </c>
      <c r="R813" t="s">
        <v>161</v>
      </c>
      <c r="S813" t="s">
        <v>128</v>
      </c>
      <c r="T813" t="s">
        <v>137</v>
      </c>
      <c r="U813" t="s">
        <v>163</v>
      </c>
      <c r="V813" t="s">
        <v>77</v>
      </c>
      <c r="W813" s="58">
        <v>43351</v>
      </c>
      <c r="X813" s="59">
        <v>0.42708333333333331</v>
      </c>
      <c r="Y813" s="59">
        <v>0.63541666666666663</v>
      </c>
      <c r="Z813" s="59">
        <v>0.20833333333333334</v>
      </c>
      <c r="AA813">
        <v>7</v>
      </c>
      <c r="AC813">
        <v>90</v>
      </c>
      <c r="AD813">
        <v>48.75</v>
      </c>
      <c r="AE813" s="59">
        <v>0.42708333333333331</v>
      </c>
      <c r="AF813" s="59">
        <v>0.63472222222222219</v>
      </c>
      <c r="AG813">
        <v>12</v>
      </c>
    </row>
    <row r="814" spans="1:33" x14ac:dyDescent="0.25">
      <c r="A814" t="s">
        <v>258</v>
      </c>
      <c r="B814" t="s">
        <v>270</v>
      </c>
      <c r="C814" t="s">
        <v>271</v>
      </c>
      <c r="D814" t="s">
        <v>272</v>
      </c>
      <c r="E814" t="s">
        <v>273</v>
      </c>
      <c r="F814" t="s">
        <v>134</v>
      </c>
      <c r="H814" t="s">
        <v>138</v>
      </c>
      <c r="I814" t="s">
        <v>139</v>
      </c>
      <c r="J814" t="s">
        <v>266</v>
      </c>
      <c r="K814" t="s">
        <v>377</v>
      </c>
      <c r="L814" t="s">
        <v>378</v>
      </c>
      <c r="N814" t="s">
        <v>379</v>
      </c>
      <c r="O814" t="s">
        <v>134</v>
      </c>
      <c r="Q814" t="s">
        <v>217</v>
      </c>
      <c r="R814" t="s">
        <v>140</v>
      </c>
      <c r="S814" t="s">
        <v>128</v>
      </c>
      <c r="T814" t="s">
        <v>137</v>
      </c>
      <c r="U814" t="s">
        <v>129</v>
      </c>
      <c r="V814" t="s">
        <v>71</v>
      </c>
      <c r="W814" s="58">
        <v>43352</v>
      </c>
      <c r="X814" s="59">
        <v>0.33333333333333331</v>
      </c>
      <c r="Y814" s="59">
        <v>0.375</v>
      </c>
      <c r="Z814" s="59">
        <v>4.1666666666666664E-2</v>
      </c>
      <c r="AA814">
        <v>13</v>
      </c>
      <c r="AC814">
        <v>23</v>
      </c>
      <c r="AD814">
        <v>9.75</v>
      </c>
      <c r="AE814" s="59">
        <v>0.33333333333333331</v>
      </c>
      <c r="AF814" s="59">
        <v>0.3743055555555555</v>
      </c>
      <c r="AG814">
        <v>12</v>
      </c>
    </row>
    <row r="815" spans="1:33" x14ac:dyDescent="0.25">
      <c r="A815" t="s">
        <v>266</v>
      </c>
      <c r="B815" t="s">
        <v>293</v>
      </c>
      <c r="C815" t="s">
        <v>294</v>
      </c>
      <c r="E815" t="s">
        <v>295</v>
      </c>
      <c r="F815" t="s">
        <v>134</v>
      </c>
      <c r="H815" t="s">
        <v>157</v>
      </c>
      <c r="I815" t="s">
        <v>158</v>
      </c>
      <c r="J815" t="s">
        <v>266</v>
      </c>
      <c r="K815" t="s">
        <v>377</v>
      </c>
      <c r="L815" t="s">
        <v>378</v>
      </c>
      <c r="N815" t="s">
        <v>379</v>
      </c>
      <c r="O815" t="s">
        <v>134</v>
      </c>
      <c r="Q815" t="s">
        <v>217</v>
      </c>
      <c r="R815" t="s">
        <v>161</v>
      </c>
      <c r="S815" t="s">
        <v>128</v>
      </c>
      <c r="T815" t="s">
        <v>137</v>
      </c>
      <c r="U815" t="s">
        <v>163</v>
      </c>
      <c r="V815" t="s">
        <v>71</v>
      </c>
      <c r="W815" s="58">
        <v>43352</v>
      </c>
      <c r="X815" s="59">
        <v>0.41666666666666669</v>
      </c>
      <c r="Y815" s="59">
        <v>0.45833333333333331</v>
      </c>
      <c r="Z815" s="59">
        <v>4.1666666666666664E-2</v>
      </c>
      <c r="AA815">
        <v>8</v>
      </c>
      <c r="AB815">
        <v>4.1420000000000003</v>
      </c>
      <c r="AC815">
        <v>18</v>
      </c>
      <c r="AD815">
        <v>9.75</v>
      </c>
      <c r="AE815" s="59">
        <v>0.41666666666666669</v>
      </c>
      <c r="AF815" s="59">
        <v>0.45763888888888887</v>
      </c>
      <c r="AG815">
        <v>12</v>
      </c>
    </row>
    <row r="816" spans="1:33" x14ac:dyDescent="0.25">
      <c r="A816" t="s">
        <v>266</v>
      </c>
      <c r="B816" t="s">
        <v>293</v>
      </c>
      <c r="C816" t="s">
        <v>294</v>
      </c>
      <c r="E816" t="s">
        <v>295</v>
      </c>
      <c r="F816" t="s">
        <v>134</v>
      </c>
      <c r="H816" t="s">
        <v>157</v>
      </c>
      <c r="I816" t="s">
        <v>158</v>
      </c>
      <c r="J816" t="s">
        <v>266</v>
      </c>
      <c r="K816" t="s">
        <v>377</v>
      </c>
      <c r="L816" t="s">
        <v>378</v>
      </c>
      <c r="N816" t="s">
        <v>379</v>
      </c>
      <c r="O816" t="s">
        <v>134</v>
      </c>
      <c r="Q816" t="s">
        <v>217</v>
      </c>
      <c r="R816" t="s">
        <v>161</v>
      </c>
      <c r="S816" t="s">
        <v>128</v>
      </c>
      <c r="T816" t="s">
        <v>137</v>
      </c>
      <c r="U816" t="s">
        <v>163</v>
      </c>
      <c r="V816" t="s">
        <v>71</v>
      </c>
      <c r="W816" s="58">
        <v>43352</v>
      </c>
      <c r="X816" s="59">
        <v>0.58333333333333337</v>
      </c>
      <c r="Y816" s="59">
        <v>0.83333333333333337</v>
      </c>
      <c r="Z816" s="59">
        <v>0.25</v>
      </c>
      <c r="AA816">
        <v>0</v>
      </c>
      <c r="AC816">
        <v>108</v>
      </c>
      <c r="AD816">
        <v>58.5</v>
      </c>
      <c r="AE816" s="59">
        <v>0.58333333333333337</v>
      </c>
      <c r="AF816" s="59">
        <v>0.83263888888888893</v>
      </c>
      <c r="AG816">
        <v>12</v>
      </c>
    </row>
    <row r="817" spans="1:32" x14ac:dyDescent="0.25">
      <c r="A817" t="s">
        <v>266</v>
      </c>
      <c r="B817" t="s">
        <v>348</v>
      </c>
      <c r="C817" t="s">
        <v>349</v>
      </c>
      <c r="E817" t="s">
        <v>350</v>
      </c>
      <c r="F817" t="s">
        <v>134</v>
      </c>
      <c r="H817" t="s">
        <v>202</v>
      </c>
      <c r="I817" t="s">
        <v>139</v>
      </c>
      <c r="J817" t="s">
        <v>258</v>
      </c>
      <c r="K817" t="s">
        <v>380</v>
      </c>
      <c r="L817" t="s">
        <v>381</v>
      </c>
      <c r="M817">
        <v>28</v>
      </c>
      <c r="N817" t="s">
        <v>382</v>
      </c>
      <c r="O817" t="s">
        <v>134</v>
      </c>
      <c r="P817" t="s">
        <v>218</v>
      </c>
      <c r="Q817" t="s">
        <v>219</v>
      </c>
      <c r="R817" t="s">
        <v>203</v>
      </c>
      <c r="S817" t="s">
        <v>128</v>
      </c>
      <c r="T817" t="s">
        <v>220</v>
      </c>
      <c r="U817" t="s">
        <v>151</v>
      </c>
      <c r="V817" t="s">
        <v>77</v>
      </c>
      <c r="W817" s="58">
        <v>43309</v>
      </c>
      <c r="X817" s="59">
        <v>0.33333333333333331</v>
      </c>
      <c r="Y817" s="59">
        <v>0.375</v>
      </c>
      <c r="Z817" s="59">
        <v>4.1666666666666664E-2</v>
      </c>
      <c r="AA817">
        <v>0</v>
      </c>
      <c r="AC817">
        <v>20</v>
      </c>
      <c r="AD817">
        <v>11</v>
      </c>
      <c r="AE817" s="59">
        <v>0.33333333333333331</v>
      </c>
      <c r="AF817" s="59">
        <v>0.3743055555555555</v>
      </c>
    </row>
    <row r="818" spans="1:32" x14ac:dyDescent="0.25">
      <c r="A818" t="s">
        <v>266</v>
      </c>
      <c r="B818" t="s">
        <v>348</v>
      </c>
      <c r="C818" t="s">
        <v>349</v>
      </c>
      <c r="E818" t="s">
        <v>350</v>
      </c>
      <c r="F818" t="s">
        <v>134</v>
      </c>
      <c r="H818" t="s">
        <v>202</v>
      </c>
      <c r="I818" t="s">
        <v>139</v>
      </c>
      <c r="J818" t="s">
        <v>258</v>
      </c>
      <c r="K818" t="s">
        <v>380</v>
      </c>
      <c r="L818" t="s">
        <v>381</v>
      </c>
      <c r="M818">
        <v>28</v>
      </c>
      <c r="N818" t="s">
        <v>382</v>
      </c>
      <c r="O818" t="s">
        <v>134</v>
      </c>
      <c r="P818" t="s">
        <v>218</v>
      </c>
      <c r="Q818" t="s">
        <v>219</v>
      </c>
      <c r="R818" t="s">
        <v>203</v>
      </c>
      <c r="S818" t="s">
        <v>128</v>
      </c>
      <c r="T818" t="s">
        <v>220</v>
      </c>
      <c r="U818" t="s">
        <v>151</v>
      </c>
      <c r="V818" t="s">
        <v>71</v>
      </c>
      <c r="W818" s="58">
        <v>43310</v>
      </c>
      <c r="X818" s="59">
        <v>0.32291666666666669</v>
      </c>
      <c r="Y818" s="59">
        <v>0.36458333333333331</v>
      </c>
      <c r="Z818" s="59">
        <v>4.1666666666666664E-2</v>
      </c>
      <c r="AA818">
        <v>0</v>
      </c>
      <c r="AC818">
        <v>20</v>
      </c>
      <c r="AD818">
        <v>11</v>
      </c>
      <c r="AE818" s="59">
        <v>0.32291666666666669</v>
      </c>
      <c r="AF818" s="59">
        <v>0.36388888888888887</v>
      </c>
    </row>
    <row r="819" spans="1:32" x14ac:dyDescent="0.25">
      <c r="A819" t="s">
        <v>266</v>
      </c>
      <c r="B819" t="s">
        <v>348</v>
      </c>
      <c r="C819" t="s">
        <v>349</v>
      </c>
      <c r="E819" t="s">
        <v>350</v>
      </c>
      <c r="F819" t="s">
        <v>134</v>
      </c>
      <c r="H819" t="s">
        <v>202</v>
      </c>
      <c r="I819" t="s">
        <v>139</v>
      </c>
      <c r="J819" t="s">
        <v>258</v>
      </c>
      <c r="K819" t="s">
        <v>380</v>
      </c>
      <c r="L819" t="s">
        <v>381</v>
      </c>
      <c r="M819">
        <v>28</v>
      </c>
      <c r="N819" t="s">
        <v>382</v>
      </c>
      <c r="O819" t="s">
        <v>134</v>
      </c>
      <c r="P819" t="s">
        <v>218</v>
      </c>
      <c r="Q819" t="s">
        <v>219</v>
      </c>
      <c r="R819" t="s">
        <v>203</v>
      </c>
      <c r="S819" t="s">
        <v>128</v>
      </c>
      <c r="T819" t="s">
        <v>220</v>
      </c>
      <c r="U819" t="s">
        <v>151</v>
      </c>
      <c r="V819" t="s">
        <v>72</v>
      </c>
      <c r="W819" s="58">
        <v>43311</v>
      </c>
      <c r="X819" s="59">
        <v>0.29166666666666669</v>
      </c>
      <c r="Y819" s="59">
        <v>0.33333333333333331</v>
      </c>
      <c r="Z819" s="59">
        <v>4.1666666666666664E-2</v>
      </c>
      <c r="AA819">
        <v>0</v>
      </c>
      <c r="AC819">
        <v>20</v>
      </c>
      <c r="AD819">
        <v>10</v>
      </c>
      <c r="AE819" s="59">
        <v>0.29166666666666669</v>
      </c>
      <c r="AF819" s="59">
        <v>0.33263888888888887</v>
      </c>
    </row>
    <row r="820" spans="1:32" x14ac:dyDescent="0.25">
      <c r="A820" t="s">
        <v>258</v>
      </c>
      <c r="B820" t="s">
        <v>262</v>
      </c>
      <c r="C820" t="s">
        <v>263</v>
      </c>
      <c r="D820" t="s">
        <v>264</v>
      </c>
      <c r="E820" t="s">
        <v>265</v>
      </c>
      <c r="F820" t="s">
        <v>134</v>
      </c>
      <c r="H820" t="s">
        <v>132</v>
      </c>
      <c r="I820" t="s">
        <v>133</v>
      </c>
      <c r="J820" t="s">
        <v>258</v>
      </c>
      <c r="K820" t="s">
        <v>380</v>
      </c>
      <c r="L820" t="s">
        <v>381</v>
      </c>
      <c r="M820">
        <v>28</v>
      </c>
      <c r="N820" t="s">
        <v>382</v>
      </c>
      <c r="O820" t="s">
        <v>134</v>
      </c>
      <c r="P820" t="s">
        <v>218</v>
      </c>
      <c r="Q820" t="s">
        <v>219</v>
      </c>
      <c r="R820" t="s">
        <v>136</v>
      </c>
      <c r="S820" t="s">
        <v>128</v>
      </c>
      <c r="T820" t="s">
        <v>220</v>
      </c>
      <c r="U820" t="s">
        <v>129</v>
      </c>
      <c r="V820" t="s">
        <v>72</v>
      </c>
      <c r="W820" s="58">
        <v>43311</v>
      </c>
      <c r="X820" s="59">
        <v>0.35416666666666669</v>
      </c>
      <c r="Y820" s="59">
        <v>0.39583333333333331</v>
      </c>
      <c r="Z820" s="59">
        <v>4.1666666666666664E-2</v>
      </c>
      <c r="AA820">
        <v>0</v>
      </c>
      <c r="AB820">
        <v>1.9601999999999999</v>
      </c>
      <c r="AC820">
        <v>23</v>
      </c>
      <c r="AD820">
        <v>15</v>
      </c>
      <c r="AE820" s="59">
        <v>0.35416666666666669</v>
      </c>
      <c r="AF820" s="59">
        <v>0.39513888888888887</v>
      </c>
    </row>
    <row r="821" spans="1:32" x14ac:dyDescent="0.25">
      <c r="A821" t="s">
        <v>258</v>
      </c>
      <c r="B821" t="s">
        <v>262</v>
      </c>
      <c r="C821" t="s">
        <v>263</v>
      </c>
      <c r="D821" t="s">
        <v>264</v>
      </c>
      <c r="E821" t="s">
        <v>265</v>
      </c>
      <c r="F821" t="s">
        <v>134</v>
      </c>
      <c r="H821" t="s">
        <v>132</v>
      </c>
      <c r="I821" t="s">
        <v>133</v>
      </c>
      <c r="J821" t="s">
        <v>258</v>
      </c>
      <c r="K821" t="s">
        <v>380</v>
      </c>
      <c r="L821" t="s">
        <v>381</v>
      </c>
      <c r="M821">
        <v>28</v>
      </c>
      <c r="N821" t="s">
        <v>382</v>
      </c>
      <c r="O821" t="s">
        <v>134</v>
      </c>
      <c r="P821" t="s">
        <v>218</v>
      </c>
      <c r="Q821" t="s">
        <v>219</v>
      </c>
      <c r="R821" t="s">
        <v>136</v>
      </c>
      <c r="S821" t="s">
        <v>128</v>
      </c>
      <c r="T821" t="s">
        <v>220</v>
      </c>
      <c r="U821" t="s">
        <v>129</v>
      </c>
      <c r="V821" t="s">
        <v>73</v>
      </c>
      <c r="W821" s="58">
        <v>43312</v>
      </c>
      <c r="X821" s="59">
        <v>0.35416666666666669</v>
      </c>
      <c r="Y821" s="59">
        <v>0.39583333333333331</v>
      </c>
      <c r="Z821" s="59">
        <v>4.1666666666666664E-2</v>
      </c>
      <c r="AA821">
        <v>0</v>
      </c>
      <c r="AC821">
        <v>23</v>
      </c>
      <c r="AD821">
        <v>10</v>
      </c>
      <c r="AE821" s="59">
        <v>0.35416666666666669</v>
      </c>
      <c r="AF821" s="59">
        <v>0.39513888888888887</v>
      </c>
    </row>
    <row r="822" spans="1:32" x14ac:dyDescent="0.25">
      <c r="A822" t="s">
        <v>266</v>
      </c>
      <c r="B822" t="s">
        <v>348</v>
      </c>
      <c r="C822" t="s">
        <v>349</v>
      </c>
      <c r="E822" t="s">
        <v>350</v>
      </c>
      <c r="F822" t="s">
        <v>134</v>
      </c>
      <c r="H822" t="s">
        <v>202</v>
      </c>
      <c r="I822" t="s">
        <v>139</v>
      </c>
      <c r="J822" t="s">
        <v>258</v>
      </c>
      <c r="K822" t="s">
        <v>380</v>
      </c>
      <c r="L822" t="s">
        <v>381</v>
      </c>
      <c r="M822">
        <v>28</v>
      </c>
      <c r="N822" t="s">
        <v>382</v>
      </c>
      <c r="O822" t="s">
        <v>134</v>
      </c>
      <c r="P822" t="s">
        <v>218</v>
      </c>
      <c r="Q822" t="s">
        <v>219</v>
      </c>
      <c r="R822" t="s">
        <v>203</v>
      </c>
      <c r="S822" t="s">
        <v>128</v>
      </c>
      <c r="T822" t="s">
        <v>220</v>
      </c>
      <c r="U822" t="s">
        <v>151</v>
      </c>
      <c r="V822" t="s">
        <v>74</v>
      </c>
      <c r="W822" s="58">
        <v>43313</v>
      </c>
      <c r="X822" s="59">
        <v>0.29166666666666669</v>
      </c>
      <c r="Y822" s="59">
        <v>0.41666666666666669</v>
      </c>
      <c r="Z822" s="59">
        <v>0.125</v>
      </c>
      <c r="AA822">
        <v>0</v>
      </c>
      <c r="AC822">
        <v>60</v>
      </c>
      <c r="AD822">
        <v>30</v>
      </c>
      <c r="AE822" s="59">
        <v>0.29166666666666669</v>
      </c>
      <c r="AF822" s="59">
        <v>0.41597222222222219</v>
      </c>
    </row>
    <row r="823" spans="1:32" x14ac:dyDescent="0.25">
      <c r="A823" t="s">
        <v>258</v>
      </c>
      <c r="B823" t="s">
        <v>262</v>
      </c>
      <c r="C823" t="s">
        <v>263</v>
      </c>
      <c r="D823" t="s">
        <v>264</v>
      </c>
      <c r="E823" t="s">
        <v>265</v>
      </c>
      <c r="F823" t="s">
        <v>134</v>
      </c>
      <c r="H823" t="s">
        <v>132</v>
      </c>
      <c r="I823" t="s">
        <v>133</v>
      </c>
      <c r="J823" t="s">
        <v>258</v>
      </c>
      <c r="K823" t="s">
        <v>380</v>
      </c>
      <c r="L823" t="s">
        <v>381</v>
      </c>
      <c r="M823">
        <v>28</v>
      </c>
      <c r="N823" t="s">
        <v>382</v>
      </c>
      <c r="O823" t="s">
        <v>134</v>
      </c>
      <c r="P823" t="s">
        <v>218</v>
      </c>
      <c r="Q823" t="s">
        <v>219</v>
      </c>
      <c r="R823" t="s">
        <v>136</v>
      </c>
      <c r="S823" t="s">
        <v>128</v>
      </c>
      <c r="T823" t="s">
        <v>220</v>
      </c>
      <c r="U823" t="s">
        <v>129</v>
      </c>
      <c r="V823" t="s">
        <v>75</v>
      </c>
      <c r="W823" s="58">
        <v>43314</v>
      </c>
      <c r="X823" s="59">
        <v>0.32291666666666669</v>
      </c>
      <c r="Y823" s="59">
        <v>0.36458333333333331</v>
      </c>
      <c r="Z823" s="59">
        <v>4.1666666666666664E-2</v>
      </c>
      <c r="AA823">
        <v>0</v>
      </c>
      <c r="AC823">
        <v>23</v>
      </c>
      <c r="AD823">
        <v>10</v>
      </c>
      <c r="AE823" s="59">
        <v>0.32291666666666669</v>
      </c>
      <c r="AF823" s="59">
        <v>0.36388888888888887</v>
      </c>
    </row>
    <row r="824" spans="1:32" x14ac:dyDescent="0.25">
      <c r="A824" t="s">
        <v>266</v>
      </c>
      <c r="B824" t="s">
        <v>348</v>
      </c>
      <c r="C824" t="s">
        <v>349</v>
      </c>
      <c r="E824" t="s">
        <v>350</v>
      </c>
      <c r="F824" t="s">
        <v>134</v>
      </c>
      <c r="H824" t="s">
        <v>202</v>
      </c>
      <c r="I824" t="s">
        <v>139</v>
      </c>
      <c r="J824" t="s">
        <v>258</v>
      </c>
      <c r="K824" t="s">
        <v>380</v>
      </c>
      <c r="L824" t="s">
        <v>381</v>
      </c>
      <c r="M824">
        <v>28</v>
      </c>
      <c r="N824" t="s">
        <v>382</v>
      </c>
      <c r="O824" t="s">
        <v>134</v>
      </c>
      <c r="P824" t="s">
        <v>218</v>
      </c>
      <c r="Q824" t="s">
        <v>219</v>
      </c>
      <c r="R824" t="s">
        <v>203</v>
      </c>
      <c r="S824" t="s">
        <v>128</v>
      </c>
      <c r="T824" t="s">
        <v>220</v>
      </c>
      <c r="U824" t="s">
        <v>151</v>
      </c>
      <c r="V824" t="s">
        <v>76</v>
      </c>
      <c r="W824" s="58">
        <v>43315</v>
      </c>
      <c r="X824" s="59">
        <v>0.29166666666666669</v>
      </c>
      <c r="Y824" s="59">
        <v>0.35416666666666669</v>
      </c>
      <c r="Z824" s="59">
        <v>6.25E-2</v>
      </c>
      <c r="AA824">
        <v>0</v>
      </c>
      <c r="AC824">
        <v>30</v>
      </c>
      <c r="AD824">
        <v>15</v>
      </c>
      <c r="AE824" s="59">
        <v>0.29166666666666669</v>
      </c>
      <c r="AF824" s="59">
        <v>0.35347222222222219</v>
      </c>
    </row>
    <row r="825" spans="1:32" x14ac:dyDescent="0.25">
      <c r="A825" t="s">
        <v>258</v>
      </c>
      <c r="B825" t="s">
        <v>262</v>
      </c>
      <c r="C825" t="s">
        <v>263</v>
      </c>
      <c r="D825" t="s">
        <v>264</v>
      </c>
      <c r="E825" t="s">
        <v>265</v>
      </c>
      <c r="F825" t="s">
        <v>134</v>
      </c>
      <c r="H825" t="s">
        <v>132</v>
      </c>
      <c r="I825" t="s">
        <v>133</v>
      </c>
      <c r="J825" t="s">
        <v>258</v>
      </c>
      <c r="K825" t="s">
        <v>380</v>
      </c>
      <c r="L825" t="s">
        <v>381</v>
      </c>
      <c r="M825">
        <v>28</v>
      </c>
      <c r="N825" t="s">
        <v>382</v>
      </c>
      <c r="O825" t="s">
        <v>134</v>
      </c>
      <c r="P825" t="s">
        <v>218</v>
      </c>
      <c r="Q825" t="s">
        <v>219</v>
      </c>
      <c r="R825" t="s">
        <v>136</v>
      </c>
      <c r="S825" t="s">
        <v>128</v>
      </c>
      <c r="T825" t="s">
        <v>220</v>
      </c>
      <c r="U825" t="s">
        <v>129</v>
      </c>
      <c r="V825" t="s">
        <v>76</v>
      </c>
      <c r="W825" s="58">
        <v>43315</v>
      </c>
      <c r="X825" s="59">
        <v>0.36458333333333331</v>
      </c>
      <c r="Y825" s="59">
        <v>0.40625</v>
      </c>
      <c r="Z825" s="59">
        <v>4.1666666666666664E-2</v>
      </c>
      <c r="AA825">
        <v>0</v>
      </c>
      <c r="AB825">
        <v>1.9601999999999999</v>
      </c>
      <c r="AC825">
        <v>23</v>
      </c>
      <c r="AD825">
        <v>10</v>
      </c>
      <c r="AE825" s="59">
        <v>0.36458333333333331</v>
      </c>
      <c r="AF825" s="59">
        <v>0.4055555555555555</v>
      </c>
    </row>
    <row r="826" spans="1:32" x14ac:dyDescent="0.25">
      <c r="A826" t="s">
        <v>258</v>
      </c>
      <c r="B826" t="s">
        <v>262</v>
      </c>
      <c r="C826" t="s">
        <v>263</v>
      </c>
      <c r="D826" t="s">
        <v>264</v>
      </c>
      <c r="E826" t="s">
        <v>265</v>
      </c>
      <c r="F826" t="s">
        <v>134</v>
      </c>
      <c r="H826" t="s">
        <v>132</v>
      </c>
      <c r="I826" t="s">
        <v>133</v>
      </c>
      <c r="J826" t="s">
        <v>258</v>
      </c>
      <c r="K826" t="s">
        <v>380</v>
      </c>
      <c r="L826" t="s">
        <v>381</v>
      </c>
      <c r="M826">
        <v>28</v>
      </c>
      <c r="N826" t="s">
        <v>382</v>
      </c>
      <c r="O826" t="s">
        <v>134</v>
      </c>
      <c r="P826" t="s">
        <v>218</v>
      </c>
      <c r="Q826" t="s">
        <v>219</v>
      </c>
      <c r="R826" t="s">
        <v>136</v>
      </c>
      <c r="S826" t="s">
        <v>128</v>
      </c>
      <c r="T826" t="s">
        <v>220</v>
      </c>
      <c r="U826" t="s">
        <v>129</v>
      </c>
      <c r="V826" t="s">
        <v>76</v>
      </c>
      <c r="W826" s="58">
        <v>43315</v>
      </c>
      <c r="X826" s="59">
        <v>0.70833333333333337</v>
      </c>
      <c r="Y826" s="59">
        <v>0.75</v>
      </c>
      <c r="Z826" s="59">
        <v>4.1666666666666664E-2</v>
      </c>
      <c r="AA826">
        <v>0</v>
      </c>
      <c r="AC826">
        <v>23</v>
      </c>
      <c r="AD826">
        <v>10</v>
      </c>
      <c r="AE826" s="59">
        <v>0.70833333333333337</v>
      </c>
      <c r="AF826" s="59">
        <v>0.74930555555555556</v>
      </c>
    </row>
    <row r="827" spans="1:32" x14ac:dyDescent="0.25">
      <c r="A827" t="s">
        <v>266</v>
      </c>
      <c r="B827" t="s">
        <v>348</v>
      </c>
      <c r="C827" t="s">
        <v>349</v>
      </c>
      <c r="E827" t="s">
        <v>350</v>
      </c>
      <c r="F827" t="s">
        <v>134</v>
      </c>
      <c r="H827" t="s">
        <v>202</v>
      </c>
      <c r="I827" t="s">
        <v>139</v>
      </c>
      <c r="J827" t="s">
        <v>258</v>
      </c>
      <c r="K827" t="s">
        <v>380</v>
      </c>
      <c r="L827" t="s">
        <v>381</v>
      </c>
      <c r="M827">
        <v>28</v>
      </c>
      <c r="N827" t="s">
        <v>382</v>
      </c>
      <c r="O827" t="s">
        <v>134</v>
      </c>
      <c r="P827" t="s">
        <v>218</v>
      </c>
      <c r="Q827" t="s">
        <v>219</v>
      </c>
      <c r="R827" t="s">
        <v>203</v>
      </c>
      <c r="S827" t="s">
        <v>128</v>
      </c>
      <c r="T827" t="s">
        <v>220</v>
      </c>
      <c r="U827" t="s">
        <v>151</v>
      </c>
      <c r="V827" t="s">
        <v>77</v>
      </c>
      <c r="W827" s="58">
        <v>43316</v>
      </c>
      <c r="X827" s="59">
        <v>0.33333333333333331</v>
      </c>
      <c r="Y827" s="59">
        <v>0.375</v>
      </c>
      <c r="Z827" s="59">
        <v>4.1666666666666664E-2</v>
      </c>
      <c r="AA827">
        <v>0</v>
      </c>
      <c r="AC827">
        <v>20</v>
      </c>
      <c r="AD827">
        <v>11</v>
      </c>
      <c r="AE827" s="59">
        <v>0.33333333333333331</v>
      </c>
      <c r="AF827" s="59">
        <v>0.3743055555555555</v>
      </c>
    </row>
    <row r="828" spans="1:32" x14ac:dyDescent="0.25">
      <c r="A828" t="s">
        <v>266</v>
      </c>
      <c r="B828" t="s">
        <v>348</v>
      </c>
      <c r="C828" t="s">
        <v>349</v>
      </c>
      <c r="E828" t="s">
        <v>350</v>
      </c>
      <c r="F828" t="s">
        <v>134</v>
      </c>
      <c r="H828" t="s">
        <v>202</v>
      </c>
      <c r="I828" t="s">
        <v>139</v>
      </c>
      <c r="J828" t="s">
        <v>258</v>
      </c>
      <c r="K828" t="s">
        <v>380</v>
      </c>
      <c r="L828" t="s">
        <v>381</v>
      </c>
      <c r="M828">
        <v>28</v>
      </c>
      <c r="N828" t="s">
        <v>382</v>
      </c>
      <c r="O828" t="s">
        <v>134</v>
      </c>
      <c r="P828" t="s">
        <v>218</v>
      </c>
      <c r="Q828" t="s">
        <v>219</v>
      </c>
      <c r="R828" t="s">
        <v>203</v>
      </c>
      <c r="S828" t="s">
        <v>128</v>
      </c>
      <c r="T828" t="s">
        <v>220</v>
      </c>
      <c r="U828" t="s">
        <v>151</v>
      </c>
      <c r="V828" t="s">
        <v>71</v>
      </c>
      <c r="W828" s="58">
        <v>43317</v>
      </c>
      <c r="X828" s="59">
        <v>0.32291666666666669</v>
      </c>
      <c r="Y828" s="59">
        <v>0.36458333333333331</v>
      </c>
      <c r="Z828" s="59">
        <v>4.1666666666666664E-2</v>
      </c>
      <c r="AA828">
        <v>0</v>
      </c>
      <c r="AC828">
        <v>20</v>
      </c>
      <c r="AD828">
        <v>11</v>
      </c>
      <c r="AE828" s="59">
        <v>0.32291666666666669</v>
      </c>
      <c r="AF828" s="59">
        <v>0.36388888888888887</v>
      </c>
    </row>
    <row r="829" spans="1:32" x14ac:dyDescent="0.25">
      <c r="A829" t="s">
        <v>274</v>
      </c>
      <c r="B829" t="s">
        <v>275</v>
      </c>
      <c r="C829" t="s">
        <v>276</v>
      </c>
      <c r="E829" t="s">
        <v>277</v>
      </c>
      <c r="F829" t="s">
        <v>134</v>
      </c>
      <c r="H829" t="s">
        <v>141</v>
      </c>
      <c r="I829" t="s">
        <v>142</v>
      </c>
      <c r="J829" t="s">
        <v>258</v>
      </c>
      <c r="K829" t="s">
        <v>380</v>
      </c>
      <c r="L829" t="s">
        <v>381</v>
      </c>
      <c r="M829">
        <v>28</v>
      </c>
      <c r="N829" t="s">
        <v>382</v>
      </c>
      <c r="O829" t="s">
        <v>134</v>
      </c>
      <c r="P829" t="s">
        <v>218</v>
      </c>
      <c r="Q829" t="s">
        <v>219</v>
      </c>
      <c r="R829" t="s">
        <v>143</v>
      </c>
      <c r="S829" t="s">
        <v>128</v>
      </c>
      <c r="T829" t="s">
        <v>220</v>
      </c>
      <c r="U829" t="s">
        <v>129</v>
      </c>
      <c r="V829" t="s">
        <v>71</v>
      </c>
      <c r="W829" s="58">
        <v>43317</v>
      </c>
      <c r="X829" s="59">
        <v>0.3888888888888889</v>
      </c>
      <c r="Y829" s="59">
        <v>0.43055555555555558</v>
      </c>
      <c r="Z829" s="59">
        <v>4.1666666666666664E-2</v>
      </c>
      <c r="AA829">
        <v>0</v>
      </c>
      <c r="AB829">
        <v>3.3410000000000002</v>
      </c>
      <c r="AC829">
        <v>23</v>
      </c>
      <c r="AD829">
        <v>11</v>
      </c>
      <c r="AE829" s="59">
        <v>0.3888888888888889</v>
      </c>
      <c r="AF829" s="59">
        <v>0.42986111111111108</v>
      </c>
    </row>
    <row r="830" spans="1:32" x14ac:dyDescent="0.25">
      <c r="A830" t="s">
        <v>266</v>
      </c>
      <c r="B830" t="s">
        <v>348</v>
      </c>
      <c r="C830" t="s">
        <v>349</v>
      </c>
      <c r="E830" t="s">
        <v>350</v>
      </c>
      <c r="F830" t="s">
        <v>134</v>
      </c>
      <c r="H830" t="s">
        <v>202</v>
      </c>
      <c r="I830" t="s">
        <v>139</v>
      </c>
      <c r="J830" t="s">
        <v>258</v>
      </c>
      <c r="K830" t="s">
        <v>380</v>
      </c>
      <c r="L830" t="s">
        <v>381</v>
      </c>
      <c r="M830">
        <v>28</v>
      </c>
      <c r="N830" t="s">
        <v>382</v>
      </c>
      <c r="O830" t="s">
        <v>134</v>
      </c>
      <c r="P830" t="s">
        <v>218</v>
      </c>
      <c r="Q830" t="s">
        <v>219</v>
      </c>
      <c r="R830" t="s">
        <v>203</v>
      </c>
      <c r="S830" t="s">
        <v>128</v>
      </c>
      <c r="T830" t="s">
        <v>220</v>
      </c>
      <c r="U830" t="s">
        <v>151</v>
      </c>
      <c r="V830" t="s">
        <v>72</v>
      </c>
      <c r="W830" s="58">
        <v>43318</v>
      </c>
      <c r="X830" s="59">
        <v>0.29166666666666669</v>
      </c>
      <c r="Y830" s="59">
        <v>0.33333333333333331</v>
      </c>
      <c r="Z830" s="59">
        <v>4.1666666666666664E-2</v>
      </c>
      <c r="AA830">
        <v>3</v>
      </c>
      <c r="AC830">
        <v>20</v>
      </c>
      <c r="AD830">
        <v>10</v>
      </c>
      <c r="AE830" s="59">
        <v>0.29166666666666669</v>
      </c>
      <c r="AF830" s="59">
        <v>0.33263888888888887</v>
      </c>
    </row>
    <row r="831" spans="1:32" x14ac:dyDescent="0.25">
      <c r="A831" t="s">
        <v>258</v>
      </c>
      <c r="B831" t="s">
        <v>262</v>
      </c>
      <c r="C831" t="s">
        <v>263</v>
      </c>
      <c r="D831" t="s">
        <v>264</v>
      </c>
      <c r="E831" t="s">
        <v>265</v>
      </c>
      <c r="F831" t="s">
        <v>134</v>
      </c>
      <c r="H831" t="s">
        <v>132</v>
      </c>
      <c r="I831" t="s">
        <v>133</v>
      </c>
      <c r="J831" t="s">
        <v>258</v>
      </c>
      <c r="K831" t="s">
        <v>380</v>
      </c>
      <c r="L831" t="s">
        <v>381</v>
      </c>
      <c r="M831">
        <v>28</v>
      </c>
      <c r="N831" t="s">
        <v>382</v>
      </c>
      <c r="O831" t="s">
        <v>134</v>
      </c>
      <c r="P831" t="s">
        <v>218</v>
      </c>
      <c r="Q831" t="s">
        <v>219</v>
      </c>
      <c r="R831" t="s">
        <v>136</v>
      </c>
      <c r="S831" t="s">
        <v>128</v>
      </c>
      <c r="T831" t="s">
        <v>220</v>
      </c>
      <c r="U831" t="s">
        <v>129</v>
      </c>
      <c r="V831" t="s">
        <v>72</v>
      </c>
      <c r="W831" s="58">
        <v>43318</v>
      </c>
      <c r="X831" s="59">
        <v>0.35416666666666669</v>
      </c>
      <c r="Y831" s="59">
        <v>0.39583333333333331</v>
      </c>
      <c r="Z831" s="59">
        <v>4.1666666666666664E-2</v>
      </c>
      <c r="AA831">
        <v>0</v>
      </c>
      <c r="AB831">
        <v>1.9601999999999999</v>
      </c>
      <c r="AC831">
        <v>23</v>
      </c>
      <c r="AD831">
        <v>10</v>
      </c>
      <c r="AE831" s="59">
        <v>0.35416666666666669</v>
      </c>
      <c r="AF831" s="59">
        <v>0.39513888888888887</v>
      </c>
    </row>
    <row r="832" spans="1:32" x14ac:dyDescent="0.25">
      <c r="A832" t="s">
        <v>258</v>
      </c>
      <c r="B832" t="s">
        <v>270</v>
      </c>
      <c r="C832" t="s">
        <v>271</v>
      </c>
      <c r="D832" t="s">
        <v>272</v>
      </c>
      <c r="E832" t="s">
        <v>273</v>
      </c>
      <c r="F832" t="s">
        <v>134</v>
      </c>
      <c r="H832" t="s">
        <v>138</v>
      </c>
      <c r="I832" t="s">
        <v>139</v>
      </c>
      <c r="J832" t="s">
        <v>258</v>
      </c>
      <c r="K832" t="s">
        <v>380</v>
      </c>
      <c r="L832" t="s">
        <v>381</v>
      </c>
      <c r="M832">
        <v>28</v>
      </c>
      <c r="N832" t="s">
        <v>382</v>
      </c>
      <c r="O832" t="s">
        <v>134</v>
      </c>
      <c r="P832" t="s">
        <v>218</v>
      </c>
      <c r="Q832" t="s">
        <v>219</v>
      </c>
      <c r="R832" t="s">
        <v>140</v>
      </c>
      <c r="S832" t="s">
        <v>128</v>
      </c>
      <c r="T832" t="s">
        <v>220</v>
      </c>
      <c r="U832" t="s">
        <v>129</v>
      </c>
      <c r="V832" t="s">
        <v>74</v>
      </c>
      <c r="W832" s="58">
        <v>43320</v>
      </c>
      <c r="X832" s="59">
        <v>0.3263888888888889</v>
      </c>
      <c r="Y832" s="59">
        <v>0.36805555555555558</v>
      </c>
      <c r="Z832" s="59">
        <v>4.1666666666666664E-2</v>
      </c>
      <c r="AA832">
        <v>0</v>
      </c>
      <c r="AC832">
        <v>23</v>
      </c>
      <c r="AD832">
        <v>10</v>
      </c>
      <c r="AE832" s="59">
        <v>0.3263888888888889</v>
      </c>
      <c r="AF832" s="59">
        <v>0.36736111111111108</v>
      </c>
    </row>
    <row r="833" spans="1:32" x14ac:dyDescent="0.25">
      <c r="A833" t="s">
        <v>258</v>
      </c>
      <c r="B833" t="s">
        <v>262</v>
      </c>
      <c r="C833" t="s">
        <v>263</v>
      </c>
      <c r="D833" t="s">
        <v>264</v>
      </c>
      <c r="E833" t="s">
        <v>265</v>
      </c>
      <c r="F833" t="s">
        <v>134</v>
      </c>
      <c r="H833" t="s">
        <v>132</v>
      </c>
      <c r="I833" t="s">
        <v>133</v>
      </c>
      <c r="J833" t="s">
        <v>258</v>
      </c>
      <c r="K833" t="s">
        <v>380</v>
      </c>
      <c r="L833" t="s">
        <v>381</v>
      </c>
      <c r="M833">
        <v>28</v>
      </c>
      <c r="N833" t="s">
        <v>382</v>
      </c>
      <c r="O833" t="s">
        <v>134</v>
      </c>
      <c r="P833" t="s">
        <v>218</v>
      </c>
      <c r="Q833" t="s">
        <v>219</v>
      </c>
      <c r="R833" t="s">
        <v>136</v>
      </c>
      <c r="S833" t="s">
        <v>128</v>
      </c>
      <c r="T833" t="s">
        <v>220</v>
      </c>
      <c r="U833" t="s">
        <v>129</v>
      </c>
      <c r="V833" t="s">
        <v>74</v>
      </c>
      <c r="W833" s="58">
        <v>43320</v>
      </c>
      <c r="X833" s="59">
        <v>0.38541666666666669</v>
      </c>
      <c r="Y833" s="59">
        <v>0.42708333333333331</v>
      </c>
      <c r="Z833" s="59">
        <v>4.1666666666666664E-2</v>
      </c>
      <c r="AA833">
        <v>6</v>
      </c>
      <c r="AB833">
        <v>2.3898000000000001</v>
      </c>
      <c r="AC833">
        <v>23</v>
      </c>
      <c r="AD833">
        <v>10</v>
      </c>
      <c r="AE833" s="59">
        <v>0.38541666666666669</v>
      </c>
      <c r="AF833" s="59">
        <v>0.42638888888888887</v>
      </c>
    </row>
    <row r="834" spans="1:32" x14ac:dyDescent="0.25">
      <c r="A834" t="s">
        <v>258</v>
      </c>
      <c r="B834" t="s">
        <v>262</v>
      </c>
      <c r="C834" t="s">
        <v>263</v>
      </c>
      <c r="D834" t="s">
        <v>264</v>
      </c>
      <c r="E834" t="s">
        <v>265</v>
      </c>
      <c r="F834" t="s">
        <v>134</v>
      </c>
      <c r="H834" t="s">
        <v>132</v>
      </c>
      <c r="I834" t="s">
        <v>133</v>
      </c>
      <c r="J834" t="s">
        <v>258</v>
      </c>
      <c r="K834" t="s">
        <v>380</v>
      </c>
      <c r="L834" t="s">
        <v>381</v>
      </c>
      <c r="M834">
        <v>28</v>
      </c>
      <c r="N834" t="s">
        <v>382</v>
      </c>
      <c r="O834" t="s">
        <v>134</v>
      </c>
      <c r="P834" t="s">
        <v>218</v>
      </c>
      <c r="Q834" t="s">
        <v>219</v>
      </c>
      <c r="R834" t="s">
        <v>136</v>
      </c>
      <c r="S834" t="s">
        <v>128</v>
      </c>
      <c r="T834" t="s">
        <v>220</v>
      </c>
      <c r="U834" t="s">
        <v>129</v>
      </c>
      <c r="V834" t="s">
        <v>76</v>
      </c>
      <c r="W834" s="58">
        <v>43322</v>
      </c>
      <c r="X834" s="59">
        <v>0.35416666666666669</v>
      </c>
      <c r="Y834" s="59">
        <v>0.39583333333333331</v>
      </c>
      <c r="Z834" s="59">
        <v>4.1666666666666664E-2</v>
      </c>
      <c r="AA834">
        <v>6</v>
      </c>
      <c r="AC834">
        <v>23</v>
      </c>
      <c r="AD834">
        <v>10</v>
      </c>
      <c r="AE834" s="59">
        <v>0.35416666666666669</v>
      </c>
      <c r="AF834" s="59">
        <v>0.39513888888888887</v>
      </c>
    </row>
    <row r="835" spans="1:32" x14ac:dyDescent="0.25">
      <c r="A835" t="s">
        <v>258</v>
      </c>
      <c r="B835" t="s">
        <v>262</v>
      </c>
      <c r="C835" t="s">
        <v>263</v>
      </c>
      <c r="D835" t="s">
        <v>264</v>
      </c>
      <c r="E835" t="s">
        <v>265</v>
      </c>
      <c r="F835" t="s">
        <v>134</v>
      </c>
      <c r="H835" t="s">
        <v>132</v>
      </c>
      <c r="I835" t="s">
        <v>133</v>
      </c>
      <c r="J835" t="s">
        <v>258</v>
      </c>
      <c r="K835" t="s">
        <v>380</v>
      </c>
      <c r="L835" t="s">
        <v>381</v>
      </c>
      <c r="M835">
        <v>28</v>
      </c>
      <c r="N835" t="s">
        <v>382</v>
      </c>
      <c r="O835" t="s">
        <v>134</v>
      </c>
      <c r="P835" t="s">
        <v>218</v>
      </c>
      <c r="Q835" t="s">
        <v>219</v>
      </c>
      <c r="R835" t="s">
        <v>136</v>
      </c>
      <c r="S835" t="s">
        <v>128</v>
      </c>
      <c r="T835" t="s">
        <v>220</v>
      </c>
      <c r="U835" t="s">
        <v>129</v>
      </c>
      <c r="V835" t="s">
        <v>77</v>
      </c>
      <c r="W835" s="58">
        <v>43323</v>
      </c>
      <c r="X835" s="59">
        <v>0.35416666666666669</v>
      </c>
      <c r="Y835" s="59">
        <v>0.39583333333333331</v>
      </c>
      <c r="Z835" s="59">
        <v>4.1666666666666664E-2</v>
      </c>
      <c r="AA835">
        <v>0</v>
      </c>
      <c r="AC835">
        <v>23</v>
      </c>
      <c r="AD835">
        <v>11</v>
      </c>
      <c r="AE835" s="59">
        <v>0.35416666666666669</v>
      </c>
      <c r="AF835" s="59">
        <v>0.39513888888888887</v>
      </c>
    </row>
    <row r="836" spans="1:32" x14ac:dyDescent="0.25">
      <c r="A836" t="s">
        <v>258</v>
      </c>
      <c r="B836" t="s">
        <v>262</v>
      </c>
      <c r="C836" t="s">
        <v>263</v>
      </c>
      <c r="D836" t="s">
        <v>264</v>
      </c>
      <c r="E836" t="s">
        <v>265</v>
      </c>
      <c r="F836" t="s">
        <v>134</v>
      </c>
      <c r="H836" t="s">
        <v>132</v>
      </c>
      <c r="I836" t="s">
        <v>133</v>
      </c>
      <c r="J836" t="s">
        <v>258</v>
      </c>
      <c r="K836" t="s">
        <v>380</v>
      </c>
      <c r="L836" t="s">
        <v>381</v>
      </c>
      <c r="M836">
        <v>28</v>
      </c>
      <c r="N836" t="s">
        <v>382</v>
      </c>
      <c r="O836" t="s">
        <v>134</v>
      </c>
      <c r="P836" t="s">
        <v>218</v>
      </c>
      <c r="Q836" t="s">
        <v>219</v>
      </c>
      <c r="R836" t="s">
        <v>136</v>
      </c>
      <c r="S836" t="s">
        <v>128</v>
      </c>
      <c r="T836" t="s">
        <v>220</v>
      </c>
      <c r="U836" t="s">
        <v>129</v>
      </c>
      <c r="V836" t="s">
        <v>71</v>
      </c>
      <c r="W836" s="58">
        <v>43324</v>
      </c>
      <c r="X836" s="59">
        <v>0.36458333333333331</v>
      </c>
      <c r="Y836" s="59">
        <v>0.40625</v>
      </c>
      <c r="Z836" s="59">
        <v>4.1666666666666664E-2</v>
      </c>
      <c r="AA836">
        <v>0</v>
      </c>
      <c r="AC836">
        <v>23</v>
      </c>
      <c r="AD836">
        <v>11</v>
      </c>
      <c r="AE836" s="59">
        <v>0.36458333333333331</v>
      </c>
      <c r="AF836" s="59">
        <v>0.4055555555555555</v>
      </c>
    </row>
    <row r="837" spans="1:32" x14ac:dyDescent="0.25">
      <c r="A837" t="s">
        <v>266</v>
      </c>
      <c r="B837" t="s">
        <v>348</v>
      </c>
      <c r="C837" t="s">
        <v>349</v>
      </c>
      <c r="E837" t="s">
        <v>350</v>
      </c>
      <c r="F837" t="s">
        <v>134</v>
      </c>
      <c r="H837" t="s">
        <v>202</v>
      </c>
      <c r="I837" t="s">
        <v>139</v>
      </c>
      <c r="J837" t="s">
        <v>258</v>
      </c>
      <c r="K837" t="s">
        <v>380</v>
      </c>
      <c r="L837" t="s">
        <v>381</v>
      </c>
      <c r="M837">
        <v>28</v>
      </c>
      <c r="N837" t="s">
        <v>382</v>
      </c>
      <c r="O837" t="s">
        <v>134</v>
      </c>
      <c r="P837" t="s">
        <v>218</v>
      </c>
      <c r="Q837" t="s">
        <v>219</v>
      </c>
      <c r="R837" t="s">
        <v>203</v>
      </c>
      <c r="S837" t="s">
        <v>128</v>
      </c>
      <c r="T837" t="s">
        <v>220</v>
      </c>
      <c r="U837" t="s">
        <v>151</v>
      </c>
      <c r="V837" t="s">
        <v>72</v>
      </c>
      <c r="W837" s="58">
        <v>43325</v>
      </c>
      <c r="X837" s="59">
        <v>0.29166666666666669</v>
      </c>
      <c r="Y837" s="59">
        <v>0.33333333333333331</v>
      </c>
      <c r="Z837" s="59">
        <v>4.1666666666666664E-2</v>
      </c>
      <c r="AA837">
        <v>0</v>
      </c>
      <c r="AC837">
        <v>20</v>
      </c>
      <c r="AD837">
        <v>10</v>
      </c>
      <c r="AE837" s="59">
        <v>0.29166666666666669</v>
      </c>
      <c r="AF837" s="59">
        <v>0.33263888888888887</v>
      </c>
    </row>
    <row r="838" spans="1:32" x14ac:dyDescent="0.25">
      <c r="A838" t="s">
        <v>258</v>
      </c>
      <c r="B838" t="s">
        <v>262</v>
      </c>
      <c r="C838" t="s">
        <v>263</v>
      </c>
      <c r="D838" t="s">
        <v>264</v>
      </c>
      <c r="E838" t="s">
        <v>265</v>
      </c>
      <c r="F838" t="s">
        <v>134</v>
      </c>
      <c r="H838" t="s">
        <v>132</v>
      </c>
      <c r="I838" t="s">
        <v>133</v>
      </c>
      <c r="J838" t="s">
        <v>258</v>
      </c>
      <c r="K838" t="s">
        <v>380</v>
      </c>
      <c r="L838" t="s">
        <v>381</v>
      </c>
      <c r="M838">
        <v>28</v>
      </c>
      <c r="N838" t="s">
        <v>382</v>
      </c>
      <c r="O838" t="s">
        <v>134</v>
      </c>
      <c r="P838" t="s">
        <v>218</v>
      </c>
      <c r="Q838" t="s">
        <v>219</v>
      </c>
      <c r="R838" t="s">
        <v>136</v>
      </c>
      <c r="S838" t="s">
        <v>128</v>
      </c>
      <c r="T838" t="s">
        <v>220</v>
      </c>
      <c r="U838" t="s">
        <v>129</v>
      </c>
      <c r="V838" t="s">
        <v>72</v>
      </c>
      <c r="W838" s="58">
        <v>43325</v>
      </c>
      <c r="X838" s="59">
        <v>0.35416666666666669</v>
      </c>
      <c r="Y838" s="59">
        <v>0.39583333333333331</v>
      </c>
      <c r="Z838" s="59">
        <v>4.1666666666666664E-2</v>
      </c>
      <c r="AA838">
        <v>0</v>
      </c>
      <c r="AB838">
        <v>1.9601999999999999</v>
      </c>
      <c r="AC838">
        <v>23</v>
      </c>
      <c r="AD838">
        <v>10</v>
      </c>
      <c r="AE838" s="59">
        <v>0.35416666666666669</v>
      </c>
      <c r="AF838" s="59">
        <v>0.39513888888888887</v>
      </c>
    </row>
    <row r="839" spans="1:32" x14ac:dyDescent="0.25">
      <c r="A839" t="s">
        <v>258</v>
      </c>
      <c r="B839" t="s">
        <v>262</v>
      </c>
      <c r="C839" t="s">
        <v>263</v>
      </c>
      <c r="D839" t="s">
        <v>264</v>
      </c>
      <c r="E839" t="s">
        <v>265</v>
      </c>
      <c r="F839" t="s">
        <v>134</v>
      </c>
      <c r="H839" t="s">
        <v>132</v>
      </c>
      <c r="I839" t="s">
        <v>133</v>
      </c>
      <c r="J839" t="s">
        <v>258</v>
      </c>
      <c r="K839" t="s">
        <v>380</v>
      </c>
      <c r="L839" t="s">
        <v>381</v>
      </c>
      <c r="M839">
        <v>28</v>
      </c>
      <c r="N839" t="s">
        <v>382</v>
      </c>
      <c r="O839" t="s">
        <v>134</v>
      </c>
      <c r="P839" t="s">
        <v>218</v>
      </c>
      <c r="Q839" t="s">
        <v>219</v>
      </c>
      <c r="R839" t="s">
        <v>136</v>
      </c>
      <c r="S839" t="s">
        <v>128</v>
      </c>
      <c r="T839" t="s">
        <v>220</v>
      </c>
      <c r="U839" t="s">
        <v>129</v>
      </c>
      <c r="V839" t="s">
        <v>74</v>
      </c>
      <c r="W839" s="58">
        <v>43327</v>
      </c>
      <c r="X839" s="59">
        <v>0.375</v>
      </c>
      <c r="Y839" s="59">
        <v>0.41666666666666669</v>
      </c>
      <c r="Z839" s="59">
        <v>4.1666666666666664E-2</v>
      </c>
      <c r="AA839">
        <v>0</v>
      </c>
      <c r="AC839">
        <v>23</v>
      </c>
      <c r="AD839">
        <v>10</v>
      </c>
      <c r="AE839" s="59">
        <v>0.375</v>
      </c>
      <c r="AF839" s="59">
        <v>0.41597222222222219</v>
      </c>
    </row>
    <row r="840" spans="1:32" x14ac:dyDescent="0.25">
      <c r="A840" t="s">
        <v>266</v>
      </c>
      <c r="B840" t="s">
        <v>348</v>
      </c>
      <c r="C840" t="s">
        <v>349</v>
      </c>
      <c r="E840" t="s">
        <v>350</v>
      </c>
      <c r="F840" t="s">
        <v>134</v>
      </c>
      <c r="H840" t="s">
        <v>202</v>
      </c>
      <c r="I840" t="s">
        <v>139</v>
      </c>
      <c r="J840" t="s">
        <v>258</v>
      </c>
      <c r="K840" t="s">
        <v>380</v>
      </c>
      <c r="L840" t="s">
        <v>381</v>
      </c>
      <c r="M840">
        <v>28</v>
      </c>
      <c r="N840" t="s">
        <v>382</v>
      </c>
      <c r="O840" t="s">
        <v>134</v>
      </c>
      <c r="P840" t="s">
        <v>218</v>
      </c>
      <c r="Q840" t="s">
        <v>219</v>
      </c>
      <c r="R840" t="s">
        <v>203</v>
      </c>
      <c r="S840" t="s">
        <v>128</v>
      </c>
      <c r="T840" t="s">
        <v>220</v>
      </c>
      <c r="U840" t="s">
        <v>151</v>
      </c>
      <c r="V840" t="s">
        <v>76</v>
      </c>
      <c r="W840" s="58">
        <v>43329</v>
      </c>
      <c r="X840" s="59">
        <v>0.29166666666666669</v>
      </c>
      <c r="Y840" s="59">
        <v>0.35416666666666669</v>
      </c>
      <c r="Z840" s="59">
        <v>6.25E-2</v>
      </c>
      <c r="AA840">
        <v>0</v>
      </c>
      <c r="AC840">
        <v>30</v>
      </c>
      <c r="AD840">
        <v>15</v>
      </c>
      <c r="AE840" s="59">
        <v>0.29166666666666669</v>
      </c>
      <c r="AF840" s="59">
        <v>0.35347222222222219</v>
      </c>
    </row>
    <row r="841" spans="1:32" x14ac:dyDescent="0.25">
      <c r="A841" t="s">
        <v>258</v>
      </c>
      <c r="B841" t="s">
        <v>262</v>
      </c>
      <c r="C841" t="s">
        <v>263</v>
      </c>
      <c r="D841" t="s">
        <v>264</v>
      </c>
      <c r="E841" t="s">
        <v>265</v>
      </c>
      <c r="F841" t="s">
        <v>134</v>
      </c>
      <c r="H841" t="s">
        <v>132</v>
      </c>
      <c r="I841" t="s">
        <v>133</v>
      </c>
      <c r="J841" t="s">
        <v>258</v>
      </c>
      <c r="K841" t="s">
        <v>380</v>
      </c>
      <c r="L841" t="s">
        <v>381</v>
      </c>
      <c r="M841">
        <v>28</v>
      </c>
      <c r="N841" t="s">
        <v>382</v>
      </c>
      <c r="O841" t="s">
        <v>134</v>
      </c>
      <c r="P841" t="s">
        <v>218</v>
      </c>
      <c r="Q841" t="s">
        <v>219</v>
      </c>
      <c r="R841" t="s">
        <v>136</v>
      </c>
      <c r="S841" t="s">
        <v>128</v>
      </c>
      <c r="T841" t="s">
        <v>220</v>
      </c>
      <c r="U841" t="s">
        <v>129</v>
      </c>
      <c r="V841" t="s">
        <v>76</v>
      </c>
      <c r="W841" s="58">
        <v>43329</v>
      </c>
      <c r="X841" s="59">
        <v>0.36458333333333331</v>
      </c>
      <c r="Y841" s="59">
        <v>0.40625</v>
      </c>
      <c r="Z841" s="59">
        <v>4.1666666666666664E-2</v>
      </c>
      <c r="AA841">
        <v>0</v>
      </c>
      <c r="AB841">
        <v>1.9601999999999999</v>
      </c>
      <c r="AC841">
        <v>23</v>
      </c>
      <c r="AD841">
        <v>10</v>
      </c>
      <c r="AE841" s="59">
        <v>0.36458333333333331</v>
      </c>
      <c r="AF841" s="59">
        <v>0.4055555555555555</v>
      </c>
    </row>
    <row r="842" spans="1:32" x14ac:dyDescent="0.25">
      <c r="A842" t="s">
        <v>258</v>
      </c>
      <c r="B842" t="s">
        <v>262</v>
      </c>
      <c r="C842" t="s">
        <v>263</v>
      </c>
      <c r="D842" t="s">
        <v>264</v>
      </c>
      <c r="E842" t="s">
        <v>265</v>
      </c>
      <c r="F842" t="s">
        <v>134</v>
      </c>
      <c r="H842" t="s">
        <v>132</v>
      </c>
      <c r="I842" t="s">
        <v>133</v>
      </c>
      <c r="J842" t="s">
        <v>258</v>
      </c>
      <c r="K842" t="s">
        <v>380</v>
      </c>
      <c r="L842" t="s">
        <v>381</v>
      </c>
      <c r="M842">
        <v>28</v>
      </c>
      <c r="N842" t="s">
        <v>382</v>
      </c>
      <c r="O842" t="s">
        <v>134</v>
      </c>
      <c r="P842" t="s">
        <v>218</v>
      </c>
      <c r="Q842" t="s">
        <v>219</v>
      </c>
      <c r="R842" t="s">
        <v>136</v>
      </c>
      <c r="S842" t="s">
        <v>128</v>
      </c>
      <c r="T842" t="s">
        <v>220</v>
      </c>
      <c r="U842" t="s">
        <v>129</v>
      </c>
      <c r="V842" t="s">
        <v>71</v>
      </c>
      <c r="W842" s="58">
        <v>43331</v>
      </c>
      <c r="X842" s="59">
        <v>0.36458333333333331</v>
      </c>
      <c r="Y842" s="59">
        <v>0.41666666666666669</v>
      </c>
      <c r="Z842" s="59">
        <v>5.2083333333333336E-2</v>
      </c>
      <c r="AA842">
        <v>6</v>
      </c>
      <c r="AC842">
        <v>28.75</v>
      </c>
      <c r="AD842">
        <v>13.75</v>
      </c>
      <c r="AE842" s="59">
        <v>0.36458333333333331</v>
      </c>
      <c r="AF842" s="59">
        <v>0.4055555555555555</v>
      </c>
    </row>
    <row r="843" spans="1:32" x14ac:dyDescent="0.25">
      <c r="A843" t="s">
        <v>258</v>
      </c>
      <c r="B843" t="s">
        <v>262</v>
      </c>
      <c r="C843" t="s">
        <v>263</v>
      </c>
      <c r="D843" t="s">
        <v>264</v>
      </c>
      <c r="E843" t="s">
        <v>265</v>
      </c>
      <c r="F843" t="s">
        <v>134</v>
      </c>
      <c r="H843" t="s">
        <v>132</v>
      </c>
      <c r="I843" t="s">
        <v>133</v>
      </c>
      <c r="J843" t="s">
        <v>258</v>
      </c>
      <c r="K843" t="s">
        <v>380</v>
      </c>
      <c r="L843" t="s">
        <v>381</v>
      </c>
      <c r="M843">
        <v>28</v>
      </c>
      <c r="N843" t="s">
        <v>382</v>
      </c>
      <c r="O843" t="s">
        <v>134</v>
      </c>
      <c r="P843" t="s">
        <v>218</v>
      </c>
      <c r="Q843" t="s">
        <v>219</v>
      </c>
      <c r="R843" t="s">
        <v>136</v>
      </c>
      <c r="S843" t="s">
        <v>128</v>
      </c>
      <c r="T843" t="s">
        <v>220</v>
      </c>
      <c r="U843" t="s">
        <v>129</v>
      </c>
      <c r="V843" t="s">
        <v>71</v>
      </c>
      <c r="W843" s="58">
        <v>43331</v>
      </c>
      <c r="X843" s="59">
        <v>0.70833333333333337</v>
      </c>
      <c r="Y843" s="59">
        <v>0.75</v>
      </c>
      <c r="Z843" s="59">
        <v>4.1666666666666664E-2</v>
      </c>
      <c r="AA843">
        <v>0</v>
      </c>
      <c r="AC843">
        <v>23</v>
      </c>
      <c r="AD843">
        <v>11</v>
      </c>
      <c r="AE843" s="59">
        <v>0.70833333333333337</v>
      </c>
      <c r="AF843" s="59">
        <v>0.74930555555555556</v>
      </c>
    </row>
    <row r="844" spans="1:32" x14ac:dyDescent="0.25">
      <c r="A844" t="s">
        <v>266</v>
      </c>
      <c r="B844" t="s">
        <v>348</v>
      </c>
      <c r="C844" t="s">
        <v>349</v>
      </c>
      <c r="E844" t="s">
        <v>350</v>
      </c>
      <c r="F844" t="s">
        <v>134</v>
      </c>
      <c r="H844" t="s">
        <v>202</v>
      </c>
      <c r="I844" t="s">
        <v>139</v>
      </c>
      <c r="J844" t="s">
        <v>258</v>
      </c>
      <c r="K844" t="s">
        <v>380</v>
      </c>
      <c r="L844" t="s">
        <v>381</v>
      </c>
      <c r="M844">
        <v>28</v>
      </c>
      <c r="N844" t="s">
        <v>382</v>
      </c>
      <c r="O844" t="s">
        <v>134</v>
      </c>
      <c r="P844" t="s">
        <v>218</v>
      </c>
      <c r="Q844" t="s">
        <v>219</v>
      </c>
      <c r="R844" t="s">
        <v>203</v>
      </c>
      <c r="S844" t="s">
        <v>128</v>
      </c>
      <c r="T844" t="s">
        <v>220</v>
      </c>
      <c r="U844" t="s">
        <v>151</v>
      </c>
      <c r="V844" t="s">
        <v>72</v>
      </c>
      <c r="W844" s="58">
        <v>43332</v>
      </c>
      <c r="X844" s="59">
        <v>0.29166666666666669</v>
      </c>
      <c r="Y844" s="59">
        <v>0.33333333333333331</v>
      </c>
      <c r="Z844" s="59">
        <v>4.1666666666666664E-2</v>
      </c>
      <c r="AA844">
        <v>0</v>
      </c>
      <c r="AC844">
        <v>20</v>
      </c>
      <c r="AD844">
        <v>12</v>
      </c>
      <c r="AE844" s="59">
        <v>0.29166666666666669</v>
      </c>
      <c r="AF844" s="59">
        <v>0.33263888888888887</v>
      </c>
    </row>
    <row r="845" spans="1:32" x14ac:dyDescent="0.25">
      <c r="A845" t="s">
        <v>258</v>
      </c>
      <c r="B845" t="s">
        <v>262</v>
      </c>
      <c r="C845" t="s">
        <v>263</v>
      </c>
      <c r="D845" t="s">
        <v>264</v>
      </c>
      <c r="E845" t="s">
        <v>265</v>
      </c>
      <c r="F845" t="s">
        <v>134</v>
      </c>
      <c r="H845" t="s">
        <v>132</v>
      </c>
      <c r="I845" t="s">
        <v>133</v>
      </c>
      <c r="J845" t="s">
        <v>258</v>
      </c>
      <c r="K845" t="s">
        <v>380</v>
      </c>
      <c r="L845" t="s">
        <v>381</v>
      </c>
      <c r="M845">
        <v>28</v>
      </c>
      <c r="N845" t="s">
        <v>382</v>
      </c>
      <c r="O845" t="s">
        <v>134</v>
      </c>
      <c r="P845" t="s">
        <v>218</v>
      </c>
      <c r="Q845" t="s">
        <v>219</v>
      </c>
      <c r="R845" t="s">
        <v>136</v>
      </c>
      <c r="S845" t="s">
        <v>128</v>
      </c>
      <c r="T845" t="s">
        <v>220</v>
      </c>
      <c r="U845" t="s">
        <v>129</v>
      </c>
      <c r="V845" t="s">
        <v>72</v>
      </c>
      <c r="W845" s="58">
        <v>43332</v>
      </c>
      <c r="X845" s="59">
        <v>0.34375</v>
      </c>
      <c r="Y845" s="59">
        <v>0.40625</v>
      </c>
      <c r="Z845" s="59">
        <v>6.25E-2</v>
      </c>
      <c r="AA845">
        <v>6</v>
      </c>
      <c r="AB845">
        <v>1.9601999999999999</v>
      </c>
      <c r="AC845">
        <v>34.5</v>
      </c>
      <c r="AD845">
        <v>18</v>
      </c>
      <c r="AE845" s="59">
        <v>0.35416666666666669</v>
      </c>
      <c r="AF845" s="59">
        <v>0.39513888888888887</v>
      </c>
    </row>
    <row r="846" spans="1:32" x14ac:dyDescent="0.25">
      <c r="A846" t="s">
        <v>258</v>
      </c>
      <c r="B846" t="s">
        <v>270</v>
      </c>
      <c r="C846" t="s">
        <v>271</v>
      </c>
      <c r="D846" t="s">
        <v>272</v>
      </c>
      <c r="E846" t="s">
        <v>273</v>
      </c>
      <c r="F846" t="s">
        <v>134</v>
      </c>
      <c r="H846" t="s">
        <v>138</v>
      </c>
      <c r="I846" t="s">
        <v>139</v>
      </c>
      <c r="J846" t="s">
        <v>258</v>
      </c>
      <c r="K846" t="s">
        <v>380</v>
      </c>
      <c r="L846" t="s">
        <v>381</v>
      </c>
      <c r="M846">
        <v>28</v>
      </c>
      <c r="N846" t="s">
        <v>382</v>
      </c>
      <c r="O846" t="s">
        <v>134</v>
      </c>
      <c r="P846" t="s">
        <v>218</v>
      </c>
      <c r="Q846" t="s">
        <v>219</v>
      </c>
      <c r="R846" t="s">
        <v>140</v>
      </c>
      <c r="S846" t="s">
        <v>128</v>
      </c>
      <c r="T846" t="s">
        <v>220</v>
      </c>
      <c r="U846" t="s">
        <v>129</v>
      </c>
      <c r="V846" t="s">
        <v>74</v>
      </c>
      <c r="W846" s="58">
        <v>43334</v>
      </c>
      <c r="X846" s="59">
        <v>0.33333333333333331</v>
      </c>
      <c r="Y846" s="59">
        <v>0.375</v>
      </c>
      <c r="Z846" s="59">
        <v>4.1666666666666664E-2</v>
      </c>
      <c r="AA846">
        <v>0</v>
      </c>
      <c r="AC846">
        <v>23</v>
      </c>
      <c r="AD846">
        <v>12</v>
      </c>
      <c r="AE846" s="59">
        <v>0.33333333333333331</v>
      </c>
      <c r="AF846" s="59">
        <v>0.3743055555555555</v>
      </c>
    </row>
    <row r="847" spans="1:32" x14ac:dyDescent="0.25">
      <c r="A847" t="s">
        <v>258</v>
      </c>
      <c r="B847" t="s">
        <v>262</v>
      </c>
      <c r="C847" t="s">
        <v>263</v>
      </c>
      <c r="D847" t="s">
        <v>264</v>
      </c>
      <c r="E847" t="s">
        <v>265</v>
      </c>
      <c r="F847" t="s">
        <v>134</v>
      </c>
      <c r="H847" t="s">
        <v>132</v>
      </c>
      <c r="I847" t="s">
        <v>133</v>
      </c>
      <c r="J847" t="s">
        <v>258</v>
      </c>
      <c r="K847" t="s">
        <v>380</v>
      </c>
      <c r="L847" t="s">
        <v>381</v>
      </c>
      <c r="M847">
        <v>28</v>
      </c>
      <c r="N847" t="s">
        <v>382</v>
      </c>
      <c r="O847" t="s">
        <v>134</v>
      </c>
      <c r="P847" t="s">
        <v>218</v>
      </c>
      <c r="Q847" t="s">
        <v>219</v>
      </c>
      <c r="R847" t="s">
        <v>136</v>
      </c>
      <c r="S847" t="s">
        <v>128</v>
      </c>
      <c r="T847" t="s">
        <v>220</v>
      </c>
      <c r="U847" t="s">
        <v>129</v>
      </c>
      <c r="V847" t="s">
        <v>74</v>
      </c>
      <c r="W847" s="58">
        <v>43334</v>
      </c>
      <c r="X847" s="59">
        <v>0.38541666666666669</v>
      </c>
      <c r="Y847" s="59">
        <v>0.42708333333333331</v>
      </c>
      <c r="Z847" s="59">
        <v>4.1666666666666664E-2</v>
      </c>
      <c r="AA847">
        <v>6</v>
      </c>
      <c r="AB847">
        <v>2.3898000000000001</v>
      </c>
      <c r="AC847">
        <v>23</v>
      </c>
      <c r="AD847">
        <v>12</v>
      </c>
      <c r="AE847" s="59">
        <v>0.38541666666666669</v>
      </c>
      <c r="AF847" s="59">
        <v>0.42638888888888887</v>
      </c>
    </row>
    <row r="848" spans="1:32" x14ac:dyDescent="0.25">
      <c r="A848" t="s">
        <v>258</v>
      </c>
      <c r="B848" t="s">
        <v>262</v>
      </c>
      <c r="C848" t="s">
        <v>263</v>
      </c>
      <c r="D848" t="s">
        <v>264</v>
      </c>
      <c r="E848" t="s">
        <v>265</v>
      </c>
      <c r="F848" t="s">
        <v>134</v>
      </c>
      <c r="H848" t="s">
        <v>132</v>
      </c>
      <c r="I848" t="s">
        <v>133</v>
      </c>
      <c r="J848" t="s">
        <v>258</v>
      </c>
      <c r="K848" t="s">
        <v>380</v>
      </c>
      <c r="L848" t="s">
        <v>381</v>
      </c>
      <c r="M848">
        <v>28</v>
      </c>
      <c r="N848" t="s">
        <v>382</v>
      </c>
      <c r="O848" t="s">
        <v>134</v>
      </c>
      <c r="P848" t="s">
        <v>218</v>
      </c>
      <c r="Q848" t="s">
        <v>219</v>
      </c>
      <c r="R848" t="s">
        <v>136</v>
      </c>
      <c r="S848" t="s">
        <v>128</v>
      </c>
      <c r="T848" t="s">
        <v>220</v>
      </c>
      <c r="U848" t="s">
        <v>129</v>
      </c>
      <c r="V848" t="s">
        <v>74</v>
      </c>
      <c r="W848" s="58">
        <v>43334</v>
      </c>
      <c r="X848" s="59">
        <v>0.72916666666666663</v>
      </c>
      <c r="Y848" s="59">
        <v>0.77083333333333337</v>
      </c>
      <c r="Z848" s="59">
        <v>4.1666666666666664E-2</v>
      </c>
      <c r="AA848">
        <v>0</v>
      </c>
      <c r="AC848">
        <v>23</v>
      </c>
      <c r="AD848">
        <v>12</v>
      </c>
      <c r="AE848" s="59">
        <v>0.72916666666666663</v>
      </c>
      <c r="AF848" s="59">
        <v>0.77013888888888893</v>
      </c>
    </row>
    <row r="849" spans="1:32" x14ac:dyDescent="0.25">
      <c r="A849" t="s">
        <v>266</v>
      </c>
      <c r="B849" t="s">
        <v>348</v>
      </c>
      <c r="C849" t="s">
        <v>349</v>
      </c>
      <c r="E849" t="s">
        <v>350</v>
      </c>
      <c r="F849" t="s">
        <v>134</v>
      </c>
      <c r="H849" t="s">
        <v>202</v>
      </c>
      <c r="I849" t="s">
        <v>139</v>
      </c>
      <c r="J849" t="s">
        <v>258</v>
      </c>
      <c r="K849" t="s">
        <v>380</v>
      </c>
      <c r="L849" t="s">
        <v>381</v>
      </c>
      <c r="M849">
        <v>28</v>
      </c>
      <c r="N849" t="s">
        <v>382</v>
      </c>
      <c r="O849" t="s">
        <v>134</v>
      </c>
      <c r="P849" t="s">
        <v>218</v>
      </c>
      <c r="Q849" t="s">
        <v>219</v>
      </c>
      <c r="R849" t="s">
        <v>203</v>
      </c>
      <c r="S849" t="s">
        <v>128</v>
      </c>
      <c r="T849" t="s">
        <v>220</v>
      </c>
      <c r="U849" t="s">
        <v>151</v>
      </c>
      <c r="V849" t="s">
        <v>76</v>
      </c>
      <c r="W849" s="58">
        <v>43336</v>
      </c>
      <c r="X849" s="59">
        <v>0.29166666666666669</v>
      </c>
      <c r="Y849" s="59">
        <v>0.35416666666666669</v>
      </c>
      <c r="Z849" s="59">
        <v>6.25E-2</v>
      </c>
      <c r="AA849">
        <v>0</v>
      </c>
      <c r="AC849">
        <v>30</v>
      </c>
      <c r="AD849">
        <v>18</v>
      </c>
      <c r="AE849" s="59">
        <v>0.29166666666666669</v>
      </c>
      <c r="AF849" s="59">
        <v>0.35347222222222219</v>
      </c>
    </row>
    <row r="850" spans="1:32" x14ac:dyDescent="0.25">
      <c r="A850" t="s">
        <v>258</v>
      </c>
      <c r="B850" t="s">
        <v>262</v>
      </c>
      <c r="C850" t="s">
        <v>263</v>
      </c>
      <c r="D850" t="s">
        <v>264</v>
      </c>
      <c r="E850" t="s">
        <v>265</v>
      </c>
      <c r="F850" t="s">
        <v>134</v>
      </c>
      <c r="H850" t="s">
        <v>132</v>
      </c>
      <c r="I850" t="s">
        <v>133</v>
      </c>
      <c r="J850" t="s">
        <v>258</v>
      </c>
      <c r="K850" t="s">
        <v>380</v>
      </c>
      <c r="L850" t="s">
        <v>381</v>
      </c>
      <c r="M850">
        <v>28</v>
      </c>
      <c r="N850" t="s">
        <v>382</v>
      </c>
      <c r="O850" t="s">
        <v>134</v>
      </c>
      <c r="P850" t="s">
        <v>218</v>
      </c>
      <c r="Q850" t="s">
        <v>219</v>
      </c>
      <c r="R850" t="s">
        <v>136</v>
      </c>
      <c r="S850" t="s">
        <v>128</v>
      </c>
      <c r="T850" t="s">
        <v>220</v>
      </c>
      <c r="U850" t="s">
        <v>129</v>
      </c>
      <c r="V850" t="s">
        <v>76</v>
      </c>
      <c r="W850" s="58">
        <v>43336</v>
      </c>
      <c r="X850" s="59">
        <v>0.375</v>
      </c>
      <c r="Y850" s="59">
        <v>0.41666666666666669</v>
      </c>
      <c r="Z850" s="59">
        <v>4.1666666666666664E-2</v>
      </c>
      <c r="AA850">
        <v>6</v>
      </c>
      <c r="AB850">
        <v>1.9601999999999999</v>
      </c>
      <c r="AC850">
        <v>23</v>
      </c>
      <c r="AD850">
        <v>12</v>
      </c>
      <c r="AE850" s="59">
        <v>0.375</v>
      </c>
      <c r="AF850" s="59">
        <v>0.41597222222222219</v>
      </c>
    </row>
    <row r="851" spans="1:32" x14ac:dyDescent="0.25">
      <c r="A851" t="s">
        <v>258</v>
      </c>
      <c r="B851" t="s">
        <v>278</v>
      </c>
      <c r="C851" t="s">
        <v>279</v>
      </c>
      <c r="E851" t="s">
        <v>280</v>
      </c>
      <c r="F851" t="s">
        <v>134</v>
      </c>
      <c r="H851" t="s">
        <v>144</v>
      </c>
      <c r="I851" t="s">
        <v>133</v>
      </c>
      <c r="J851" t="s">
        <v>258</v>
      </c>
      <c r="K851" t="s">
        <v>380</v>
      </c>
      <c r="L851" t="s">
        <v>381</v>
      </c>
      <c r="M851">
        <v>28</v>
      </c>
      <c r="N851" t="s">
        <v>382</v>
      </c>
      <c r="O851" t="s">
        <v>134</v>
      </c>
      <c r="P851" t="s">
        <v>218</v>
      </c>
      <c r="Q851" t="s">
        <v>219</v>
      </c>
      <c r="R851" t="s">
        <v>145</v>
      </c>
      <c r="S851" t="s">
        <v>128</v>
      </c>
      <c r="T851" t="s">
        <v>220</v>
      </c>
      <c r="U851" t="s">
        <v>129</v>
      </c>
      <c r="V851" t="s">
        <v>76</v>
      </c>
      <c r="W851" s="58">
        <v>43336</v>
      </c>
      <c r="X851" s="59">
        <v>0.42708333333333331</v>
      </c>
      <c r="Y851" s="59">
        <v>0.46875</v>
      </c>
      <c r="Z851" s="59">
        <v>4.1666666666666664E-2</v>
      </c>
      <c r="AA851">
        <v>0</v>
      </c>
      <c r="AB851">
        <v>4.6159999999999997</v>
      </c>
      <c r="AC851">
        <v>23</v>
      </c>
      <c r="AD851">
        <v>12</v>
      </c>
      <c r="AE851" s="59">
        <v>0.42708333333333331</v>
      </c>
      <c r="AF851" s="59">
        <v>0.4680555555555555</v>
      </c>
    </row>
    <row r="852" spans="1:32" x14ac:dyDescent="0.25">
      <c r="A852" t="s">
        <v>258</v>
      </c>
      <c r="B852" t="s">
        <v>262</v>
      </c>
      <c r="C852" t="s">
        <v>263</v>
      </c>
      <c r="D852" t="s">
        <v>264</v>
      </c>
      <c r="E852" t="s">
        <v>265</v>
      </c>
      <c r="F852" t="s">
        <v>134</v>
      </c>
      <c r="H852" t="s">
        <v>132</v>
      </c>
      <c r="I852" t="s">
        <v>133</v>
      </c>
      <c r="J852" t="s">
        <v>258</v>
      </c>
      <c r="K852" t="s">
        <v>380</v>
      </c>
      <c r="L852" t="s">
        <v>381</v>
      </c>
      <c r="M852">
        <v>28</v>
      </c>
      <c r="N852" t="s">
        <v>382</v>
      </c>
      <c r="O852" t="s">
        <v>134</v>
      </c>
      <c r="P852" t="s">
        <v>218</v>
      </c>
      <c r="Q852" t="s">
        <v>219</v>
      </c>
      <c r="R852" t="s">
        <v>136</v>
      </c>
      <c r="S852" t="s">
        <v>128</v>
      </c>
      <c r="T852" t="s">
        <v>220</v>
      </c>
      <c r="U852" t="s">
        <v>129</v>
      </c>
      <c r="V852" t="s">
        <v>77</v>
      </c>
      <c r="W852" s="58">
        <v>43337</v>
      </c>
      <c r="X852" s="59">
        <v>0.35416666666666669</v>
      </c>
      <c r="Y852" s="59">
        <v>0.39583333333333331</v>
      </c>
      <c r="Z852" s="59">
        <v>4.1666666666666664E-2</v>
      </c>
      <c r="AA852">
        <v>6</v>
      </c>
      <c r="AC852">
        <v>23</v>
      </c>
      <c r="AD852">
        <v>11</v>
      </c>
      <c r="AE852" s="59">
        <v>0.35416666666666669</v>
      </c>
      <c r="AF852" s="59">
        <v>0.39513888888888887</v>
      </c>
    </row>
    <row r="853" spans="1:32" x14ac:dyDescent="0.25">
      <c r="A853" t="s">
        <v>266</v>
      </c>
      <c r="B853" t="s">
        <v>348</v>
      </c>
      <c r="C853" t="s">
        <v>349</v>
      </c>
      <c r="E853" t="s">
        <v>350</v>
      </c>
      <c r="F853" t="s">
        <v>134</v>
      </c>
      <c r="H853" t="s">
        <v>202</v>
      </c>
      <c r="I853" t="s">
        <v>139</v>
      </c>
      <c r="J853" t="s">
        <v>258</v>
      </c>
      <c r="K853" t="s">
        <v>380</v>
      </c>
      <c r="L853" t="s">
        <v>381</v>
      </c>
      <c r="M853">
        <v>28</v>
      </c>
      <c r="N853" t="s">
        <v>382</v>
      </c>
      <c r="O853" t="s">
        <v>134</v>
      </c>
      <c r="P853" t="s">
        <v>218</v>
      </c>
      <c r="Q853" t="s">
        <v>219</v>
      </c>
      <c r="R853" t="s">
        <v>203</v>
      </c>
      <c r="S853" t="s">
        <v>128</v>
      </c>
      <c r="T853" t="s">
        <v>220</v>
      </c>
      <c r="U853" t="s">
        <v>151</v>
      </c>
      <c r="V853" t="s">
        <v>71</v>
      </c>
      <c r="W853" s="58">
        <v>43338</v>
      </c>
      <c r="X853" s="59">
        <v>0.32291666666666669</v>
      </c>
      <c r="Y853" s="59">
        <v>0.36458333333333331</v>
      </c>
      <c r="Z853" s="59">
        <v>4.1666666666666664E-2</v>
      </c>
      <c r="AA853">
        <v>0</v>
      </c>
      <c r="AC853">
        <v>20</v>
      </c>
      <c r="AD853">
        <v>13</v>
      </c>
      <c r="AE853" s="59">
        <v>0.32291666666666669</v>
      </c>
      <c r="AF853" s="59">
        <v>0.36388888888888887</v>
      </c>
    </row>
    <row r="854" spans="1:32" x14ac:dyDescent="0.25">
      <c r="A854" t="s">
        <v>258</v>
      </c>
      <c r="B854" t="s">
        <v>278</v>
      </c>
      <c r="C854" t="s">
        <v>279</v>
      </c>
      <c r="E854" t="s">
        <v>280</v>
      </c>
      <c r="F854" t="s">
        <v>134</v>
      </c>
      <c r="H854" t="s">
        <v>144</v>
      </c>
      <c r="I854" t="s">
        <v>133</v>
      </c>
      <c r="J854" t="s">
        <v>258</v>
      </c>
      <c r="K854" t="s">
        <v>380</v>
      </c>
      <c r="L854" t="s">
        <v>381</v>
      </c>
      <c r="M854">
        <v>28</v>
      </c>
      <c r="N854" t="s">
        <v>382</v>
      </c>
      <c r="O854" t="s">
        <v>134</v>
      </c>
      <c r="P854" t="s">
        <v>218</v>
      </c>
      <c r="Q854" t="s">
        <v>219</v>
      </c>
      <c r="R854" t="s">
        <v>145</v>
      </c>
      <c r="S854" t="s">
        <v>128</v>
      </c>
      <c r="T854" t="s">
        <v>220</v>
      </c>
      <c r="U854" t="s">
        <v>129</v>
      </c>
      <c r="V854" t="s">
        <v>71</v>
      </c>
      <c r="W854" s="58">
        <v>43338</v>
      </c>
      <c r="X854" s="59">
        <v>0.375</v>
      </c>
      <c r="Y854" s="59">
        <v>0.41666666666666669</v>
      </c>
      <c r="Z854" s="59">
        <v>4.1666666666666664E-2</v>
      </c>
      <c r="AA854">
        <v>0</v>
      </c>
      <c r="AB854">
        <v>3.6511999999999998</v>
      </c>
      <c r="AC854">
        <v>23</v>
      </c>
      <c r="AD854">
        <v>11</v>
      </c>
      <c r="AE854" s="59">
        <v>0.375</v>
      </c>
      <c r="AF854" s="59">
        <v>0.41597222222222219</v>
      </c>
    </row>
    <row r="855" spans="1:32" x14ac:dyDescent="0.25">
      <c r="A855" t="s">
        <v>266</v>
      </c>
      <c r="B855" t="s">
        <v>348</v>
      </c>
      <c r="C855" t="s">
        <v>349</v>
      </c>
      <c r="E855" t="s">
        <v>350</v>
      </c>
      <c r="F855" t="s">
        <v>134</v>
      </c>
      <c r="H855" t="s">
        <v>202</v>
      </c>
      <c r="I855" t="s">
        <v>139</v>
      </c>
      <c r="J855" t="s">
        <v>258</v>
      </c>
      <c r="K855" t="s">
        <v>380</v>
      </c>
      <c r="L855" t="s">
        <v>381</v>
      </c>
      <c r="M855">
        <v>28</v>
      </c>
      <c r="N855" t="s">
        <v>382</v>
      </c>
      <c r="O855" t="s">
        <v>134</v>
      </c>
      <c r="P855" t="s">
        <v>218</v>
      </c>
      <c r="Q855" t="s">
        <v>219</v>
      </c>
      <c r="R855" t="s">
        <v>203</v>
      </c>
      <c r="S855" t="s">
        <v>128</v>
      </c>
      <c r="T855" t="s">
        <v>220</v>
      </c>
      <c r="U855" t="s">
        <v>151</v>
      </c>
      <c r="V855" t="s">
        <v>72</v>
      </c>
      <c r="W855" s="58">
        <v>43339</v>
      </c>
      <c r="X855" s="59">
        <v>0.29166666666666669</v>
      </c>
      <c r="Y855" s="59">
        <v>0.33333333333333331</v>
      </c>
      <c r="Z855" s="59">
        <v>4.1666666666666664E-2</v>
      </c>
      <c r="AA855">
        <v>0</v>
      </c>
      <c r="AC855">
        <v>20</v>
      </c>
      <c r="AD855">
        <v>12</v>
      </c>
      <c r="AE855" s="59">
        <v>0.29166666666666669</v>
      </c>
      <c r="AF855" s="59">
        <v>0.33263888888888887</v>
      </c>
    </row>
    <row r="856" spans="1:32" x14ac:dyDescent="0.25">
      <c r="A856" t="s">
        <v>258</v>
      </c>
      <c r="B856" t="s">
        <v>262</v>
      </c>
      <c r="C856" t="s">
        <v>263</v>
      </c>
      <c r="D856" t="s">
        <v>264</v>
      </c>
      <c r="E856" t="s">
        <v>265</v>
      </c>
      <c r="F856" t="s">
        <v>134</v>
      </c>
      <c r="H856" t="s">
        <v>132</v>
      </c>
      <c r="I856" t="s">
        <v>133</v>
      </c>
      <c r="J856" t="s">
        <v>258</v>
      </c>
      <c r="K856" t="s">
        <v>380</v>
      </c>
      <c r="L856" t="s">
        <v>381</v>
      </c>
      <c r="M856">
        <v>28</v>
      </c>
      <c r="N856" t="s">
        <v>382</v>
      </c>
      <c r="O856" t="s">
        <v>134</v>
      </c>
      <c r="P856" t="s">
        <v>218</v>
      </c>
      <c r="Q856" t="s">
        <v>219</v>
      </c>
      <c r="R856" t="s">
        <v>136</v>
      </c>
      <c r="S856" t="s">
        <v>128</v>
      </c>
      <c r="T856" t="s">
        <v>220</v>
      </c>
      <c r="U856" t="s">
        <v>129</v>
      </c>
      <c r="V856" t="s">
        <v>72</v>
      </c>
      <c r="W856" s="58">
        <v>43339</v>
      </c>
      <c r="X856" s="59">
        <v>0.35416666666666669</v>
      </c>
      <c r="Y856" s="59">
        <v>0.39583333333333331</v>
      </c>
      <c r="Z856" s="59">
        <v>4.1666666666666664E-2</v>
      </c>
      <c r="AA856">
        <v>6</v>
      </c>
      <c r="AB856">
        <v>1.9601999999999999</v>
      </c>
      <c r="AC856">
        <v>23</v>
      </c>
      <c r="AD856">
        <v>12</v>
      </c>
      <c r="AE856" s="59">
        <v>0.35416666666666669</v>
      </c>
      <c r="AF856" s="59">
        <v>0.39513888888888887</v>
      </c>
    </row>
    <row r="857" spans="1:32" x14ac:dyDescent="0.25">
      <c r="A857" t="s">
        <v>258</v>
      </c>
      <c r="B857" t="s">
        <v>278</v>
      </c>
      <c r="C857" t="s">
        <v>279</v>
      </c>
      <c r="E857" t="s">
        <v>280</v>
      </c>
      <c r="F857" t="s">
        <v>134</v>
      </c>
      <c r="H857" t="s">
        <v>144</v>
      </c>
      <c r="I857" t="s">
        <v>133</v>
      </c>
      <c r="J857" t="s">
        <v>258</v>
      </c>
      <c r="K857" t="s">
        <v>380</v>
      </c>
      <c r="L857" t="s">
        <v>381</v>
      </c>
      <c r="M857">
        <v>28</v>
      </c>
      <c r="N857" t="s">
        <v>382</v>
      </c>
      <c r="O857" t="s">
        <v>134</v>
      </c>
      <c r="P857" t="s">
        <v>218</v>
      </c>
      <c r="Q857" t="s">
        <v>219</v>
      </c>
      <c r="R857" t="s">
        <v>145</v>
      </c>
      <c r="S857" t="s">
        <v>128</v>
      </c>
      <c r="T857" t="s">
        <v>220</v>
      </c>
      <c r="U857" t="s">
        <v>129</v>
      </c>
      <c r="V857" t="s">
        <v>72</v>
      </c>
      <c r="W857" s="58">
        <v>43339</v>
      </c>
      <c r="X857" s="59">
        <v>0.41666666666666669</v>
      </c>
      <c r="Y857" s="59">
        <v>0.45833333333333331</v>
      </c>
      <c r="Z857" s="59">
        <v>4.1666666666666664E-2</v>
      </c>
      <c r="AA857">
        <v>0</v>
      </c>
      <c r="AB857">
        <v>4.6159999999999997</v>
      </c>
      <c r="AC857">
        <v>23</v>
      </c>
      <c r="AD857">
        <v>12</v>
      </c>
      <c r="AE857" s="59">
        <v>0.41666666666666669</v>
      </c>
      <c r="AF857" s="59">
        <v>0.45763888888888887</v>
      </c>
    </row>
    <row r="858" spans="1:32" x14ac:dyDescent="0.25">
      <c r="A858" t="s">
        <v>258</v>
      </c>
      <c r="B858" t="s">
        <v>270</v>
      </c>
      <c r="C858" t="s">
        <v>271</v>
      </c>
      <c r="D858" t="s">
        <v>272</v>
      </c>
      <c r="E858" t="s">
        <v>273</v>
      </c>
      <c r="F858" t="s">
        <v>134</v>
      </c>
      <c r="H858" t="s">
        <v>138</v>
      </c>
      <c r="I858" t="s">
        <v>139</v>
      </c>
      <c r="J858" t="s">
        <v>258</v>
      </c>
      <c r="K858" t="s">
        <v>380</v>
      </c>
      <c r="L858" t="s">
        <v>381</v>
      </c>
      <c r="M858">
        <v>28</v>
      </c>
      <c r="N858" t="s">
        <v>382</v>
      </c>
      <c r="O858" t="s">
        <v>134</v>
      </c>
      <c r="P858" t="s">
        <v>218</v>
      </c>
      <c r="Q858" t="s">
        <v>219</v>
      </c>
      <c r="R858" t="s">
        <v>140</v>
      </c>
      <c r="S858" t="s">
        <v>128</v>
      </c>
      <c r="T858" t="s">
        <v>220</v>
      </c>
      <c r="U858" t="s">
        <v>129</v>
      </c>
      <c r="V858" t="s">
        <v>74</v>
      </c>
      <c r="W858" s="58">
        <v>43341</v>
      </c>
      <c r="X858" s="59">
        <v>0.3263888888888889</v>
      </c>
      <c r="Y858" s="59">
        <v>0.36805555555555558</v>
      </c>
      <c r="Z858" s="59">
        <v>4.1666666666666664E-2</v>
      </c>
      <c r="AA858">
        <v>0</v>
      </c>
      <c r="AC858">
        <v>23</v>
      </c>
      <c r="AD858">
        <v>12</v>
      </c>
      <c r="AE858" s="59">
        <v>0.3263888888888889</v>
      </c>
      <c r="AF858" s="59">
        <v>0.36736111111111108</v>
      </c>
    </row>
    <row r="859" spans="1:32" x14ac:dyDescent="0.25">
      <c r="A859" t="s">
        <v>258</v>
      </c>
      <c r="B859" t="s">
        <v>262</v>
      </c>
      <c r="C859" t="s">
        <v>263</v>
      </c>
      <c r="D859" t="s">
        <v>264</v>
      </c>
      <c r="E859" t="s">
        <v>265</v>
      </c>
      <c r="F859" t="s">
        <v>134</v>
      </c>
      <c r="H859" t="s">
        <v>132</v>
      </c>
      <c r="I859" t="s">
        <v>133</v>
      </c>
      <c r="J859" t="s">
        <v>258</v>
      </c>
      <c r="K859" t="s">
        <v>380</v>
      </c>
      <c r="L859" t="s">
        <v>381</v>
      </c>
      <c r="M859">
        <v>28</v>
      </c>
      <c r="N859" t="s">
        <v>382</v>
      </c>
      <c r="O859" t="s">
        <v>134</v>
      </c>
      <c r="P859" t="s">
        <v>218</v>
      </c>
      <c r="Q859" t="s">
        <v>219</v>
      </c>
      <c r="R859" t="s">
        <v>136</v>
      </c>
      <c r="S859" t="s">
        <v>128</v>
      </c>
      <c r="T859" t="s">
        <v>220</v>
      </c>
      <c r="U859" t="s">
        <v>129</v>
      </c>
      <c r="V859" t="s">
        <v>74</v>
      </c>
      <c r="W859" s="58">
        <v>43341</v>
      </c>
      <c r="X859" s="59">
        <v>0.375</v>
      </c>
      <c r="Y859" s="59">
        <v>0.41666666666666669</v>
      </c>
      <c r="Z859" s="59">
        <v>4.1666666666666664E-2</v>
      </c>
      <c r="AA859">
        <v>6</v>
      </c>
      <c r="AB859">
        <v>2.3898000000000001</v>
      </c>
      <c r="AC859">
        <v>23</v>
      </c>
      <c r="AD859">
        <v>12</v>
      </c>
      <c r="AE859" s="59">
        <v>0.375</v>
      </c>
      <c r="AF859" s="59">
        <v>0.41597222222222219</v>
      </c>
    </row>
    <row r="860" spans="1:32" x14ac:dyDescent="0.25">
      <c r="A860" t="s">
        <v>258</v>
      </c>
      <c r="B860" t="s">
        <v>278</v>
      </c>
      <c r="C860" t="s">
        <v>279</v>
      </c>
      <c r="E860" t="s">
        <v>280</v>
      </c>
      <c r="F860" t="s">
        <v>134</v>
      </c>
      <c r="H860" t="s">
        <v>144</v>
      </c>
      <c r="I860" t="s">
        <v>133</v>
      </c>
      <c r="J860" t="s">
        <v>258</v>
      </c>
      <c r="K860" t="s">
        <v>380</v>
      </c>
      <c r="L860" t="s">
        <v>381</v>
      </c>
      <c r="M860">
        <v>28</v>
      </c>
      <c r="N860" t="s">
        <v>382</v>
      </c>
      <c r="O860" t="s">
        <v>134</v>
      </c>
      <c r="P860" t="s">
        <v>218</v>
      </c>
      <c r="Q860" t="s">
        <v>219</v>
      </c>
      <c r="R860" t="s">
        <v>145</v>
      </c>
      <c r="S860" t="s">
        <v>128</v>
      </c>
      <c r="T860" t="s">
        <v>220</v>
      </c>
      <c r="U860" t="s">
        <v>129</v>
      </c>
      <c r="V860" t="s">
        <v>74</v>
      </c>
      <c r="W860" s="58">
        <v>43341</v>
      </c>
      <c r="X860" s="59">
        <v>0.43055555555555558</v>
      </c>
      <c r="Y860" s="59">
        <v>0.47222222222222227</v>
      </c>
      <c r="Z860" s="59">
        <v>4.1666666666666664E-2</v>
      </c>
      <c r="AA860">
        <v>0</v>
      </c>
      <c r="AB860">
        <v>4.6159999999999997</v>
      </c>
      <c r="AC860">
        <v>23</v>
      </c>
      <c r="AD860">
        <v>12</v>
      </c>
      <c r="AE860" s="59">
        <v>0.43055555555555558</v>
      </c>
      <c r="AF860" s="59">
        <v>0.47152777777777777</v>
      </c>
    </row>
    <row r="861" spans="1:32" x14ac:dyDescent="0.25">
      <c r="A861" t="s">
        <v>258</v>
      </c>
      <c r="B861" t="s">
        <v>262</v>
      </c>
      <c r="C861" t="s">
        <v>263</v>
      </c>
      <c r="D861" t="s">
        <v>264</v>
      </c>
      <c r="E861" t="s">
        <v>265</v>
      </c>
      <c r="F861" t="s">
        <v>134</v>
      </c>
      <c r="H861" t="s">
        <v>132</v>
      </c>
      <c r="I861" t="s">
        <v>133</v>
      </c>
      <c r="J861" t="s">
        <v>258</v>
      </c>
      <c r="K861" t="s">
        <v>380</v>
      </c>
      <c r="L861" t="s">
        <v>381</v>
      </c>
      <c r="M861">
        <v>28</v>
      </c>
      <c r="N861" t="s">
        <v>382</v>
      </c>
      <c r="O861" t="s">
        <v>134</v>
      </c>
      <c r="P861" t="s">
        <v>218</v>
      </c>
      <c r="Q861" t="s">
        <v>219</v>
      </c>
      <c r="R861" t="s">
        <v>136</v>
      </c>
      <c r="S861" t="s">
        <v>128</v>
      </c>
      <c r="T861" t="s">
        <v>220</v>
      </c>
      <c r="U861" t="s">
        <v>129</v>
      </c>
      <c r="V861" t="s">
        <v>75</v>
      </c>
      <c r="W861" s="58">
        <v>43342</v>
      </c>
      <c r="X861" s="59">
        <v>0.72916666666666663</v>
      </c>
      <c r="Y861" s="59">
        <v>0.77083333333333337</v>
      </c>
      <c r="Z861" s="59">
        <v>4.1666666666666664E-2</v>
      </c>
      <c r="AA861">
        <v>0</v>
      </c>
      <c r="AC861">
        <v>23</v>
      </c>
      <c r="AD861">
        <v>12</v>
      </c>
      <c r="AE861" s="59">
        <v>0.72916666666666663</v>
      </c>
      <c r="AF861" s="59">
        <v>0.77013888888888893</v>
      </c>
    </row>
    <row r="862" spans="1:32" x14ac:dyDescent="0.25">
      <c r="A862" t="s">
        <v>266</v>
      </c>
      <c r="B862" t="s">
        <v>348</v>
      </c>
      <c r="C862" t="s">
        <v>349</v>
      </c>
      <c r="E862" t="s">
        <v>350</v>
      </c>
      <c r="F862" t="s">
        <v>134</v>
      </c>
      <c r="H862" t="s">
        <v>202</v>
      </c>
      <c r="I862" t="s">
        <v>139</v>
      </c>
      <c r="J862" t="s">
        <v>258</v>
      </c>
      <c r="K862" t="s">
        <v>380</v>
      </c>
      <c r="L862" t="s">
        <v>381</v>
      </c>
      <c r="M862">
        <v>28</v>
      </c>
      <c r="N862" t="s">
        <v>382</v>
      </c>
      <c r="O862" t="s">
        <v>134</v>
      </c>
      <c r="P862" t="s">
        <v>218</v>
      </c>
      <c r="Q862" t="s">
        <v>219</v>
      </c>
      <c r="R862" t="s">
        <v>203</v>
      </c>
      <c r="S862" t="s">
        <v>128</v>
      </c>
      <c r="T862" t="s">
        <v>220</v>
      </c>
      <c r="U862" t="s">
        <v>151</v>
      </c>
      <c r="V862" t="s">
        <v>76</v>
      </c>
      <c r="W862" s="58">
        <v>43343</v>
      </c>
      <c r="X862" s="59">
        <v>0.29166666666666669</v>
      </c>
      <c r="Y862" s="59">
        <v>0.35416666666666669</v>
      </c>
      <c r="Z862" s="59">
        <v>6.25E-2</v>
      </c>
      <c r="AA862">
        <v>0</v>
      </c>
      <c r="AC862">
        <v>30</v>
      </c>
      <c r="AD862">
        <v>18</v>
      </c>
      <c r="AE862" s="59">
        <v>0.29166666666666669</v>
      </c>
      <c r="AF862" s="59">
        <v>0.35347222222222219</v>
      </c>
    </row>
    <row r="863" spans="1:32" x14ac:dyDescent="0.25">
      <c r="A863" t="s">
        <v>258</v>
      </c>
      <c r="B863" t="s">
        <v>262</v>
      </c>
      <c r="C863" t="s">
        <v>263</v>
      </c>
      <c r="D863" t="s">
        <v>264</v>
      </c>
      <c r="E863" t="s">
        <v>265</v>
      </c>
      <c r="F863" t="s">
        <v>134</v>
      </c>
      <c r="H863" t="s">
        <v>132</v>
      </c>
      <c r="I863" t="s">
        <v>133</v>
      </c>
      <c r="J863" t="s">
        <v>258</v>
      </c>
      <c r="K863" t="s">
        <v>380</v>
      </c>
      <c r="L863" t="s">
        <v>381</v>
      </c>
      <c r="M863">
        <v>28</v>
      </c>
      <c r="N863" t="s">
        <v>382</v>
      </c>
      <c r="O863" t="s">
        <v>134</v>
      </c>
      <c r="P863" t="s">
        <v>218</v>
      </c>
      <c r="Q863" t="s">
        <v>219</v>
      </c>
      <c r="R863" t="s">
        <v>136</v>
      </c>
      <c r="S863" t="s">
        <v>128</v>
      </c>
      <c r="T863" t="s">
        <v>220</v>
      </c>
      <c r="U863" t="s">
        <v>129</v>
      </c>
      <c r="V863" t="s">
        <v>76</v>
      </c>
      <c r="W863" s="58">
        <v>43343</v>
      </c>
      <c r="X863" s="59">
        <v>0.36458333333333331</v>
      </c>
      <c r="Y863" s="59">
        <v>0.40625</v>
      </c>
      <c r="Z863" s="59">
        <v>4.1666666666666664E-2</v>
      </c>
      <c r="AA863">
        <v>6</v>
      </c>
      <c r="AB863">
        <v>1.9601999999999999</v>
      </c>
      <c r="AC863">
        <v>23</v>
      </c>
      <c r="AD863">
        <v>12</v>
      </c>
      <c r="AE863" s="59">
        <v>0.36458333333333331</v>
      </c>
      <c r="AF863" s="59">
        <v>0.4055555555555555</v>
      </c>
    </row>
    <row r="864" spans="1:32" x14ac:dyDescent="0.25">
      <c r="A864" t="s">
        <v>258</v>
      </c>
      <c r="B864" t="s">
        <v>278</v>
      </c>
      <c r="C864" t="s">
        <v>279</v>
      </c>
      <c r="E864" t="s">
        <v>280</v>
      </c>
      <c r="F864" t="s">
        <v>134</v>
      </c>
      <c r="H864" t="s">
        <v>144</v>
      </c>
      <c r="I864" t="s">
        <v>133</v>
      </c>
      <c r="J864" t="s">
        <v>258</v>
      </c>
      <c r="K864" t="s">
        <v>380</v>
      </c>
      <c r="L864" t="s">
        <v>381</v>
      </c>
      <c r="M864">
        <v>28</v>
      </c>
      <c r="N864" t="s">
        <v>382</v>
      </c>
      <c r="O864" t="s">
        <v>134</v>
      </c>
      <c r="P864" t="s">
        <v>218</v>
      </c>
      <c r="Q864" t="s">
        <v>219</v>
      </c>
      <c r="R864" t="s">
        <v>145</v>
      </c>
      <c r="S864" t="s">
        <v>128</v>
      </c>
      <c r="T864" t="s">
        <v>220</v>
      </c>
      <c r="U864" t="s">
        <v>129</v>
      </c>
      <c r="V864" t="s">
        <v>76</v>
      </c>
      <c r="W864" s="58">
        <v>43343</v>
      </c>
      <c r="X864" s="59">
        <v>0.41666666666666669</v>
      </c>
      <c r="Y864" s="59">
        <v>0.45833333333333331</v>
      </c>
      <c r="Z864" s="59">
        <v>4.1666666666666664E-2</v>
      </c>
      <c r="AA864">
        <v>0</v>
      </c>
      <c r="AB864">
        <v>4.6159999999999997</v>
      </c>
      <c r="AC864">
        <v>23</v>
      </c>
      <c r="AD864">
        <v>12</v>
      </c>
      <c r="AE864" s="59">
        <v>0.41666666666666669</v>
      </c>
      <c r="AF864" s="59">
        <v>0.45763888888888887</v>
      </c>
    </row>
    <row r="865" spans="1:32" x14ac:dyDescent="0.25">
      <c r="A865" t="s">
        <v>258</v>
      </c>
      <c r="B865" t="s">
        <v>278</v>
      </c>
      <c r="C865" t="s">
        <v>279</v>
      </c>
      <c r="E865" t="s">
        <v>280</v>
      </c>
      <c r="F865" t="s">
        <v>134</v>
      </c>
      <c r="H865" t="s">
        <v>144</v>
      </c>
      <c r="I865" t="s">
        <v>133</v>
      </c>
      <c r="J865" t="s">
        <v>258</v>
      </c>
      <c r="K865" t="s">
        <v>380</v>
      </c>
      <c r="L865" t="s">
        <v>381</v>
      </c>
      <c r="M865">
        <v>28</v>
      </c>
      <c r="N865" t="s">
        <v>382</v>
      </c>
      <c r="O865" t="s">
        <v>134</v>
      </c>
      <c r="P865" t="s">
        <v>218</v>
      </c>
      <c r="Q865" t="s">
        <v>219</v>
      </c>
      <c r="R865" t="s">
        <v>145</v>
      </c>
      <c r="S865" t="s">
        <v>128</v>
      </c>
      <c r="T865" t="s">
        <v>220</v>
      </c>
      <c r="U865" t="s">
        <v>129</v>
      </c>
      <c r="V865" t="s">
        <v>77</v>
      </c>
      <c r="W865" s="58">
        <v>43344</v>
      </c>
      <c r="X865" s="59">
        <v>0.70138888888888884</v>
      </c>
      <c r="Y865" s="59">
        <v>0.74305555555555547</v>
      </c>
      <c r="Z865" s="59">
        <v>4.1666666666666664E-2</v>
      </c>
      <c r="AA865">
        <v>0</v>
      </c>
      <c r="AC865">
        <v>23</v>
      </c>
      <c r="AD865">
        <v>11</v>
      </c>
      <c r="AE865" s="59">
        <v>0.70138888888888884</v>
      </c>
      <c r="AF865" s="59">
        <v>0.74236111111111114</v>
      </c>
    </row>
    <row r="866" spans="1:32" x14ac:dyDescent="0.25">
      <c r="A866" t="s">
        <v>258</v>
      </c>
      <c r="B866" t="s">
        <v>262</v>
      </c>
      <c r="C866" t="s">
        <v>263</v>
      </c>
      <c r="D866" t="s">
        <v>264</v>
      </c>
      <c r="E866" t="s">
        <v>265</v>
      </c>
      <c r="F866" t="s">
        <v>134</v>
      </c>
      <c r="H866" t="s">
        <v>132</v>
      </c>
      <c r="I866" t="s">
        <v>133</v>
      </c>
      <c r="J866" t="s">
        <v>258</v>
      </c>
      <c r="K866" t="s">
        <v>380</v>
      </c>
      <c r="L866" t="s">
        <v>381</v>
      </c>
      <c r="M866">
        <v>28</v>
      </c>
      <c r="N866" t="s">
        <v>382</v>
      </c>
      <c r="O866" t="s">
        <v>134</v>
      </c>
      <c r="P866" t="s">
        <v>218</v>
      </c>
      <c r="Q866" t="s">
        <v>219</v>
      </c>
      <c r="R866" t="s">
        <v>136</v>
      </c>
      <c r="S866" t="s">
        <v>128</v>
      </c>
      <c r="T866" t="s">
        <v>220</v>
      </c>
      <c r="U866" t="s">
        <v>129</v>
      </c>
      <c r="V866" t="s">
        <v>77</v>
      </c>
      <c r="W866" s="58">
        <v>43344</v>
      </c>
      <c r="X866" s="59">
        <v>0.75</v>
      </c>
      <c r="Y866" s="59">
        <v>0.79166666666666663</v>
      </c>
      <c r="Z866" s="59">
        <v>4.1666666666666664E-2</v>
      </c>
      <c r="AA866">
        <v>8</v>
      </c>
      <c r="AB866">
        <v>4.7283999999999997</v>
      </c>
      <c r="AC866">
        <v>23</v>
      </c>
      <c r="AD866">
        <v>11</v>
      </c>
      <c r="AE866" s="59">
        <v>0.75</v>
      </c>
      <c r="AF866" s="59">
        <v>0.7909722222222223</v>
      </c>
    </row>
    <row r="867" spans="1:32" x14ac:dyDescent="0.25">
      <c r="A867" t="s">
        <v>258</v>
      </c>
      <c r="B867" t="s">
        <v>278</v>
      </c>
      <c r="C867" t="s">
        <v>279</v>
      </c>
      <c r="E867" t="s">
        <v>280</v>
      </c>
      <c r="F867" t="s">
        <v>134</v>
      </c>
      <c r="H867" t="s">
        <v>144</v>
      </c>
      <c r="I867" t="s">
        <v>133</v>
      </c>
      <c r="J867" t="s">
        <v>258</v>
      </c>
      <c r="K867" t="s">
        <v>380</v>
      </c>
      <c r="L867" t="s">
        <v>381</v>
      </c>
      <c r="M867">
        <v>28</v>
      </c>
      <c r="N867" t="s">
        <v>382</v>
      </c>
      <c r="O867" t="s">
        <v>134</v>
      </c>
      <c r="P867" t="s">
        <v>218</v>
      </c>
      <c r="Q867" t="s">
        <v>219</v>
      </c>
      <c r="R867" t="s">
        <v>145</v>
      </c>
      <c r="S867" t="s">
        <v>128</v>
      </c>
      <c r="T867" t="s">
        <v>220</v>
      </c>
      <c r="U867" t="s">
        <v>129</v>
      </c>
      <c r="V867" t="s">
        <v>77</v>
      </c>
      <c r="W867" s="58">
        <v>43344</v>
      </c>
      <c r="X867" s="59">
        <v>0.875</v>
      </c>
      <c r="Y867" s="59">
        <v>0.91666666666666663</v>
      </c>
      <c r="Z867" s="59">
        <v>4.1666666666666664E-2</v>
      </c>
      <c r="AA867">
        <v>9</v>
      </c>
      <c r="AB867">
        <v>4.6159999999999997</v>
      </c>
      <c r="AC867">
        <v>23</v>
      </c>
      <c r="AD867">
        <v>11</v>
      </c>
      <c r="AE867" s="59">
        <v>0.875</v>
      </c>
      <c r="AF867" s="59">
        <v>0.9159722222222223</v>
      </c>
    </row>
    <row r="868" spans="1:32" x14ac:dyDescent="0.25">
      <c r="A868" t="s">
        <v>258</v>
      </c>
      <c r="B868" t="s">
        <v>270</v>
      </c>
      <c r="C868" t="s">
        <v>271</v>
      </c>
      <c r="D868" t="s">
        <v>272</v>
      </c>
      <c r="E868" t="s">
        <v>273</v>
      </c>
      <c r="F868" t="s">
        <v>134</v>
      </c>
      <c r="H868" t="s">
        <v>138</v>
      </c>
      <c r="I868" t="s">
        <v>139</v>
      </c>
      <c r="J868" t="s">
        <v>258</v>
      </c>
      <c r="K868" t="s">
        <v>380</v>
      </c>
      <c r="L868" t="s">
        <v>381</v>
      </c>
      <c r="M868">
        <v>28</v>
      </c>
      <c r="N868" t="s">
        <v>382</v>
      </c>
      <c r="O868" t="s">
        <v>134</v>
      </c>
      <c r="P868" t="s">
        <v>218</v>
      </c>
      <c r="Q868" t="s">
        <v>219</v>
      </c>
      <c r="R868" t="s">
        <v>140</v>
      </c>
      <c r="S868" t="s">
        <v>128</v>
      </c>
      <c r="T868" t="s">
        <v>220</v>
      </c>
      <c r="U868" t="s">
        <v>129</v>
      </c>
      <c r="V868" t="s">
        <v>71</v>
      </c>
      <c r="W868" s="58">
        <v>43345</v>
      </c>
      <c r="X868" s="59">
        <v>0.33333333333333331</v>
      </c>
      <c r="Y868" s="59">
        <v>0.375</v>
      </c>
      <c r="Z868" s="59">
        <v>4.1666666666666664E-2</v>
      </c>
      <c r="AA868">
        <v>0</v>
      </c>
      <c r="AC868">
        <v>23</v>
      </c>
      <c r="AD868">
        <v>11</v>
      </c>
      <c r="AE868" s="59">
        <v>0.33333333333333331</v>
      </c>
      <c r="AF868" s="59">
        <v>0.3743055555555555</v>
      </c>
    </row>
    <row r="869" spans="1:32" x14ac:dyDescent="0.25">
      <c r="A869" t="s">
        <v>258</v>
      </c>
      <c r="B869" t="s">
        <v>262</v>
      </c>
      <c r="C869" t="s">
        <v>263</v>
      </c>
      <c r="D869" t="s">
        <v>264</v>
      </c>
      <c r="E869" t="s">
        <v>265</v>
      </c>
      <c r="F869" t="s">
        <v>134</v>
      </c>
      <c r="H869" t="s">
        <v>132</v>
      </c>
      <c r="I869" t="s">
        <v>133</v>
      </c>
      <c r="J869" t="s">
        <v>258</v>
      </c>
      <c r="K869" t="s">
        <v>380</v>
      </c>
      <c r="L869" t="s">
        <v>381</v>
      </c>
      <c r="M869">
        <v>28</v>
      </c>
      <c r="N869" t="s">
        <v>382</v>
      </c>
      <c r="O869" t="s">
        <v>134</v>
      </c>
      <c r="P869" t="s">
        <v>218</v>
      </c>
      <c r="Q869" t="s">
        <v>219</v>
      </c>
      <c r="R869" t="s">
        <v>136</v>
      </c>
      <c r="S869" t="s">
        <v>128</v>
      </c>
      <c r="T869" t="s">
        <v>220</v>
      </c>
      <c r="U869" t="s">
        <v>129</v>
      </c>
      <c r="V869" t="s">
        <v>71</v>
      </c>
      <c r="W869" s="58">
        <v>43345</v>
      </c>
      <c r="X869" s="59">
        <v>0.38541666666666669</v>
      </c>
      <c r="Y869" s="59">
        <v>0.42708333333333331</v>
      </c>
      <c r="Z869" s="59">
        <v>4.1666666666666664E-2</v>
      </c>
      <c r="AA869">
        <v>5</v>
      </c>
      <c r="AB869">
        <v>2.3898000000000001</v>
      </c>
      <c r="AC869">
        <v>23</v>
      </c>
      <c r="AD869">
        <v>11</v>
      </c>
      <c r="AE869" s="59">
        <v>0.38541666666666669</v>
      </c>
      <c r="AF869" s="59">
        <v>0.42638888888888887</v>
      </c>
    </row>
    <row r="870" spans="1:32" x14ac:dyDescent="0.25">
      <c r="A870" t="s">
        <v>258</v>
      </c>
      <c r="B870" t="s">
        <v>262</v>
      </c>
      <c r="C870" t="s">
        <v>263</v>
      </c>
      <c r="D870" t="s">
        <v>264</v>
      </c>
      <c r="E870" t="s">
        <v>265</v>
      </c>
      <c r="F870" t="s">
        <v>134</v>
      </c>
      <c r="H870" t="s">
        <v>132</v>
      </c>
      <c r="I870" t="s">
        <v>133</v>
      </c>
      <c r="J870" t="s">
        <v>258</v>
      </c>
      <c r="K870" t="s">
        <v>380</v>
      </c>
      <c r="L870" t="s">
        <v>381</v>
      </c>
      <c r="M870">
        <v>28</v>
      </c>
      <c r="N870" t="s">
        <v>382</v>
      </c>
      <c r="O870" t="s">
        <v>134</v>
      </c>
      <c r="P870" t="s">
        <v>218</v>
      </c>
      <c r="Q870" t="s">
        <v>219</v>
      </c>
      <c r="R870" t="s">
        <v>136</v>
      </c>
      <c r="S870" t="s">
        <v>128</v>
      </c>
      <c r="T870" t="s">
        <v>220</v>
      </c>
      <c r="U870" t="s">
        <v>129</v>
      </c>
      <c r="V870" t="s">
        <v>71</v>
      </c>
      <c r="W870" s="58">
        <v>43345</v>
      </c>
      <c r="X870" s="59">
        <v>0.70833333333333337</v>
      </c>
      <c r="Y870" s="59">
        <v>0.75</v>
      </c>
      <c r="Z870" s="59">
        <v>4.1666666666666664E-2</v>
      </c>
      <c r="AA870">
        <v>0</v>
      </c>
      <c r="AC870">
        <v>23</v>
      </c>
      <c r="AD870">
        <v>11</v>
      </c>
      <c r="AE870" s="59">
        <v>0.70833333333333337</v>
      </c>
      <c r="AF870" s="59">
        <v>0.74930555555555556</v>
      </c>
    </row>
    <row r="871" spans="1:32" x14ac:dyDescent="0.25">
      <c r="A871" t="s">
        <v>258</v>
      </c>
      <c r="B871" t="s">
        <v>278</v>
      </c>
      <c r="C871" t="s">
        <v>279</v>
      </c>
      <c r="E871" t="s">
        <v>280</v>
      </c>
      <c r="F871" t="s">
        <v>134</v>
      </c>
      <c r="H871" t="s">
        <v>144</v>
      </c>
      <c r="I871" t="s">
        <v>133</v>
      </c>
      <c r="J871" t="s">
        <v>258</v>
      </c>
      <c r="K871" t="s">
        <v>380</v>
      </c>
      <c r="L871" t="s">
        <v>381</v>
      </c>
      <c r="M871">
        <v>28</v>
      </c>
      <c r="N871" t="s">
        <v>382</v>
      </c>
      <c r="O871" t="s">
        <v>134</v>
      </c>
      <c r="P871" t="s">
        <v>218</v>
      </c>
      <c r="Q871" t="s">
        <v>219</v>
      </c>
      <c r="R871" t="s">
        <v>145</v>
      </c>
      <c r="S871" t="s">
        <v>128</v>
      </c>
      <c r="T871" t="s">
        <v>220</v>
      </c>
      <c r="U871" t="s">
        <v>129</v>
      </c>
      <c r="V871" t="s">
        <v>71</v>
      </c>
      <c r="W871" s="58">
        <v>43345</v>
      </c>
      <c r="X871" s="59">
        <v>0.84375</v>
      </c>
      <c r="Y871" s="59">
        <v>0.88541666666666663</v>
      </c>
      <c r="Z871" s="59">
        <v>4.1666666666666664E-2</v>
      </c>
      <c r="AA871">
        <v>9</v>
      </c>
      <c r="AB871">
        <v>4.6159999999999997</v>
      </c>
      <c r="AC871">
        <v>23</v>
      </c>
      <c r="AD871">
        <v>11</v>
      </c>
      <c r="AE871" s="59">
        <v>0.84375</v>
      </c>
      <c r="AF871" s="59">
        <v>0.8847222222222223</v>
      </c>
    </row>
    <row r="872" spans="1:32" x14ac:dyDescent="0.25">
      <c r="A872" t="s">
        <v>266</v>
      </c>
      <c r="B872" t="s">
        <v>348</v>
      </c>
      <c r="C872" t="s">
        <v>349</v>
      </c>
      <c r="E872" t="s">
        <v>350</v>
      </c>
      <c r="F872" t="s">
        <v>134</v>
      </c>
      <c r="H872" t="s">
        <v>202</v>
      </c>
      <c r="I872" t="s">
        <v>139</v>
      </c>
      <c r="J872" t="s">
        <v>258</v>
      </c>
      <c r="K872" t="s">
        <v>380</v>
      </c>
      <c r="L872" t="s">
        <v>381</v>
      </c>
      <c r="M872">
        <v>28</v>
      </c>
      <c r="N872" t="s">
        <v>382</v>
      </c>
      <c r="O872" t="s">
        <v>134</v>
      </c>
      <c r="P872" t="s">
        <v>218</v>
      </c>
      <c r="Q872" t="s">
        <v>219</v>
      </c>
      <c r="R872" t="s">
        <v>203</v>
      </c>
      <c r="S872" t="s">
        <v>128</v>
      </c>
      <c r="T872" t="s">
        <v>220</v>
      </c>
      <c r="U872" t="s">
        <v>151</v>
      </c>
      <c r="V872" t="s">
        <v>72</v>
      </c>
      <c r="W872" s="58">
        <v>43346</v>
      </c>
      <c r="X872" s="59">
        <v>0.29166666666666669</v>
      </c>
      <c r="Y872" s="59">
        <v>0.33333333333333331</v>
      </c>
      <c r="Z872" s="59">
        <v>4.1666666666666664E-2</v>
      </c>
      <c r="AA872">
        <v>0</v>
      </c>
      <c r="AC872">
        <v>20</v>
      </c>
      <c r="AD872">
        <v>12</v>
      </c>
      <c r="AE872" s="59">
        <v>0.29166666666666669</v>
      </c>
      <c r="AF872" s="59">
        <v>0.33263888888888887</v>
      </c>
    </row>
    <row r="873" spans="1:32" x14ac:dyDescent="0.25">
      <c r="A873" t="s">
        <v>258</v>
      </c>
      <c r="B873" t="s">
        <v>262</v>
      </c>
      <c r="C873" t="s">
        <v>263</v>
      </c>
      <c r="D873" t="s">
        <v>264</v>
      </c>
      <c r="E873" t="s">
        <v>265</v>
      </c>
      <c r="F873" t="s">
        <v>134</v>
      </c>
      <c r="H873" t="s">
        <v>132</v>
      </c>
      <c r="I873" t="s">
        <v>133</v>
      </c>
      <c r="J873" t="s">
        <v>258</v>
      </c>
      <c r="K873" t="s">
        <v>380</v>
      </c>
      <c r="L873" t="s">
        <v>381</v>
      </c>
      <c r="M873">
        <v>28</v>
      </c>
      <c r="N873" t="s">
        <v>382</v>
      </c>
      <c r="O873" t="s">
        <v>134</v>
      </c>
      <c r="P873" t="s">
        <v>218</v>
      </c>
      <c r="Q873" t="s">
        <v>219</v>
      </c>
      <c r="R873" t="s">
        <v>136</v>
      </c>
      <c r="S873" t="s">
        <v>128</v>
      </c>
      <c r="T873" t="s">
        <v>220</v>
      </c>
      <c r="U873" t="s">
        <v>129</v>
      </c>
      <c r="V873" t="s">
        <v>72</v>
      </c>
      <c r="W873" s="58">
        <v>43346</v>
      </c>
      <c r="X873" s="59">
        <v>0.34375</v>
      </c>
      <c r="Y873" s="59">
        <v>0.38541666666666669</v>
      </c>
      <c r="Z873" s="59">
        <v>4.1666666666666664E-2</v>
      </c>
      <c r="AA873">
        <v>4</v>
      </c>
      <c r="AB873">
        <v>1.9601999999999999</v>
      </c>
      <c r="AC873">
        <v>23</v>
      </c>
      <c r="AD873">
        <v>12</v>
      </c>
      <c r="AE873" s="59">
        <v>0.34375</v>
      </c>
      <c r="AF873" s="59">
        <v>0.38472222222222219</v>
      </c>
    </row>
    <row r="874" spans="1:32" x14ac:dyDescent="0.25">
      <c r="A874" t="s">
        <v>258</v>
      </c>
      <c r="B874" t="s">
        <v>278</v>
      </c>
      <c r="C874" t="s">
        <v>279</v>
      </c>
      <c r="E874" t="s">
        <v>280</v>
      </c>
      <c r="F874" t="s">
        <v>134</v>
      </c>
      <c r="H874" t="s">
        <v>144</v>
      </c>
      <c r="I874" t="s">
        <v>133</v>
      </c>
      <c r="J874" t="s">
        <v>258</v>
      </c>
      <c r="K874" t="s">
        <v>380</v>
      </c>
      <c r="L874" t="s">
        <v>381</v>
      </c>
      <c r="M874">
        <v>28</v>
      </c>
      <c r="N874" t="s">
        <v>382</v>
      </c>
      <c r="O874" t="s">
        <v>134</v>
      </c>
      <c r="P874" t="s">
        <v>218</v>
      </c>
      <c r="Q874" t="s">
        <v>219</v>
      </c>
      <c r="R874" t="s">
        <v>145</v>
      </c>
      <c r="S874" t="s">
        <v>128</v>
      </c>
      <c r="T874" t="s">
        <v>220</v>
      </c>
      <c r="U874" t="s">
        <v>129</v>
      </c>
      <c r="V874" t="s">
        <v>72</v>
      </c>
      <c r="W874" s="58">
        <v>43346</v>
      </c>
      <c r="X874" s="59">
        <v>0.40625</v>
      </c>
      <c r="Y874" s="59">
        <v>0.44791666666666669</v>
      </c>
      <c r="Z874" s="59">
        <v>4.1666666666666664E-2</v>
      </c>
      <c r="AA874">
        <v>9</v>
      </c>
      <c r="AB874">
        <v>4.6159999999999997</v>
      </c>
      <c r="AC874">
        <v>23</v>
      </c>
      <c r="AD874">
        <v>12</v>
      </c>
      <c r="AE874" s="59">
        <v>0.40625</v>
      </c>
      <c r="AF874" s="59">
        <v>0.44722222222222219</v>
      </c>
    </row>
    <row r="875" spans="1:32" x14ac:dyDescent="0.25">
      <c r="A875" t="s">
        <v>258</v>
      </c>
      <c r="B875" t="s">
        <v>270</v>
      </c>
      <c r="C875" t="s">
        <v>271</v>
      </c>
      <c r="D875" t="s">
        <v>272</v>
      </c>
      <c r="E875" t="s">
        <v>273</v>
      </c>
      <c r="F875" t="s">
        <v>134</v>
      </c>
      <c r="H875" t="s">
        <v>138</v>
      </c>
      <c r="I875" t="s">
        <v>139</v>
      </c>
      <c r="J875" t="s">
        <v>258</v>
      </c>
      <c r="K875" t="s">
        <v>380</v>
      </c>
      <c r="L875" t="s">
        <v>381</v>
      </c>
      <c r="M875">
        <v>28</v>
      </c>
      <c r="N875" t="s">
        <v>382</v>
      </c>
      <c r="O875" t="s">
        <v>134</v>
      </c>
      <c r="P875" t="s">
        <v>218</v>
      </c>
      <c r="Q875" t="s">
        <v>219</v>
      </c>
      <c r="R875" t="s">
        <v>140</v>
      </c>
      <c r="S875" t="s">
        <v>128</v>
      </c>
      <c r="T875" t="s">
        <v>220</v>
      </c>
      <c r="U875" t="s">
        <v>129</v>
      </c>
      <c r="V875" t="s">
        <v>74</v>
      </c>
      <c r="W875" s="58">
        <v>43348</v>
      </c>
      <c r="X875" s="59">
        <v>0.33333333333333331</v>
      </c>
      <c r="Y875" s="59">
        <v>0.375</v>
      </c>
      <c r="Z875" s="59">
        <v>4.1666666666666664E-2</v>
      </c>
      <c r="AA875">
        <v>0</v>
      </c>
      <c r="AC875">
        <v>23</v>
      </c>
      <c r="AD875">
        <v>12</v>
      </c>
      <c r="AE875" s="59">
        <v>0.33333333333333331</v>
      </c>
      <c r="AF875" s="59">
        <v>0.3743055555555555</v>
      </c>
    </row>
    <row r="876" spans="1:32" x14ac:dyDescent="0.25">
      <c r="A876" t="s">
        <v>258</v>
      </c>
      <c r="B876" t="s">
        <v>270</v>
      </c>
      <c r="C876" t="s">
        <v>271</v>
      </c>
      <c r="D876" t="s">
        <v>272</v>
      </c>
      <c r="E876" t="s">
        <v>273</v>
      </c>
      <c r="F876" t="s">
        <v>134</v>
      </c>
      <c r="H876" t="s">
        <v>138</v>
      </c>
      <c r="I876" t="s">
        <v>139</v>
      </c>
      <c r="J876" t="s">
        <v>258</v>
      </c>
      <c r="K876" t="s">
        <v>380</v>
      </c>
      <c r="L876" t="s">
        <v>381</v>
      </c>
      <c r="M876">
        <v>28</v>
      </c>
      <c r="N876" t="s">
        <v>382</v>
      </c>
      <c r="O876" t="s">
        <v>134</v>
      </c>
      <c r="P876" t="s">
        <v>218</v>
      </c>
      <c r="Q876" t="s">
        <v>219</v>
      </c>
      <c r="R876" t="s">
        <v>140</v>
      </c>
      <c r="S876" t="s">
        <v>128</v>
      </c>
      <c r="T876" t="s">
        <v>220</v>
      </c>
      <c r="U876" t="s">
        <v>129</v>
      </c>
      <c r="V876" t="s">
        <v>76</v>
      </c>
      <c r="W876" s="58">
        <v>43350</v>
      </c>
      <c r="X876" s="59">
        <v>0.3263888888888889</v>
      </c>
      <c r="Y876" s="59">
        <v>0.36805555555555558</v>
      </c>
      <c r="Z876" s="59">
        <v>4.1666666666666664E-2</v>
      </c>
      <c r="AA876">
        <v>0</v>
      </c>
      <c r="AC876">
        <v>23</v>
      </c>
      <c r="AD876">
        <v>12</v>
      </c>
      <c r="AE876" s="59">
        <v>0.3263888888888889</v>
      </c>
      <c r="AF876" s="59">
        <v>0.36736111111111108</v>
      </c>
    </row>
    <row r="877" spans="1:32" x14ac:dyDescent="0.25">
      <c r="A877" t="s">
        <v>258</v>
      </c>
      <c r="B877" t="s">
        <v>278</v>
      </c>
      <c r="C877" t="s">
        <v>279</v>
      </c>
      <c r="E877" t="s">
        <v>280</v>
      </c>
      <c r="F877" t="s">
        <v>134</v>
      </c>
      <c r="H877" t="s">
        <v>144</v>
      </c>
      <c r="I877" t="s">
        <v>133</v>
      </c>
      <c r="J877" t="s">
        <v>258</v>
      </c>
      <c r="K877" t="s">
        <v>380</v>
      </c>
      <c r="L877" t="s">
        <v>381</v>
      </c>
      <c r="M877">
        <v>28</v>
      </c>
      <c r="N877" t="s">
        <v>382</v>
      </c>
      <c r="O877" t="s">
        <v>134</v>
      </c>
      <c r="P877" t="s">
        <v>218</v>
      </c>
      <c r="Q877" t="s">
        <v>219</v>
      </c>
      <c r="R877" t="s">
        <v>145</v>
      </c>
      <c r="S877" t="s">
        <v>128</v>
      </c>
      <c r="T877" t="s">
        <v>220</v>
      </c>
      <c r="U877" t="s">
        <v>129</v>
      </c>
      <c r="V877" t="s">
        <v>76</v>
      </c>
      <c r="W877" s="58">
        <v>43350</v>
      </c>
      <c r="X877" s="59">
        <v>0.375</v>
      </c>
      <c r="Y877" s="59">
        <v>0.41666666666666669</v>
      </c>
      <c r="Z877" s="59">
        <v>4.1666666666666664E-2</v>
      </c>
      <c r="AA877">
        <v>5</v>
      </c>
      <c r="AB877">
        <v>2.2488000000000001</v>
      </c>
      <c r="AC877">
        <v>23</v>
      </c>
      <c r="AD877">
        <v>12</v>
      </c>
      <c r="AE877" s="59">
        <v>0.375</v>
      </c>
      <c r="AF877" s="59">
        <v>0.41597222222222219</v>
      </c>
    </row>
    <row r="878" spans="1:32" x14ac:dyDescent="0.25">
      <c r="A878" t="s">
        <v>258</v>
      </c>
      <c r="B878" t="s">
        <v>278</v>
      </c>
      <c r="C878" t="s">
        <v>279</v>
      </c>
      <c r="E878" t="s">
        <v>280</v>
      </c>
      <c r="F878" t="s">
        <v>134</v>
      </c>
      <c r="H878" t="s">
        <v>144</v>
      </c>
      <c r="I878" t="s">
        <v>133</v>
      </c>
      <c r="J878" t="s">
        <v>258</v>
      </c>
      <c r="K878" t="s">
        <v>380</v>
      </c>
      <c r="L878" t="s">
        <v>381</v>
      </c>
      <c r="M878">
        <v>28</v>
      </c>
      <c r="N878" t="s">
        <v>382</v>
      </c>
      <c r="O878" t="s">
        <v>134</v>
      </c>
      <c r="P878" t="s">
        <v>218</v>
      </c>
      <c r="Q878" t="s">
        <v>219</v>
      </c>
      <c r="R878" t="s">
        <v>145</v>
      </c>
      <c r="S878" t="s">
        <v>128</v>
      </c>
      <c r="T878" t="s">
        <v>220</v>
      </c>
      <c r="U878" t="s">
        <v>129</v>
      </c>
      <c r="V878" t="s">
        <v>77</v>
      </c>
      <c r="W878" s="58">
        <v>43351</v>
      </c>
      <c r="X878" s="59">
        <v>0.85416666666666663</v>
      </c>
      <c r="Y878" s="59">
        <v>0.89583333333333337</v>
      </c>
      <c r="Z878" s="59">
        <v>4.1666666666666664E-2</v>
      </c>
      <c r="AA878">
        <v>0</v>
      </c>
      <c r="AC878">
        <v>23</v>
      </c>
      <c r="AD878">
        <v>11</v>
      </c>
      <c r="AE878" s="59">
        <v>0.85416666666666663</v>
      </c>
      <c r="AF878" s="59">
        <v>0.89513888888888893</v>
      </c>
    </row>
    <row r="879" spans="1:32" x14ac:dyDescent="0.25">
      <c r="A879" t="s">
        <v>258</v>
      </c>
      <c r="B879" t="s">
        <v>278</v>
      </c>
      <c r="C879" t="s">
        <v>279</v>
      </c>
      <c r="E879" t="s">
        <v>280</v>
      </c>
      <c r="F879" t="s">
        <v>134</v>
      </c>
      <c r="H879" t="s">
        <v>144</v>
      </c>
      <c r="I879" t="s">
        <v>133</v>
      </c>
      <c r="J879" t="s">
        <v>258</v>
      </c>
      <c r="K879" t="s">
        <v>380</v>
      </c>
      <c r="L879" t="s">
        <v>381</v>
      </c>
      <c r="M879">
        <v>28</v>
      </c>
      <c r="N879" t="s">
        <v>382</v>
      </c>
      <c r="O879" t="s">
        <v>134</v>
      </c>
      <c r="P879" t="s">
        <v>218</v>
      </c>
      <c r="Q879" t="s">
        <v>219</v>
      </c>
      <c r="R879" t="s">
        <v>145</v>
      </c>
      <c r="S879" t="s">
        <v>128</v>
      </c>
      <c r="T879" t="s">
        <v>220</v>
      </c>
      <c r="U879" t="s">
        <v>129</v>
      </c>
      <c r="V879" t="s">
        <v>71</v>
      </c>
      <c r="W879" s="58">
        <v>43352</v>
      </c>
      <c r="X879" s="59">
        <v>0.33333333333333331</v>
      </c>
      <c r="Y879" s="59">
        <v>0.375</v>
      </c>
      <c r="Z879" s="59">
        <v>4.1666666666666664E-2</v>
      </c>
      <c r="AA879">
        <v>0</v>
      </c>
      <c r="AC879">
        <v>23</v>
      </c>
      <c r="AD879">
        <v>11</v>
      </c>
      <c r="AE879" s="59">
        <v>0.33333333333333331</v>
      </c>
      <c r="AF879" s="59">
        <v>0.3743055555555555</v>
      </c>
    </row>
    <row r="880" spans="1:32" x14ac:dyDescent="0.25">
      <c r="A880" t="s">
        <v>274</v>
      </c>
      <c r="B880" t="s">
        <v>275</v>
      </c>
      <c r="C880" t="s">
        <v>276</v>
      </c>
      <c r="E880" t="s">
        <v>277</v>
      </c>
      <c r="F880" t="s">
        <v>134</v>
      </c>
      <c r="H880" t="s">
        <v>141</v>
      </c>
      <c r="I880" t="s">
        <v>142</v>
      </c>
      <c r="J880" t="s">
        <v>258</v>
      </c>
      <c r="K880" t="s">
        <v>380</v>
      </c>
      <c r="L880" t="s">
        <v>381</v>
      </c>
      <c r="M880">
        <v>28</v>
      </c>
      <c r="N880" t="s">
        <v>382</v>
      </c>
      <c r="O880" t="s">
        <v>134</v>
      </c>
      <c r="P880" t="s">
        <v>218</v>
      </c>
      <c r="Q880" t="s">
        <v>219</v>
      </c>
      <c r="R880" t="s">
        <v>143</v>
      </c>
      <c r="S880" t="s">
        <v>128</v>
      </c>
      <c r="T880" t="s">
        <v>220</v>
      </c>
      <c r="U880" t="s">
        <v>129</v>
      </c>
      <c r="V880" t="s">
        <v>71</v>
      </c>
      <c r="W880" s="58">
        <v>43352</v>
      </c>
      <c r="X880" s="59">
        <v>0.38541666666666669</v>
      </c>
      <c r="Y880" s="59">
        <v>0.42708333333333331</v>
      </c>
      <c r="Z880" s="59">
        <v>4.1666666666666664E-2</v>
      </c>
      <c r="AA880">
        <v>4</v>
      </c>
      <c r="AB880">
        <v>2.0796000000000001</v>
      </c>
      <c r="AC880">
        <v>23</v>
      </c>
      <c r="AD880">
        <v>11</v>
      </c>
      <c r="AE880" s="59">
        <v>0.38541666666666669</v>
      </c>
      <c r="AF880" s="59">
        <v>0.42638888888888887</v>
      </c>
    </row>
    <row r="881" spans="1:32" x14ac:dyDescent="0.25">
      <c r="A881" t="s">
        <v>258</v>
      </c>
      <c r="B881" t="s">
        <v>270</v>
      </c>
      <c r="C881" t="s">
        <v>271</v>
      </c>
      <c r="D881" t="s">
        <v>272</v>
      </c>
      <c r="E881" t="s">
        <v>273</v>
      </c>
      <c r="F881" t="s">
        <v>134</v>
      </c>
      <c r="H881" t="s">
        <v>138</v>
      </c>
      <c r="I881" t="s">
        <v>139</v>
      </c>
      <c r="J881" t="s">
        <v>258</v>
      </c>
      <c r="K881" t="s">
        <v>380</v>
      </c>
      <c r="L881" t="s">
        <v>381</v>
      </c>
      <c r="M881">
        <v>28</v>
      </c>
      <c r="N881" t="s">
        <v>382</v>
      </c>
      <c r="O881" t="s">
        <v>134</v>
      </c>
      <c r="P881" t="s">
        <v>218</v>
      </c>
      <c r="Q881" t="s">
        <v>219</v>
      </c>
      <c r="R881" t="s">
        <v>140</v>
      </c>
      <c r="S881" t="s">
        <v>128</v>
      </c>
      <c r="T881" t="s">
        <v>220</v>
      </c>
      <c r="U881" t="s">
        <v>129</v>
      </c>
      <c r="V881" t="s">
        <v>72</v>
      </c>
      <c r="W881" s="58">
        <v>43353</v>
      </c>
      <c r="X881" s="59">
        <v>0.3263888888888889</v>
      </c>
      <c r="Y881" s="59">
        <v>0.36805555555555558</v>
      </c>
      <c r="Z881" s="59">
        <v>4.1666666666666664E-2</v>
      </c>
      <c r="AA881">
        <v>4</v>
      </c>
      <c r="AC881">
        <v>23</v>
      </c>
      <c r="AD881">
        <v>10</v>
      </c>
      <c r="AE881" s="59">
        <v>0.3263888888888889</v>
      </c>
      <c r="AF881" s="59">
        <v>0.36736111111111108</v>
      </c>
    </row>
    <row r="882" spans="1:32" x14ac:dyDescent="0.25">
      <c r="A882" t="s">
        <v>258</v>
      </c>
      <c r="B882" t="s">
        <v>278</v>
      </c>
      <c r="C882" t="s">
        <v>279</v>
      </c>
      <c r="E882" t="s">
        <v>280</v>
      </c>
      <c r="F882" t="s">
        <v>134</v>
      </c>
      <c r="H882" t="s">
        <v>144</v>
      </c>
      <c r="I882" t="s">
        <v>133</v>
      </c>
      <c r="J882" t="s">
        <v>258</v>
      </c>
      <c r="K882" t="s">
        <v>380</v>
      </c>
      <c r="L882" t="s">
        <v>381</v>
      </c>
      <c r="M882">
        <v>28</v>
      </c>
      <c r="N882" t="s">
        <v>382</v>
      </c>
      <c r="O882" t="s">
        <v>134</v>
      </c>
      <c r="P882" t="s">
        <v>218</v>
      </c>
      <c r="Q882" t="s">
        <v>219</v>
      </c>
      <c r="R882" t="s">
        <v>145</v>
      </c>
      <c r="S882" t="s">
        <v>128</v>
      </c>
      <c r="T882" t="s">
        <v>220</v>
      </c>
      <c r="U882" t="s">
        <v>129</v>
      </c>
      <c r="V882" t="s">
        <v>72</v>
      </c>
      <c r="W882" s="58">
        <v>43353</v>
      </c>
      <c r="X882" s="59">
        <v>0.375</v>
      </c>
      <c r="Y882" s="59">
        <v>0.41666666666666669</v>
      </c>
      <c r="Z882" s="59">
        <v>4.1666666666666664E-2</v>
      </c>
      <c r="AA882">
        <v>5</v>
      </c>
      <c r="AB882">
        <v>2.2488000000000001</v>
      </c>
      <c r="AC882">
        <v>23</v>
      </c>
      <c r="AD882">
        <v>10</v>
      </c>
      <c r="AE882" s="59">
        <v>0.375</v>
      </c>
      <c r="AF882" s="59">
        <v>0.41597222222222219</v>
      </c>
    </row>
    <row r="883" spans="1:32" x14ac:dyDescent="0.25">
      <c r="A883" t="s">
        <v>258</v>
      </c>
      <c r="B883" t="s">
        <v>278</v>
      </c>
      <c r="C883" t="s">
        <v>279</v>
      </c>
      <c r="E883" t="s">
        <v>280</v>
      </c>
      <c r="F883" t="s">
        <v>134</v>
      </c>
      <c r="H883" t="s">
        <v>144</v>
      </c>
      <c r="I883" t="s">
        <v>133</v>
      </c>
      <c r="J883" t="s">
        <v>258</v>
      </c>
      <c r="K883" t="s">
        <v>380</v>
      </c>
      <c r="L883" t="s">
        <v>381</v>
      </c>
      <c r="M883">
        <v>28</v>
      </c>
      <c r="N883" t="s">
        <v>382</v>
      </c>
      <c r="O883" t="s">
        <v>134</v>
      </c>
      <c r="P883" t="s">
        <v>218</v>
      </c>
      <c r="Q883" t="s">
        <v>219</v>
      </c>
      <c r="R883" t="s">
        <v>145</v>
      </c>
      <c r="S883" t="s">
        <v>128</v>
      </c>
      <c r="T883" t="s">
        <v>220</v>
      </c>
      <c r="U883" t="s">
        <v>129</v>
      </c>
      <c r="V883" t="s">
        <v>72</v>
      </c>
      <c r="W883" s="58">
        <v>43353</v>
      </c>
      <c r="X883" s="59">
        <v>0.84375</v>
      </c>
      <c r="Y883" s="59">
        <v>0.88541666666666663</v>
      </c>
      <c r="Z883" s="59">
        <v>4.1666666666666664E-2</v>
      </c>
      <c r="AA883">
        <v>0</v>
      </c>
      <c r="AC883">
        <v>23</v>
      </c>
      <c r="AD883">
        <v>10</v>
      </c>
      <c r="AE883" s="59">
        <v>0.84375</v>
      </c>
      <c r="AF883" s="59">
        <v>0.8847222222222223</v>
      </c>
    </row>
    <row r="884" spans="1:32" x14ac:dyDescent="0.25">
      <c r="A884" t="s">
        <v>258</v>
      </c>
      <c r="B884" t="s">
        <v>270</v>
      </c>
      <c r="C884" t="s">
        <v>271</v>
      </c>
      <c r="D884" t="s">
        <v>272</v>
      </c>
      <c r="E884" t="s">
        <v>273</v>
      </c>
      <c r="F884" t="s">
        <v>134</v>
      </c>
      <c r="H884" t="s">
        <v>138</v>
      </c>
      <c r="I884" t="s">
        <v>139</v>
      </c>
      <c r="J884" t="s">
        <v>258</v>
      </c>
      <c r="K884" t="s">
        <v>380</v>
      </c>
      <c r="L884" t="s">
        <v>381</v>
      </c>
      <c r="M884">
        <v>28</v>
      </c>
      <c r="N884" t="s">
        <v>382</v>
      </c>
      <c r="O884" t="s">
        <v>134</v>
      </c>
      <c r="P884" t="s">
        <v>218</v>
      </c>
      <c r="Q884" t="s">
        <v>219</v>
      </c>
      <c r="R884" t="s">
        <v>140</v>
      </c>
      <c r="S884" t="s">
        <v>128</v>
      </c>
      <c r="T884" t="s">
        <v>220</v>
      </c>
      <c r="U884" t="s">
        <v>129</v>
      </c>
      <c r="V884" t="s">
        <v>76</v>
      </c>
      <c r="W884" s="58">
        <v>43357</v>
      </c>
      <c r="X884" s="59">
        <v>0.3263888888888889</v>
      </c>
      <c r="Y884" s="59">
        <v>0.36805555555555558</v>
      </c>
      <c r="Z884" s="59">
        <v>4.1666666666666664E-2</v>
      </c>
      <c r="AA884">
        <v>4</v>
      </c>
      <c r="AC884">
        <v>23</v>
      </c>
      <c r="AD884">
        <v>10</v>
      </c>
      <c r="AE884" s="59">
        <v>0.3263888888888889</v>
      </c>
      <c r="AF884" s="59">
        <v>0.36736111111111108</v>
      </c>
    </row>
    <row r="885" spans="1:32" x14ac:dyDescent="0.25">
      <c r="A885" t="s">
        <v>258</v>
      </c>
      <c r="B885" t="s">
        <v>278</v>
      </c>
      <c r="C885" t="s">
        <v>279</v>
      </c>
      <c r="E885" t="s">
        <v>280</v>
      </c>
      <c r="F885" t="s">
        <v>134</v>
      </c>
      <c r="H885" t="s">
        <v>144</v>
      </c>
      <c r="I885" t="s">
        <v>133</v>
      </c>
      <c r="J885" t="s">
        <v>258</v>
      </c>
      <c r="K885" t="s">
        <v>380</v>
      </c>
      <c r="L885" t="s">
        <v>381</v>
      </c>
      <c r="M885">
        <v>28</v>
      </c>
      <c r="N885" t="s">
        <v>382</v>
      </c>
      <c r="O885" t="s">
        <v>134</v>
      </c>
      <c r="P885" t="s">
        <v>218</v>
      </c>
      <c r="Q885" t="s">
        <v>219</v>
      </c>
      <c r="R885" t="s">
        <v>145</v>
      </c>
      <c r="S885" t="s">
        <v>128</v>
      </c>
      <c r="T885" t="s">
        <v>220</v>
      </c>
      <c r="U885" t="s">
        <v>129</v>
      </c>
      <c r="V885" t="s">
        <v>76</v>
      </c>
      <c r="W885" s="58">
        <v>43357</v>
      </c>
      <c r="X885" s="59">
        <v>0.38194444444444442</v>
      </c>
      <c r="Y885" s="59">
        <v>0.4236111111111111</v>
      </c>
      <c r="Z885" s="59">
        <v>4.1666666666666664E-2</v>
      </c>
      <c r="AA885">
        <v>5</v>
      </c>
      <c r="AB885">
        <v>2.2488000000000001</v>
      </c>
      <c r="AC885">
        <v>23</v>
      </c>
      <c r="AD885">
        <v>10</v>
      </c>
      <c r="AE885" s="59">
        <v>0.38194444444444442</v>
      </c>
      <c r="AF885" s="59">
        <v>0.42291666666666666</v>
      </c>
    </row>
    <row r="886" spans="1:32" x14ac:dyDescent="0.25">
      <c r="A886" t="s">
        <v>258</v>
      </c>
      <c r="B886" t="s">
        <v>284</v>
      </c>
      <c r="C886" t="s">
        <v>285</v>
      </c>
      <c r="E886" t="s">
        <v>286</v>
      </c>
      <c r="F886" t="s">
        <v>134</v>
      </c>
      <c r="H886" t="s">
        <v>149</v>
      </c>
      <c r="I886" t="s">
        <v>127</v>
      </c>
      <c r="J886" t="s">
        <v>266</v>
      </c>
      <c r="K886" t="s">
        <v>383</v>
      </c>
      <c r="L886" t="s">
        <v>384</v>
      </c>
      <c r="M886" s="63">
        <v>43193</v>
      </c>
      <c r="N886" t="s">
        <v>385</v>
      </c>
      <c r="O886" t="s">
        <v>134</v>
      </c>
      <c r="P886" t="s">
        <v>218</v>
      </c>
      <c r="Q886" t="s">
        <v>221</v>
      </c>
      <c r="R886" t="s">
        <v>150</v>
      </c>
      <c r="S886" t="s">
        <v>128</v>
      </c>
      <c r="T886" t="s">
        <v>137</v>
      </c>
      <c r="U886" t="s">
        <v>151</v>
      </c>
      <c r="V886" t="s">
        <v>74</v>
      </c>
      <c r="W886" s="58">
        <v>43334</v>
      </c>
      <c r="X886" s="59">
        <v>0.35972222222222222</v>
      </c>
      <c r="Y886" s="59">
        <v>0.40138888888888885</v>
      </c>
      <c r="Z886" s="59">
        <v>4.1666666666666664E-2</v>
      </c>
      <c r="AA886">
        <v>0</v>
      </c>
      <c r="AD886">
        <v>8.75</v>
      </c>
      <c r="AE886" s="59">
        <v>0.35972222222222222</v>
      </c>
      <c r="AF886" s="59">
        <v>0.40069444444444446</v>
      </c>
    </row>
    <row r="887" spans="1:32" x14ac:dyDescent="0.25">
      <c r="A887" t="s">
        <v>258</v>
      </c>
      <c r="B887" t="s">
        <v>287</v>
      </c>
      <c r="C887" t="s">
        <v>288</v>
      </c>
      <c r="E887" t="s">
        <v>289</v>
      </c>
      <c r="F887" t="s">
        <v>134</v>
      </c>
      <c r="H887" t="s">
        <v>152</v>
      </c>
      <c r="I887" t="s">
        <v>127</v>
      </c>
      <c r="J887" t="s">
        <v>266</v>
      </c>
      <c r="K887" t="s">
        <v>383</v>
      </c>
      <c r="L887" t="s">
        <v>384</v>
      </c>
      <c r="M887" s="63">
        <v>43193</v>
      </c>
      <c r="N887" t="s">
        <v>385</v>
      </c>
      <c r="O887" t="s">
        <v>134</v>
      </c>
      <c r="P887" t="s">
        <v>218</v>
      </c>
      <c r="Q887" t="s">
        <v>221</v>
      </c>
      <c r="R887" t="s">
        <v>153</v>
      </c>
      <c r="S887" t="s">
        <v>128</v>
      </c>
      <c r="T887" t="s">
        <v>137</v>
      </c>
      <c r="U887" t="s">
        <v>151</v>
      </c>
      <c r="V887" t="s">
        <v>74</v>
      </c>
      <c r="W887" s="58">
        <v>43334</v>
      </c>
      <c r="X887" s="59">
        <v>0.40277777777777773</v>
      </c>
      <c r="Y887" s="59">
        <v>0.44444444444444442</v>
      </c>
      <c r="Z887" s="59">
        <v>4.1666666666666664E-2</v>
      </c>
      <c r="AA887">
        <v>0</v>
      </c>
      <c r="AB887">
        <v>0.27279999999999999</v>
      </c>
      <c r="AD887">
        <v>8.75</v>
      </c>
      <c r="AE887" s="59">
        <v>0.40277777777777773</v>
      </c>
      <c r="AF887" s="59">
        <v>0.44375000000000003</v>
      </c>
    </row>
    <row r="888" spans="1:32" x14ac:dyDescent="0.25">
      <c r="A888" t="s">
        <v>274</v>
      </c>
      <c r="B888" t="s">
        <v>336</v>
      </c>
      <c r="C888" t="s">
        <v>337</v>
      </c>
      <c r="E888" t="s">
        <v>338</v>
      </c>
      <c r="F888" t="s">
        <v>134</v>
      </c>
      <c r="H888" t="s">
        <v>186</v>
      </c>
      <c r="I888" t="s">
        <v>147</v>
      </c>
      <c r="J888" t="s">
        <v>266</v>
      </c>
      <c r="K888" t="s">
        <v>383</v>
      </c>
      <c r="L888" t="s">
        <v>384</v>
      </c>
      <c r="M888" s="63">
        <v>43193</v>
      </c>
      <c r="N888" t="s">
        <v>385</v>
      </c>
      <c r="O888" t="s">
        <v>134</v>
      </c>
      <c r="P888" t="s">
        <v>218</v>
      </c>
      <c r="Q888" t="s">
        <v>221</v>
      </c>
      <c r="R888" t="s">
        <v>187</v>
      </c>
      <c r="S888" t="s">
        <v>128</v>
      </c>
      <c r="T888" t="s">
        <v>137</v>
      </c>
      <c r="U888" t="s">
        <v>174</v>
      </c>
      <c r="V888" t="s">
        <v>74</v>
      </c>
      <c r="W888" s="58">
        <v>43334</v>
      </c>
      <c r="X888" s="59">
        <v>0.46875</v>
      </c>
      <c r="Y888" s="59">
        <v>0.47916666666666669</v>
      </c>
      <c r="Z888" s="59">
        <v>1.0416666666666666E-2</v>
      </c>
      <c r="AA888">
        <v>0</v>
      </c>
      <c r="AB888">
        <v>3.9954000000000001</v>
      </c>
      <c r="AD888">
        <v>2.1875</v>
      </c>
      <c r="AE888" s="59">
        <v>0.46875</v>
      </c>
      <c r="AF888" s="59">
        <v>0.47847222222222219</v>
      </c>
    </row>
    <row r="889" spans="1:32" x14ac:dyDescent="0.25">
      <c r="A889" t="s">
        <v>258</v>
      </c>
      <c r="B889" t="s">
        <v>325</v>
      </c>
      <c r="C889" t="s">
        <v>326</v>
      </c>
      <c r="E889" t="s">
        <v>327</v>
      </c>
      <c r="F889" t="s">
        <v>134</v>
      </c>
      <c r="H889" t="s">
        <v>182</v>
      </c>
      <c r="I889" t="s">
        <v>147</v>
      </c>
      <c r="J889" t="s">
        <v>266</v>
      </c>
      <c r="K889" t="s">
        <v>383</v>
      </c>
      <c r="L889" t="s">
        <v>384</v>
      </c>
      <c r="M889" s="63">
        <v>43193</v>
      </c>
      <c r="N889" t="s">
        <v>385</v>
      </c>
      <c r="O889" t="s">
        <v>134</v>
      </c>
      <c r="P889" t="s">
        <v>218</v>
      </c>
      <c r="Q889" t="s">
        <v>221</v>
      </c>
      <c r="R889" t="s">
        <v>183</v>
      </c>
      <c r="S889" t="s">
        <v>128</v>
      </c>
      <c r="T889" t="s">
        <v>137</v>
      </c>
      <c r="U889" t="s">
        <v>174</v>
      </c>
      <c r="V889" t="s">
        <v>74</v>
      </c>
      <c r="W889" s="58">
        <v>43334</v>
      </c>
      <c r="X889" s="59">
        <v>0.5</v>
      </c>
      <c r="Y889" s="59">
        <v>0.54166666666666663</v>
      </c>
      <c r="Z889" s="59">
        <v>4.1666666666666664E-2</v>
      </c>
      <c r="AA889">
        <v>0</v>
      </c>
      <c r="AB889">
        <v>1.5784</v>
      </c>
      <c r="AD889">
        <v>8.75</v>
      </c>
      <c r="AE889" s="59">
        <v>0.5</v>
      </c>
      <c r="AF889" s="59">
        <v>0.54097222222222219</v>
      </c>
    </row>
    <row r="890" spans="1:32" x14ac:dyDescent="0.25">
      <c r="B890" t="s">
        <v>307</v>
      </c>
      <c r="C890" t="s">
        <v>308</v>
      </c>
      <c r="D890" t="s">
        <v>309</v>
      </c>
      <c r="E890" t="s">
        <v>134</v>
      </c>
      <c r="H890" t="s">
        <v>171</v>
      </c>
      <c r="I890" t="s">
        <v>169</v>
      </c>
      <c r="J890" t="s">
        <v>266</v>
      </c>
      <c r="K890" t="s">
        <v>383</v>
      </c>
      <c r="L890" t="s">
        <v>384</v>
      </c>
      <c r="M890" s="63">
        <v>43193</v>
      </c>
      <c r="N890" t="s">
        <v>385</v>
      </c>
      <c r="O890" t="s">
        <v>134</v>
      </c>
      <c r="P890" t="s">
        <v>218</v>
      </c>
      <c r="Q890" t="s">
        <v>221</v>
      </c>
      <c r="R890" t="s">
        <v>172</v>
      </c>
      <c r="S890" t="s">
        <v>128</v>
      </c>
      <c r="T890" t="s">
        <v>137</v>
      </c>
      <c r="U890" t="s">
        <v>174</v>
      </c>
      <c r="V890" t="s">
        <v>74</v>
      </c>
      <c r="W890" s="58">
        <v>43334</v>
      </c>
      <c r="X890" s="59">
        <v>0.66666666666666663</v>
      </c>
      <c r="Y890" s="59">
        <v>0.69791666666666663</v>
      </c>
      <c r="Z890" s="59">
        <v>3.125E-2</v>
      </c>
      <c r="AA890">
        <v>0</v>
      </c>
      <c r="AD890">
        <v>6.5625</v>
      </c>
      <c r="AE890" s="59">
        <v>0.66666666666666663</v>
      </c>
      <c r="AF890" s="59">
        <v>0.6972222222222223</v>
      </c>
    </row>
    <row r="891" spans="1:32" x14ac:dyDescent="0.25">
      <c r="A891" t="s">
        <v>258</v>
      </c>
      <c r="B891" t="s">
        <v>314</v>
      </c>
      <c r="C891" t="s">
        <v>315</v>
      </c>
      <c r="D891">
        <v>72</v>
      </c>
      <c r="E891" t="s">
        <v>316</v>
      </c>
      <c r="F891" t="s">
        <v>317</v>
      </c>
      <c r="G891" t="s">
        <v>218</v>
      </c>
      <c r="H891" t="s">
        <v>168</v>
      </c>
      <c r="I891" t="s">
        <v>169</v>
      </c>
      <c r="J891" t="s">
        <v>266</v>
      </c>
      <c r="K891" t="s">
        <v>383</v>
      </c>
      <c r="L891" t="s">
        <v>384</v>
      </c>
      <c r="M891" s="63">
        <v>43193</v>
      </c>
      <c r="N891" t="s">
        <v>385</v>
      </c>
      <c r="O891" t="s">
        <v>134</v>
      </c>
      <c r="P891" t="s">
        <v>218</v>
      </c>
      <c r="Q891" t="s">
        <v>221</v>
      </c>
      <c r="R891" t="s">
        <v>170</v>
      </c>
      <c r="S891" t="s">
        <v>128</v>
      </c>
      <c r="T891" t="s">
        <v>137</v>
      </c>
      <c r="U891" t="s">
        <v>174</v>
      </c>
      <c r="V891" t="s">
        <v>74</v>
      </c>
      <c r="W891" s="58">
        <v>43334</v>
      </c>
      <c r="X891" s="59">
        <v>0.70833333333333337</v>
      </c>
      <c r="Y891" s="59">
        <v>0.75</v>
      </c>
      <c r="Z891" s="59">
        <v>4.1666666666666664E-2</v>
      </c>
      <c r="AA891">
        <v>0</v>
      </c>
      <c r="AB891">
        <v>0.62839999999999996</v>
      </c>
      <c r="AD891">
        <v>8.75</v>
      </c>
      <c r="AE891" s="59">
        <v>0.70833333333333337</v>
      </c>
      <c r="AF891" s="59">
        <v>0.74930555555555556</v>
      </c>
    </row>
    <row r="892" spans="1:32" x14ac:dyDescent="0.25">
      <c r="A892" t="s">
        <v>258</v>
      </c>
      <c r="B892" t="s">
        <v>270</v>
      </c>
      <c r="C892" t="s">
        <v>271</v>
      </c>
      <c r="D892" t="s">
        <v>272</v>
      </c>
      <c r="E892" t="s">
        <v>273</v>
      </c>
      <c r="F892" t="s">
        <v>134</v>
      </c>
      <c r="H892" t="s">
        <v>138</v>
      </c>
      <c r="I892" t="s">
        <v>139</v>
      </c>
      <c r="J892" t="s">
        <v>266</v>
      </c>
      <c r="K892" t="s">
        <v>383</v>
      </c>
      <c r="L892" t="s">
        <v>384</v>
      </c>
      <c r="M892" s="63">
        <v>43193</v>
      </c>
      <c r="N892" t="s">
        <v>385</v>
      </c>
      <c r="O892" t="s">
        <v>134</v>
      </c>
      <c r="P892" t="s">
        <v>218</v>
      </c>
      <c r="Q892" t="s">
        <v>221</v>
      </c>
      <c r="R892" t="s">
        <v>140</v>
      </c>
      <c r="S892" t="s">
        <v>128</v>
      </c>
      <c r="T892" t="s">
        <v>137</v>
      </c>
      <c r="U892" t="s">
        <v>174</v>
      </c>
      <c r="V892" t="s">
        <v>74</v>
      </c>
      <c r="W892" s="58">
        <v>43334</v>
      </c>
      <c r="X892" s="59">
        <v>0.76041666666666663</v>
      </c>
      <c r="Y892" s="59">
        <v>0.79166666666666663</v>
      </c>
      <c r="Z892" s="59">
        <v>3.125E-2</v>
      </c>
      <c r="AA892">
        <v>0</v>
      </c>
      <c r="AB892">
        <v>6.5953999999999997</v>
      </c>
      <c r="AD892">
        <v>6.5625</v>
      </c>
      <c r="AE892" s="59">
        <v>0.76041666666666663</v>
      </c>
      <c r="AF892" s="59">
        <v>0.7909722222222223</v>
      </c>
    </row>
    <row r="893" spans="1:32" x14ac:dyDescent="0.25">
      <c r="A893" t="s">
        <v>258</v>
      </c>
      <c r="B893" t="s">
        <v>270</v>
      </c>
      <c r="C893" t="s">
        <v>271</v>
      </c>
      <c r="D893" t="s">
        <v>272</v>
      </c>
      <c r="E893" t="s">
        <v>273</v>
      </c>
      <c r="F893" t="s">
        <v>134</v>
      </c>
      <c r="H893" t="s">
        <v>138</v>
      </c>
      <c r="I893" t="s">
        <v>139</v>
      </c>
      <c r="J893" t="s">
        <v>266</v>
      </c>
      <c r="K893" t="s">
        <v>383</v>
      </c>
      <c r="L893" t="s">
        <v>384</v>
      </c>
      <c r="M893" s="63">
        <v>43193</v>
      </c>
      <c r="N893" t="s">
        <v>385</v>
      </c>
      <c r="O893" t="s">
        <v>134</v>
      </c>
      <c r="P893" t="s">
        <v>218</v>
      </c>
      <c r="Q893" t="s">
        <v>221</v>
      </c>
      <c r="R893" t="s">
        <v>140</v>
      </c>
      <c r="S893" t="s">
        <v>128</v>
      </c>
      <c r="T893" t="s">
        <v>137</v>
      </c>
      <c r="U893" t="s">
        <v>129</v>
      </c>
      <c r="V893" t="s">
        <v>75</v>
      </c>
      <c r="W893" s="58">
        <v>43335</v>
      </c>
      <c r="X893" s="59">
        <v>0.33333333333333331</v>
      </c>
      <c r="Y893" s="59">
        <v>0.375</v>
      </c>
      <c r="Z893" s="59">
        <v>4.1666666666666664E-2</v>
      </c>
      <c r="AA893">
        <v>0</v>
      </c>
      <c r="AD893">
        <v>8.75</v>
      </c>
      <c r="AE893" s="59">
        <v>0.33333333333333331</v>
      </c>
      <c r="AF893" s="59">
        <v>0.3743055555555555</v>
      </c>
    </row>
    <row r="894" spans="1:32" x14ac:dyDescent="0.25">
      <c r="A894" t="s">
        <v>274</v>
      </c>
      <c r="B894" t="s">
        <v>275</v>
      </c>
      <c r="C894" t="s">
        <v>276</v>
      </c>
      <c r="E894" t="s">
        <v>277</v>
      </c>
      <c r="F894" t="s">
        <v>134</v>
      </c>
      <c r="H894" t="s">
        <v>141</v>
      </c>
      <c r="I894" t="s">
        <v>142</v>
      </c>
      <c r="J894" t="s">
        <v>266</v>
      </c>
      <c r="K894" t="s">
        <v>383</v>
      </c>
      <c r="L894" t="s">
        <v>384</v>
      </c>
      <c r="M894" s="63">
        <v>43193</v>
      </c>
      <c r="N894" t="s">
        <v>385</v>
      </c>
      <c r="O894" t="s">
        <v>134</v>
      </c>
      <c r="P894" t="s">
        <v>218</v>
      </c>
      <c r="Q894" t="s">
        <v>221</v>
      </c>
      <c r="R894" t="s">
        <v>143</v>
      </c>
      <c r="S894" t="s">
        <v>128</v>
      </c>
      <c r="T894" t="s">
        <v>137</v>
      </c>
      <c r="U894" t="s">
        <v>129</v>
      </c>
      <c r="V894" t="s">
        <v>75</v>
      </c>
      <c r="W894" s="58">
        <v>43335</v>
      </c>
      <c r="X894" s="59">
        <v>0.3888888888888889</v>
      </c>
      <c r="Y894" s="59">
        <v>0.43055555555555558</v>
      </c>
      <c r="Z894" s="59">
        <v>4.1666666666666664E-2</v>
      </c>
      <c r="AA894">
        <v>0</v>
      </c>
      <c r="AB894">
        <v>0.9</v>
      </c>
      <c r="AD894">
        <v>8.75</v>
      </c>
      <c r="AE894" s="59">
        <v>0.3888888888888889</v>
      </c>
      <c r="AF894" s="59">
        <v>0.42986111111111108</v>
      </c>
    </row>
    <row r="895" spans="1:32" x14ac:dyDescent="0.25">
      <c r="A895" t="s">
        <v>258</v>
      </c>
      <c r="B895" t="s">
        <v>278</v>
      </c>
      <c r="C895" t="s">
        <v>279</v>
      </c>
      <c r="E895" t="s">
        <v>280</v>
      </c>
      <c r="F895" t="s">
        <v>134</v>
      </c>
      <c r="H895" t="s">
        <v>144</v>
      </c>
      <c r="I895" t="s">
        <v>133</v>
      </c>
      <c r="J895" t="s">
        <v>266</v>
      </c>
      <c r="K895" t="s">
        <v>383</v>
      </c>
      <c r="L895" t="s">
        <v>384</v>
      </c>
      <c r="M895" s="63">
        <v>43193</v>
      </c>
      <c r="N895" t="s">
        <v>385</v>
      </c>
      <c r="O895" t="s">
        <v>134</v>
      </c>
      <c r="P895" t="s">
        <v>218</v>
      </c>
      <c r="Q895" t="s">
        <v>221</v>
      </c>
      <c r="R895" t="s">
        <v>145</v>
      </c>
      <c r="S895" t="s">
        <v>128</v>
      </c>
      <c r="T895" t="s">
        <v>137</v>
      </c>
      <c r="U895" t="s">
        <v>129</v>
      </c>
      <c r="V895" t="s">
        <v>75</v>
      </c>
      <c r="W895" s="58">
        <v>43335</v>
      </c>
      <c r="X895" s="59">
        <v>0.54166666666666663</v>
      </c>
      <c r="Y895" s="59">
        <v>0.58333333333333337</v>
      </c>
      <c r="Z895" s="59">
        <v>4.1666666666666664E-2</v>
      </c>
      <c r="AA895">
        <v>0</v>
      </c>
      <c r="AB895">
        <v>2.0796000000000001</v>
      </c>
      <c r="AD895">
        <v>8.75</v>
      </c>
      <c r="AE895" s="59">
        <v>0.54166666666666663</v>
      </c>
      <c r="AF895" s="59">
        <v>0.58263888888888882</v>
      </c>
    </row>
    <row r="896" spans="1:32" x14ac:dyDescent="0.25">
      <c r="B896" t="s">
        <v>307</v>
      </c>
      <c r="C896" t="s">
        <v>308</v>
      </c>
      <c r="D896" t="s">
        <v>309</v>
      </c>
      <c r="E896" t="s">
        <v>134</v>
      </c>
      <c r="H896" t="s">
        <v>171</v>
      </c>
      <c r="I896" t="s">
        <v>169</v>
      </c>
      <c r="J896" t="s">
        <v>266</v>
      </c>
      <c r="K896" t="s">
        <v>383</v>
      </c>
      <c r="L896" t="s">
        <v>384</v>
      </c>
      <c r="M896" s="63">
        <v>43193</v>
      </c>
      <c r="N896" t="s">
        <v>385</v>
      </c>
      <c r="O896" t="s">
        <v>134</v>
      </c>
      <c r="P896" t="s">
        <v>218</v>
      </c>
      <c r="Q896" t="s">
        <v>221</v>
      </c>
      <c r="R896" t="s">
        <v>172</v>
      </c>
      <c r="S896" t="s">
        <v>128</v>
      </c>
      <c r="T896" t="s">
        <v>137</v>
      </c>
      <c r="U896" t="s">
        <v>174</v>
      </c>
      <c r="V896" t="s">
        <v>75</v>
      </c>
      <c r="W896" s="58">
        <v>43335</v>
      </c>
      <c r="X896" s="59">
        <v>0.67708333333333337</v>
      </c>
      <c r="Y896" s="59">
        <v>0.70833333333333337</v>
      </c>
      <c r="Z896" s="59">
        <v>3.125E-2</v>
      </c>
      <c r="AA896">
        <v>0</v>
      </c>
      <c r="AB896">
        <v>6.3272000000000004</v>
      </c>
      <c r="AD896">
        <v>6.5625</v>
      </c>
      <c r="AE896" s="59">
        <v>0.67708333333333337</v>
      </c>
      <c r="AF896" s="59">
        <v>0.70763888888888893</v>
      </c>
    </row>
    <row r="897" spans="1:32" x14ac:dyDescent="0.25">
      <c r="A897" t="s">
        <v>258</v>
      </c>
      <c r="B897" t="s">
        <v>262</v>
      </c>
      <c r="C897" t="s">
        <v>263</v>
      </c>
      <c r="D897" t="s">
        <v>264</v>
      </c>
      <c r="E897" t="s">
        <v>265</v>
      </c>
      <c r="F897" t="s">
        <v>134</v>
      </c>
      <c r="H897" t="s">
        <v>132</v>
      </c>
      <c r="I897" t="s">
        <v>133</v>
      </c>
      <c r="J897" t="s">
        <v>266</v>
      </c>
      <c r="K897" t="s">
        <v>383</v>
      </c>
      <c r="L897" t="s">
        <v>384</v>
      </c>
      <c r="M897" s="63">
        <v>43193</v>
      </c>
      <c r="N897" t="s">
        <v>385</v>
      </c>
      <c r="O897" t="s">
        <v>134</v>
      </c>
      <c r="P897" t="s">
        <v>218</v>
      </c>
      <c r="Q897" t="s">
        <v>221</v>
      </c>
      <c r="R897" t="s">
        <v>136</v>
      </c>
      <c r="S897" t="s">
        <v>128</v>
      </c>
      <c r="T897" t="s">
        <v>137</v>
      </c>
      <c r="U897" t="s">
        <v>174</v>
      </c>
      <c r="V897" t="s">
        <v>75</v>
      </c>
      <c r="W897" s="58">
        <v>43335</v>
      </c>
      <c r="X897" s="59">
        <v>0.72916666666666663</v>
      </c>
      <c r="Y897" s="59">
        <v>0.77083333333333337</v>
      </c>
      <c r="Z897" s="59">
        <v>4.1666666666666664E-2</v>
      </c>
      <c r="AA897">
        <v>0</v>
      </c>
      <c r="AB897">
        <v>8.5579999999999998</v>
      </c>
      <c r="AD897">
        <v>8.75</v>
      </c>
      <c r="AE897" s="59">
        <v>0.72916666666666663</v>
      </c>
      <c r="AF897" s="59">
        <v>0.77013888888888893</v>
      </c>
    </row>
    <row r="898" spans="1:32" x14ac:dyDescent="0.25">
      <c r="A898" t="s">
        <v>258</v>
      </c>
      <c r="B898" t="s">
        <v>310</v>
      </c>
      <c r="C898" t="s">
        <v>311</v>
      </c>
      <c r="D898" t="s">
        <v>312</v>
      </c>
      <c r="E898" t="s">
        <v>313</v>
      </c>
      <c r="F898" t="s">
        <v>134</v>
      </c>
      <c r="H898" t="s">
        <v>175</v>
      </c>
      <c r="I898" t="s">
        <v>127</v>
      </c>
      <c r="J898" t="s">
        <v>266</v>
      </c>
      <c r="K898" t="s">
        <v>383</v>
      </c>
      <c r="L898" t="s">
        <v>384</v>
      </c>
      <c r="M898" s="63">
        <v>43193</v>
      </c>
      <c r="N898" t="s">
        <v>385</v>
      </c>
      <c r="O898" t="s">
        <v>134</v>
      </c>
      <c r="P898" t="s">
        <v>218</v>
      </c>
      <c r="Q898" t="s">
        <v>221</v>
      </c>
      <c r="R898" t="s">
        <v>176</v>
      </c>
      <c r="S898" t="s">
        <v>128</v>
      </c>
      <c r="T898" t="s">
        <v>137</v>
      </c>
      <c r="U898" t="s">
        <v>151</v>
      </c>
      <c r="V898" t="s">
        <v>77</v>
      </c>
      <c r="W898" s="58">
        <v>43337</v>
      </c>
      <c r="X898" s="59">
        <v>0.53125</v>
      </c>
      <c r="Y898" s="59">
        <v>0.66666666666666663</v>
      </c>
      <c r="Z898" s="59">
        <v>0.13541666666666666</v>
      </c>
      <c r="AA898">
        <v>0</v>
      </c>
      <c r="AC898">
        <v>65</v>
      </c>
      <c r="AD898">
        <v>31.6875</v>
      </c>
      <c r="AE898" s="59">
        <v>0.53125</v>
      </c>
      <c r="AF898" s="59">
        <v>0.66597222222222219</v>
      </c>
    </row>
    <row r="899" spans="1:32" x14ac:dyDescent="0.25">
      <c r="A899" t="s">
        <v>258</v>
      </c>
      <c r="B899" t="s">
        <v>278</v>
      </c>
      <c r="C899" t="s">
        <v>279</v>
      </c>
      <c r="E899" t="s">
        <v>280</v>
      </c>
      <c r="F899" t="s">
        <v>134</v>
      </c>
      <c r="H899" t="s">
        <v>144</v>
      </c>
      <c r="I899" t="s">
        <v>133</v>
      </c>
      <c r="J899" t="s">
        <v>266</v>
      </c>
      <c r="K899" t="s">
        <v>383</v>
      </c>
      <c r="L899" t="s">
        <v>384</v>
      </c>
      <c r="M899" s="63">
        <v>43193</v>
      </c>
      <c r="N899" t="s">
        <v>385</v>
      </c>
      <c r="O899" t="s">
        <v>134</v>
      </c>
      <c r="P899" t="s">
        <v>218</v>
      </c>
      <c r="Q899" t="s">
        <v>221</v>
      </c>
      <c r="R899" t="s">
        <v>145</v>
      </c>
      <c r="S899" t="s">
        <v>128</v>
      </c>
      <c r="T899" t="s">
        <v>137</v>
      </c>
      <c r="U899" t="s">
        <v>129</v>
      </c>
      <c r="V899" t="s">
        <v>77</v>
      </c>
      <c r="W899" s="58">
        <v>43337</v>
      </c>
      <c r="X899" s="59">
        <v>0.70833333333333337</v>
      </c>
      <c r="Y899" s="59">
        <v>0.75</v>
      </c>
      <c r="Z899" s="59">
        <v>4.1666666666666664E-2</v>
      </c>
      <c r="AA899">
        <v>0</v>
      </c>
      <c r="AB899">
        <v>6.0659999999999998</v>
      </c>
      <c r="AC899">
        <v>23</v>
      </c>
      <c r="AD899">
        <v>9.75</v>
      </c>
      <c r="AE899" s="59">
        <v>0.70833333333333337</v>
      </c>
      <c r="AF899" s="59">
        <v>0.74930555555555556</v>
      </c>
    </row>
    <row r="900" spans="1:32" x14ac:dyDescent="0.25">
      <c r="A900" t="s">
        <v>258</v>
      </c>
      <c r="B900" t="s">
        <v>278</v>
      </c>
      <c r="C900" t="s">
        <v>279</v>
      </c>
      <c r="E900" t="s">
        <v>280</v>
      </c>
      <c r="F900" t="s">
        <v>134</v>
      </c>
      <c r="H900" t="s">
        <v>144</v>
      </c>
      <c r="I900" t="s">
        <v>133</v>
      </c>
      <c r="J900" t="s">
        <v>266</v>
      </c>
      <c r="K900" t="s">
        <v>383</v>
      </c>
      <c r="L900" t="s">
        <v>384</v>
      </c>
      <c r="M900" s="63">
        <v>43193</v>
      </c>
      <c r="N900" t="s">
        <v>385</v>
      </c>
      <c r="O900" t="s">
        <v>134</v>
      </c>
      <c r="P900" t="s">
        <v>218</v>
      </c>
      <c r="Q900" t="s">
        <v>221</v>
      </c>
      <c r="R900" t="s">
        <v>145</v>
      </c>
      <c r="S900" t="s">
        <v>128</v>
      </c>
      <c r="T900" t="s">
        <v>137</v>
      </c>
      <c r="U900" t="s">
        <v>129</v>
      </c>
      <c r="V900" t="s">
        <v>71</v>
      </c>
      <c r="W900" s="58">
        <v>43338</v>
      </c>
      <c r="X900" s="59">
        <v>0.375</v>
      </c>
      <c r="Y900" s="59">
        <v>0.41666666666666669</v>
      </c>
      <c r="Z900" s="59">
        <v>4.1666666666666664E-2</v>
      </c>
      <c r="AA900">
        <v>0</v>
      </c>
      <c r="AD900">
        <v>9.75</v>
      </c>
      <c r="AE900" s="59">
        <v>0.375</v>
      </c>
      <c r="AF900" s="59">
        <v>0.41597222222222219</v>
      </c>
    </row>
    <row r="901" spans="1:32" x14ac:dyDescent="0.25">
      <c r="A901" t="s">
        <v>258</v>
      </c>
      <c r="B901" t="s">
        <v>278</v>
      </c>
      <c r="C901" t="s">
        <v>279</v>
      </c>
      <c r="E901" t="s">
        <v>280</v>
      </c>
      <c r="F901" t="s">
        <v>134</v>
      </c>
      <c r="H901" t="s">
        <v>144</v>
      </c>
      <c r="I901" t="s">
        <v>133</v>
      </c>
      <c r="J901" t="s">
        <v>266</v>
      </c>
      <c r="K901" t="s">
        <v>383</v>
      </c>
      <c r="L901" t="s">
        <v>384</v>
      </c>
      <c r="M901" s="63">
        <v>43193</v>
      </c>
      <c r="N901" t="s">
        <v>385</v>
      </c>
      <c r="O901" t="s">
        <v>134</v>
      </c>
      <c r="P901" t="s">
        <v>218</v>
      </c>
      <c r="Q901" t="s">
        <v>221</v>
      </c>
      <c r="R901" t="s">
        <v>145</v>
      </c>
      <c r="S901" t="s">
        <v>128</v>
      </c>
      <c r="T901" t="s">
        <v>137</v>
      </c>
      <c r="U901" t="s">
        <v>129</v>
      </c>
      <c r="V901" t="s">
        <v>71</v>
      </c>
      <c r="W901" s="58">
        <v>43338</v>
      </c>
      <c r="X901" s="59">
        <v>0.54166666666666663</v>
      </c>
      <c r="Y901" s="59">
        <v>0.58333333333333337</v>
      </c>
      <c r="Z901" s="59">
        <v>4.1666666666666664E-2</v>
      </c>
      <c r="AA901">
        <v>0</v>
      </c>
      <c r="AC901">
        <v>23</v>
      </c>
      <c r="AD901">
        <v>9.75</v>
      </c>
      <c r="AE901" s="59">
        <v>0.54166666666666663</v>
      </c>
      <c r="AF901" s="59">
        <v>0.58263888888888882</v>
      </c>
    </row>
    <row r="902" spans="1:32" x14ac:dyDescent="0.25">
      <c r="A902" t="s">
        <v>258</v>
      </c>
      <c r="B902" t="s">
        <v>278</v>
      </c>
      <c r="C902" t="s">
        <v>279</v>
      </c>
      <c r="E902" t="s">
        <v>280</v>
      </c>
      <c r="F902" t="s">
        <v>134</v>
      </c>
      <c r="H902" t="s">
        <v>144</v>
      </c>
      <c r="I902" t="s">
        <v>133</v>
      </c>
      <c r="J902" t="s">
        <v>266</v>
      </c>
      <c r="K902" t="s">
        <v>383</v>
      </c>
      <c r="L902" t="s">
        <v>384</v>
      </c>
      <c r="M902" s="63">
        <v>43193</v>
      </c>
      <c r="N902" t="s">
        <v>385</v>
      </c>
      <c r="O902" t="s">
        <v>134</v>
      </c>
      <c r="P902" t="s">
        <v>218</v>
      </c>
      <c r="Q902" t="s">
        <v>221</v>
      </c>
      <c r="R902" t="s">
        <v>145</v>
      </c>
      <c r="S902" t="s">
        <v>128</v>
      </c>
      <c r="T902" t="s">
        <v>137</v>
      </c>
      <c r="U902" t="s">
        <v>129</v>
      </c>
      <c r="V902" t="s">
        <v>71</v>
      </c>
      <c r="W902" s="58">
        <v>43338</v>
      </c>
      <c r="X902" s="59">
        <v>0.70833333333333337</v>
      </c>
      <c r="Y902" s="59">
        <v>0.75</v>
      </c>
      <c r="Z902" s="59">
        <v>4.1666666666666664E-2</v>
      </c>
      <c r="AA902">
        <v>0</v>
      </c>
      <c r="AC902">
        <v>23</v>
      </c>
      <c r="AD902">
        <v>9.75</v>
      </c>
      <c r="AE902" s="59">
        <v>0.70833333333333337</v>
      </c>
      <c r="AF902" s="59">
        <v>0.74930555555555556</v>
      </c>
    </row>
    <row r="903" spans="1:32" x14ac:dyDescent="0.25">
      <c r="A903" t="s">
        <v>258</v>
      </c>
      <c r="B903" t="s">
        <v>278</v>
      </c>
      <c r="C903" t="s">
        <v>279</v>
      </c>
      <c r="E903" t="s">
        <v>280</v>
      </c>
      <c r="F903" t="s">
        <v>134</v>
      </c>
      <c r="H903" t="s">
        <v>144</v>
      </c>
      <c r="I903" t="s">
        <v>133</v>
      </c>
      <c r="J903" t="s">
        <v>266</v>
      </c>
      <c r="K903" t="s">
        <v>383</v>
      </c>
      <c r="L903" t="s">
        <v>384</v>
      </c>
      <c r="M903" s="63">
        <v>43193</v>
      </c>
      <c r="N903" t="s">
        <v>385</v>
      </c>
      <c r="O903" t="s">
        <v>134</v>
      </c>
      <c r="P903" t="s">
        <v>218</v>
      </c>
      <c r="Q903" t="s">
        <v>221</v>
      </c>
      <c r="R903" t="s">
        <v>145</v>
      </c>
      <c r="S903" t="s">
        <v>128</v>
      </c>
      <c r="T903" t="s">
        <v>137</v>
      </c>
      <c r="U903" t="s">
        <v>129</v>
      </c>
      <c r="V903" t="s">
        <v>72</v>
      </c>
      <c r="W903" s="58">
        <v>43339</v>
      </c>
      <c r="X903" s="59">
        <v>0.5</v>
      </c>
      <c r="Y903" s="59">
        <v>0.54166666666666663</v>
      </c>
      <c r="Z903" s="59">
        <v>4.1666666666666664E-2</v>
      </c>
      <c r="AA903">
        <v>0</v>
      </c>
      <c r="AC903">
        <v>23</v>
      </c>
      <c r="AD903">
        <v>8.75</v>
      </c>
      <c r="AE903" s="59">
        <v>0.5</v>
      </c>
      <c r="AF903" s="59">
        <v>0.54097222222222219</v>
      </c>
    </row>
    <row r="904" spans="1:32" x14ac:dyDescent="0.25">
      <c r="A904" t="s">
        <v>258</v>
      </c>
      <c r="B904" t="s">
        <v>262</v>
      </c>
      <c r="C904" t="s">
        <v>263</v>
      </c>
      <c r="D904" t="s">
        <v>264</v>
      </c>
      <c r="E904" t="s">
        <v>265</v>
      </c>
      <c r="F904" t="s">
        <v>134</v>
      </c>
      <c r="H904" t="s">
        <v>132</v>
      </c>
      <c r="I904" t="s">
        <v>133</v>
      </c>
      <c r="J904" t="s">
        <v>266</v>
      </c>
      <c r="K904" t="s">
        <v>383</v>
      </c>
      <c r="L904" t="s">
        <v>384</v>
      </c>
      <c r="M904" s="63">
        <v>43193</v>
      </c>
      <c r="N904" t="s">
        <v>385</v>
      </c>
      <c r="O904" t="s">
        <v>134</v>
      </c>
      <c r="P904" t="s">
        <v>218</v>
      </c>
      <c r="Q904" t="s">
        <v>221</v>
      </c>
      <c r="R904" t="s">
        <v>136</v>
      </c>
      <c r="S904" t="s">
        <v>128</v>
      </c>
      <c r="T904" t="s">
        <v>137</v>
      </c>
      <c r="U904" t="s">
        <v>129</v>
      </c>
      <c r="V904" t="s">
        <v>72</v>
      </c>
      <c r="W904" s="58">
        <v>43339</v>
      </c>
      <c r="X904" s="59">
        <v>0.6875</v>
      </c>
      <c r="Y904" s="59">
        <v>0.72916666666666663</v>
      </c>
      <c r="Z904" s="59">
        <v>4.1666666666666664E-2</v>
      </c>
      <c r="AA904">
        <v>0</v>
      </c>
      <c r="AD904">
        <v>8.75</v>
      </c>
      <c r="AE904" s="59">
        <v>0.6875</v>
      </c>
      <c r="AF904" s="59">
        <v>0.7284722222222223</v>
      </c>
    </row>
    <row r="905" spans="1:32" x14ac:dyDescent="0.25">
      <c r="A905" t="s">
        <v>258</v>
      </c>
      <c r="B905" t="s">
        <v>270</v>
      </c>
      <c r="C905" t="s">
        <v>271</v>
      </c>
      <c r="D905" t="s">
        <v>272</v>
      </c>
      <c r="E905" t="s">
        <v>273</v>
      </c>
      <c r="F905" t="s">
        <v>134</v>
      </c>
      <c r="H905" t="s">
        <v>138</v>
      </c>
      <c r="I905" t="s">
        <v>139</v>
      </c>
      <c r="J905" t="s">
        <v>266</v>
      </c>
      <c r="K905" t="s">
        <v>383</v>
      </c>
      <c r="L905" t="s">
        <v>384</v>
      </c>
      <c r="M905" s="63">
        <v>43193</v>
      </c>
      <c r="N905" t="s">
        <v>385</v>
      </c>
      <c r="O905" t="s">
        <v>134</v>
      </c>
      <c r="P905" t="s">
        <v>218</v>
      </c>
      <c r="Q905" t="s">
        <v>221</v>
      </c>
      <c r="R905" t="s">
        <v>140</v>
      </c>
      <c r="S905" t="s">
        <v>128</v>
      </c>
      <c r="T905" t="s">
        <v>137</v>
      </c>
      <c r="U905" t="s">
        <v>129</v>
      </c>
      <c r="V905" t="s">
        <v>72</v>
      </c>
      <c r="W905" s="58">
        <v>43339</v>
      </c>
      <c r="X905" s="59">
        <v>0.76041666666666663</v>
      </c>
      <c r="Y905" s="59">
        <v>0.80208333333333337</v>
      </c>
      <c r="Z905" s="59">
        <v>4.1666666666666664E-2</v>
      </c>
      <c r="AA905">
        <v>0</v>
      </c>
      <c r="AB905">
        <v>2.3694000000000002</v>
      </c>
      <c r="AD905">
        <v>8.75</v>
      </c>
      <c r="AE905" s="59">
        <v>0.76041666666666663</v>
      </c>
      <c r="AF905" s="59">
        <v>0.80138888888888893</v>
      </c>
    </row>
    <row r="906" spans="1:32" x14ac:dyDescent="0.25">
      <c r="A906" t="s">
        <v>274</v>
      </c>
      <c r="B906" t="s">
        <v>275</v>
      </c>
      <c r="C906" t="s">
        <v>276</v>
      </c>
      <c r="E906" t="s">
        <v>277</v>
      </c>
      <c r="F906" t="s">
        <v>134</v>
      </c>
      <c r="H906" t="s">
        <v>141</v>
      </c>
      <c r="I906" t="s">
        <v>142</v>
      </c>
      <c r="J906" t="s">
        <v>266</v>
      </c>
      <c r="K906" t="s">
        <v>383</v>
      </c>
      <c r="L906" t="s">
        <v>384</v>
      </c>
      <c r="M906" s="63">
        <v>43193</v>
      </c>
      <c r="N906" t="s">
        <v>385</v>
      </c>
      <c r="O906" t="s">
        <v>134</v>
      </c>
      <c r="P906" t="s">
        <v>218</v>
      </c>
      <c r="Q906" t="s">
        <v>221</v>
      </c>
      <c r="R906" t="s">
        <v>143</v>
      </c>
      <c r="S906" t="s">
        <v>128</v>
      </c>
      <c r="T906" t="s">
        <v>137</v>
      </c>
      <c r="U906" t="s">
        <v>129</v>
      </c>
      <c r="V906" t="s">
        <v>72</v>
      </c>
      <c r="W906" s="58">
        <v>43339</v>
      </c>
      <c r="X906" s="59">
        <v>0.8125</v>
      </c>
      <c r="Y906" s="59">
        <v>0.83333333333333337</v>
      </c>
      <c r="Z906" s="59">
        <v>2.0833333333333332E-2</v>
      </c>
      <c r="AA906">
        <v>0</v>
      </c>
      <c r="AB906">
        <v>0.9</v>
      </c>
      <c r="AC906">
        <v>11.5</v>
      </c>
      <c r="AD906">
        <v>4.375</v>
      </c>
      <c r="AE906" s="59">
        <v>0.8125</v>
      </c>
      <c r="AF906" s="59">
        <v>0.83263888888888893</v>
      </c>
    </row>
    <row r="907" spans="1:32" x14ac:dyDescent="0.25">
      <c r="A907" t="s">
        <v>258</v>
      </c>
      <c r="B907" t="s">
        <v>278</v>
      </c>
      <c r="C907" t="s">
        <v>279</v>
      </c>
      <c r="E907" t="s">
        <v>280</v>
      </c>
      <c r="F907" t="s">
        <v>134</v>
      </c>
      <c r="H907" t="s">
        <v>144</v>
      </c>
      <c r="I907" t="s">
        <v>133</v>
      </c>
      <c r="J907" t="s">
        <v>266</v>
      </c>
      <c r="K907" t="s">
        <v>383</v>
      </c>
      <c r="L907" t="s">
        <v>384</v>
      </c>
      <c r="M907" s="63">
        <v>43193</v>
      </c>
      <c r="N907" t="s">
        <v>385</v>
      </c>
      <c r="O907" t="s">
        <v>134</v>
      </c>
      <c r="P907" t="s">
        <v>218</v>
      </c>
      <c r="Q907" t="s">
        <v>221</v>
      </c>
      <c r="R907" t="s">
        <v>145</v>
      </c>
      <c r="S907" t="s">
        <v>128</v>
      </c>
      <c r="T907" t="s">
        <v>137</v>
      </c>
      <c r="U907" t="s">
        <v>129</v>
      </c>
      <c r="V907" t="s">
        <v>71</v>
      </c>
      <c r="W907" s="58">
        <v>43345</v>
      </c>
      <c r="X907" s="59">
        <v>0.38541666666666669</v>
      </c>
      <c r="Y907" s="59">
        <v>0.42708333333333331</v>
      </c>
      <c r="Z907" s="59">
        <v>4.1666666666666664E-2</v>
      </c>
      <c r="AA907">
        <v>0</v>
      </c>
      <c r="AC907">
        <v>23</v>
      </c>
      <c r="AD907">
        <v>9.75</v>
      </c>
      <c r="AE907" s="59">
        <v>0.38541666666666669</v>
      </c>
      <c r="AF907" s="59">
        <v>0.42638888888888887</v>
      </c>
    </row>
    <row r="908" spans="1:32" x14ac:dyDescent="0.25">
      <c r="A908" t="s">
        <v>258</v>
      </c>
      <c r="B908" t="s">
        <v>278</v>
      </c>
      <c r="C908" t="s">
        <v>279</v>
      </c>
      <c r="E908" t="s">
        <v>280</v>
      </c>
      <c r="F908" t="s">
        <v>134</v>
      </c>
      <c r="H908" t="s">
        <v>144</v>
      </c>
      <c r="I908" t="s">
        <v>133</v>
      </c>
      <c r="J908" t="s">
        <v>266</v>
      </c>
      <c r="K908" t="s">
        <v>383</v>
      </c>
      <c r="L908" t="s">
        <v>384</v>
      </c>
      <c r="M908" s="63">
        <v>43193</v>
      </c>
      <c r="N908" t="s">
        <v>385</v>
      </c>
      <c r="O908" t="s">
        <v>134</v>
      </c>
      <c r="P908" t="s">
        <v>218</v>
      </c>
      <c r="Q908" t="s">
        <v>221</v>
      </c>
      <c r="R908" t="s">
        <v>145</v>
      </c>
      <c r="S908" t="s">
        <v>128</v>
      </c>
      <c r="T908" t="s">
        <v>137</v>
      </c>
      <c r="U908" t="s">
        <v>129</v>
      </c>
      <c r="V908" t="s">
        <v>71</v>
      </c>
      <c r="W908" s="58">
        <v>43345</v>
      </c>
      <c r="X908" s="59">
        <v>0.75694444444444453</v>
      </c>
      <c r="Y908" s="59">
        <v>0.79861111111111116</v>
      </c>
      <c r="Z908" s="59">
        <v>4.1666666666666664E-2</v>
      </c>
      <c r="AA908">
        <v>0</v>
      </c>
      <c r="AC908">
        <v>23</v>
      </c>
      <c r="AD908">
        <v>9.75</v>
      </c>
      <c r="AE908" s="59">
        <v>0.75694444444444453</v>
      </c>
      <c r="AF908" s="59">
        <v>0.79791666666666661</v>
      </c>
    </row>
    <row r="909" spans="1:32" x14ac:dyDescent="0.25">
      <c r="A909" t="s">
        <v>258</v>
      </c>
      <c r="B909" t="s">
        <v>262</v>
      </c>
      <c r="C909" t="s">
        <v>263</v>
      </c>
      <c r="D909" t="s">
        <v>264</v>
      </c>
      <c r="E909" t="s">
        <v>265</v>
      </c>
      <c r="F909" t="s">
        <v>134</v>
      </c>
      <c r="H909" t="s">
        <v>132</v>
      </c>
      <c r="I909" t="s">
        <v>133</v>
      </c>
      <c r="J909" t="s">
        <v>266</v>
      </c>
      <c r="K909" t="s">
        <v>383</v>
      </c>
      <c r="L909" t="s">
        <v>384</v>
      </c>
      <c r="M909" s="63">
        <v>43193</v>
      </c>
      <c r="N909" t="s">
        <v>385</v>
      </c>
      <c r="O909" t="s">
        <v>134</v>
      </c>
      <c r="P909" t="s">
        <v>218</v>
      </c>
      <c r="Q909" t="s">
        <v>221</v>
      </c>
      <c r="R909" t="s">
        <v>136</v>
      </c>
      <c r="S909" t="s">
        <v>128</v>
      </c>
      <c r="T909" t="s">
        <v>137</v>
      </c>
      <c r="U909" t="s">
        <v>129</v>
      </c>
      <c r="V909" t="s">
        <v>72</v>
      </c>
      <c r="W909" s="58">
        <v>43346</v>
      </c>
      <c r="X909" s="59">
        <v>0.70833333333333337</v>
      </c>
      <c r="Y909" s="59">
        <v>0.75</v>
      </c>
      <c r="Z909" s="59">
        <v>4.1666666666666664E-2</v>
      </c>
      <c r="AA909">
        <v>0</v>
      </c>
      <c r="AC909">
        <v>23</v>
      </c>
      <c r="AD909">
        <v>8.75</v>
      </c>
      <c r="AE909" s="59">
        <v>0.70833333333333337</v>
      </c>
      <c r="AF909" s="59">
        <v>0.74930555555555556</v>
      </c>
    </row>
    <row r="910" spans="1:32" x14ac:dyDescent="0.25">
      <c r="A910" t="s">
        <v>258</v>
      </c>
      <c r="B910" t="s">
        <v>270</v>
      </c>
      <c r="C910" t="s">
        <v>271</v>
      </c>
      <c r="D910" t="s">
        <v>272</v>
      </c>
      <c r="E910" t="s">
        <v>273</v>
      </c>
      <c r="F910" t="s">
        <v>134</v>
      </c>
      <c r="H910" t="s">
        <v>138</v>
      </c>
      <c r="I910" t="s">
        <v>139</v>
      </c>
      <c r="J910" t="s">
        <v>266</v>
      </c>
      <c r="K910" t="s">
        <v>383</v>
      </c>
      <c r="L910" t="s">
        <v>384</v>
      </c>
      <c r="M910" s="63">
        <v>43193</v>
      </c>
      <c r="N910" t="s">
        <v>385</v>
      </c>
      <c r="O910" t="s">
        <v>134</v>
      </c>
      <c r="P910" t="s">
        <v>218</v>
      </c>
      <c r="Q910" t="s">
        <v>221</v>
      </c>
      <c r="R910" t="s">
        <v>140</v>
      </c>
      <c r="S910" t="s">
        <v>128</v>
      </c>
      <c r="T910" t="s">
        <v>137</v>
      </c>
      <c r="U910" t="s">
        <v>129</v>
      </c>
      <c r="V910" t="s">
        <v>72</v>
      </c>
      <c r="W910" s="58">
        <v>43346</v>
      </c>
      <c r="X910" s="59">
        <v>0.76041666666666663</v>
      </c>
      <c r="Y910" s="59">
        <v>0.80208333333333337</v>
      </c>
      <c r="Z910" s="59">
        <v>4.1666666666666664E-2</v>
      </c>
      <c r="AA910">
        <v>5</v>
      </c>
      <c r="AB910">
        <v>2.3694000000000002</v>
      </c>
      <c r="AC910">
        <v>23</v>
      </c>
      <c r="AD910">
        <v>8.75</v>
      </c>
      <c r="AE910" s="59">
        <v>0.76041666666666663</v>
      </c>
      <c r="AF910" s="59">
        <v>0.80138888888888893</v>
      </c>
    </row>
    <row r="911" spans="1:32" x14ac:dyDescent="0.25">
      <c r="A911" t="s">
        <v>258</v>
      </c>
      <c r="B911" t="s">
        <v>284</v>
      </c>
      <c r="C911" t="s">
        <v>285</v>
      </c>
      <c r="E911" t="s">
        <v>286</v>
      </c>
      <c r="F911" t="s">
        <v>134</v>
      </c>
      <c r="H911" t="s">
        <v>149</v>
      </c>
      <c r="I911" t="s">
        <v>127</v>
      </c>
      <c r="J911" t="s">
        <v>266</v>
      </c>
      <c r="K911" t="s">
        <v>383</v>
      </c>
      <c r="L911" t="s">
        <v>384</v>
      </c>
      <c r="M911" s="63">
        <v>43193</v>
      </c>
      <c r="N911" t="s">
        <v>385</v>
      </c>
      <c r="O911" t="s">
        <v>134</v>
      </c>
      <c r="P911" t="s">
        <v>218</v>
      </c>
      <c r="Q911" t="s">
        <v>221</v>
      </c>
      <c r="R911" t="s">
        <v>150</v>
      </c>
      <c r="S911" t="s">
        <v>128</v>
      </c>
      <c r="T911" t="s">
        <v>137</v>
      </c>
      <c r="U911" t="s">
        <v>151</v>
      </c>
      <c r="V911" t="s">
        <v>74</v>
      </c>
      <c r="W911" s="58">
        <v>43348</v>
      </c>
      <c r="X911" s="59">
        <v>0.3611111111111111</v>
      </c>
      <c r="Y911" s="59">
        <v>0.40277777777777773</v>
      </c>
      <c r="Z911" s="59">
        <v>4.1666666666666664E-2</v>
      </c>
      <c r="AA911">
        <v>0</v>
      </c>
      <c r="AC911">
        <v>20</v>
      </c>
      <c r="AD911">
        <v>8.75</v>
      </c>
      <c r="AE911" s="59">
        <v>0.3611111111111111</v>
      </c>
      <c r="AF911" s="59">
        <v>0.40208333333333335</v>
      </c>
    </row>
    <row r="912" spans="1:32" x14ac:dyDescent="0.25">
      <c r="A912" t="s">
        <v>258</v>
      </c>
      <c r="B912" t="s">
        <v>287</v>
      </c>
      <c r="C912" t="s">
        <v>288</v>
      </c>
      <c r="E912" t="s">
        <v>289</v>
      </c>
      <c r="F912" t="s">
        <v>134</v>
      </c>
      <c r="H912" t="s">
        <v>152</v>
      </c>
      <c r="I912" t="s">
        <v>127</v>
      </c>
      <c r="J912" t="s">
        <v>266</v>
      </c>
      <c r="K912" t="s">
        <v>383</v>
      </c>
      <c r="L912" t="s">
        <v>384</v>
      </c>
      <c r="M912" s="63">
        <v>43193</v>
      </c>
      <c r="N912" t="s">
        <v>385</v>
      </c>
      <c r="O912" t="s">
        <v>134</v>
      </c>
      <c r="P912" t="s">
        <v>218</v>
      </c>
      <c r="Q912" t="s">
        <v>221</v>
      </c>
      <c r="R912" t="s">
        <v>153</v>
      </c>
      <c r="S912" t="s">
        <v>128</v>
      </c>
      <c r="T912" t="s">
        <v>137</v>
      </c>
      <c r="U912" t="s">
        <v>151</v>
      </c>
      <c r="V912" t="s">
        <v>74</v>
      </c>
      <c r="W912" s="58">
        <v>43348</v>
      </c>
      <c r="X912" s="59">
        <v>0.40277777777777773</v>
      </c>
      <c r="Y912" s="59">
        <v>0.44444444444444442</v>
      </c>
      <c r="Z912" s="59">
        <v>4.1666666666666664E-2</v>
      </c>
      <c r="AA912">
        <v>0</v>
      </c>
      <c r="AB912">
        <v>0.27279999999999999</v>
      </c>
      <c r="AC912">
        <v>20</v>
      </c>
      <c r="AD912">
        <v>8.75</v>
      </c>
      <c r="AE912" s="59">
        <v>0.40277777777777773</v>
      </c>
      <c r="AF912" s="59">
        <v>0.44375000000000003</v>
      </c>
    </row>
    <row r="913" spans="1:32" x14ac:dyDescent="0.25">
      <c r="A913" t="s">
        <v>258</v>
      </c>
      <c r="B913" t="s">
        <v>270</v>
      </c>
      <c r="C913" t="s">
        <v>271</v>
      </c>
      <c r="D913" t="s">
        <v>272</v>
      </c>
      <c r="E913" t="s">
        <v>273</v>
      </c>
      <c r="F913" t="s">
        <v>134</v>
      </c>
      <c r="H913" t="s">
        <v>138</v>
      </c>
      <c r="I913" t="s">
        <v>139</v>
      </c>
      <c r="J913" t="s">
        <v>266</v>
      </c>
      <c r="K913" t="s">
        <v>383</v>
      </c>
      <c r="L913" t="s">
        <v>384</v>
      </c>
      <c r="M913" s="63">
        <v>43193</v>
      </c>
      <c r="N913" t="s">
        <v>385</v>
      </c>
      <c r="O913" t="s">
        <v>134</v>
      </c>
      <c r="P913" t="s">
        <v>218</v>
      </c>
      <c r="Q913" t="s">
        <v>221</v>
      </c>
      <c r="R913" t="s">
        <v>140</v>
      </c>
      <c r="S913" t="s">
        <v>128</v>
      </c>
      <c r="T913" t="s">
        <v>137</v>
      </c>
      <c r="U913" t="s">
        <v>129</v>
      </c>
      <c r="V913" t="s">
        <v>75</v>
      </c>
      <c r="W913" s="58">
        <v>43349</v>
      </c>
      <c r="X913" s="59">
        <v>0.34027777777777773</v>
      </c>
      <c r="Y913" s="59">
        <v>0.38194444444444442</v>
      </c>
      <c r="Z913" s="59">
        <v>4.1666666666666664E-2</v>
      </c>
      <c r="AA913">
        <v>0</v>
      </c>
      <c r="AC913">
        <v>23</v>
      </c>
      <c r="AD913">
        <v>8.75</v>
      </c>
      <c r="AE913" s="59">
        <v>0.34027777777777773</v>
      </c>
      <c r="AF913" s="59">
        <v>0.38125000000000003</v>
      </c>
    </row>
    <row r="914" spans="1:32" x14ac:dyDescent="0.25">
      <c r="A914" t="s">
        <v>258</v>
      </c>
      <c r="B914" t="s">
        <v>278</v>
      </c>
      <c r="C914" t="s">
        <v>279</v>
      </c>
      <c r="E914" t="s">
        <v>280</v>
      </c>
      <c r="F914" t="s">
        <v>134</v>
      </c>
      <c r="H914" t="s">
        <v>144</v>
      </c>
      <c r="I914" t="s">
        <v>133</v>
      </c>
      <c r="J914" t="s">
        <v>266</v>
      </c>
      <c r="K914" t="s">
        <v>383</v>
      </c>
      <c r="L914" t="s">
        <v>384</v>
      </c>
      <c r="M914" s="63">
        <v>43193</v>
      </c>
      <c r="N914" t="s">
        <v>385</v>
      </c>
      <c r="O914" t="s">
        <v>134</v>
      </c>
      <c r="P914" t="s">
        <v>218</v>
      </c>
      <c r="Q914" t="s">
        <v>221</v>
      </c>
      <c r="R914" t="s">
        <v>145</v>
      </c>
      <c r="S914" t="s">
        <v>128</v>
      </c>
      <c r="T914" t="s">
        <v>137</v>
      </c>
      <c r="U914" t="s">
        <v>129</v>
      </c>
      <c r="V914" t="s">
        <v>75</v>
      </c>
      <c r="W914" s="58">
        <v>43349</v>
      </c>
      <c r="X914" s="59">
        <v>0.41666666666666669</v>
      </c>
      <c r="Y914" s="59">
        <v>0.45833333333333331</v>
      </c>
      <c r="Z914" s="59">
        <v>4.1666666666666664E-2</v>
      </c>
      <c r="AA914">
        <v>5</v>
      </c>
      <c r="AB914">
        <v>2.2488000000000001</v>
      </c>
      <c r="AC914">
        <v>23</v>
      </c>
      <c r="AD914">
        <v>8.75</v>
      </c>
      <c r="AE914" s="59">
        <v>0.41666666666666669</v>
      </c>
      <c r="AF914" s="59">
        <v>0.45763888888888887</v>
      </c>
    </row>
    <row r="915" spans="1:32" x14ac:dyDescent="0.25">
      <c r="A915" t="s">
        <v>258</v>
      </c>
      <c r="B915" t="s">
        <v>278</v>
      </c>
      <c r="C915" t="s">
        <v>279</v>
      </c>
      <c r="E915" t="s">
        <v>280</v>
      </c>
      <c r="F915" t="s">
        <v>134</v>
      </c>
      <c r="H915" t="s">
        <v>144</v>
      </c>
      <c r="I915" t="s">
        <v>133</v>
      </c>
      <c r="J915" t="s">
        <v>266</v>
      </c>
      <c r="K915" t="s">
        <v>383</v>
      </c>
      <c r="L915" t="s">
        <v>384</v>
      </c>
      <c r="M915" s="63">
        <v>43193</v>
      </c>
      <c r="N915" t="s">
        <v>385</v>
      </c>
      <c r="O915" t="s">
        <v>134</v>
      </c>
      <c r="P915" t="s">
        <v>218</v>
      </c>
      <c r="Q915" t="s">
        <v>221</v>
      </c>
      <c r="R915" t="s">
        <v>145</v>
      </c>
      <c r="S915" t="s">
        <v>128</v>
      </c>
      <c r="T915" t="s">
        <v>137</v>
      </c>
      <c r="U915" t="s">
        <v>129</v>
      </c>
      <c r="V915" t="s">
        <v>72</v>
      </c>
      <c r="W915" s="58">
        <v>43353</v>
      </c>
      <c r="X915" s="59">
        <v>0.54166666666666663</v>
      </c>
      <c r="Y915" s="59">
        <v>0.58333333333333337</v>
      </c>
      <c r="Z915" s="59">
        <v>4.1666666666666664E-2</v>
      </c>
      <c r="AA915">
        <v>0</v>
      </c>
      <c r="AC915">
        <v>23</v>
      </c>
      <c r="AD915">
        <v>8.75</v>
      </c>
      <c r="AE915" s="59">
        <v>0.54166666666666663</v>
      </c>
      <c r="AF915" s="59">
        <v>0.58263888888888882</v>
      </c>
    </row>
    <row r="916" spans="1:32" x14ac:dyDescent="0.25">
      <c r="B916" t="s">
        <v>307</v>
      </c>
      <c r="C916" t="s">
        <v>308</v>
      </c>
      <c r="D916" t="s">
        <v>309</v>
      </c>
      <c r="E916" t="s">
        <v>134</v>
      </c>
      <c r="H916" t="s">
        <v>171</v>
      </c>
      <c r="I916" t="s">
        <v>169</v>
      </c>
      <c r="J916" t="s">
        <v>266</v>
      </c>
      <c r="K916" t="s">
        <v>383</v>
      </c>
      <c r="L916" t="s">
        <v>384</v>
      </c>
      <c r="M916" s="63">
        <v>43193</v>
      </c>
      <c r="N916" t="s">
        <v>385</v>
      </c>
      <c r="O916" t="s">
        <v>134</v>
      </c>
      <c r="P916" t="s">
        <v>218</v>
      </c>
      <c r="Q916" t="s">
        <v>221</v>
      </c>
      <c r="R916" t="s">
        <v>172</v>
      </c>
      <c r="S916" t="s">
        <v>128</v>
      </c>
      <c r="T916" t="s">
        <v>137</v>
      </c>
      <c r="U916" t="s">
        <v>129</v>
      </c>
      <c r="V916" t="s">
        <v>72</v>
      </c>
      <c r="W916" s="58">
        <v>43353</v>
      </c>
      <c r="X916" s="59">
        <v>0.65625</v>
      </c>
      <c r="Y916" s="59">
        <v>0.69791666666666663</v>
      </c>
      <c r="Z916" s="59">
        <v>4.1666666666666664E-2</v>
      </c>
      <c r="AA916">
        <v>10</v>
      </c>
      <c r="AB916">
        <v>6.3272000000000004</v>
      </c>
      <c r="AC916">
        <v>23</v>
      </c>
      <c r="AD916">
        <v>8.75</v>
      </c>
      <c r="AE916" s="59">
        <v>0.65625</v>
      </c>
      <c r="AF916" s="59">
        <v>0.6972222222222223</v>
      </c>
    </row>
    <row r="917" spans="1:32" x14ac:dyDescent="0.25">
      <c r="A917" t="s">
        <v>258</v>
      </c>
      <c r="B917" t="s">
        <v>314</v>
      </c>
      <c r="C917" t="s">
        <v>315</v>
      </c>
      <c r="D917">
        <v>72</v>
      </c>
      <c r="E917" t="s">
        <v>316</v>
      </c>
      <c r="F917" t="s">
        <v>317</v>
      </c>
      <c r="G917" t="s">
        <v>218</v>
      </c>
      <c r="H917" t="s">
        <v>168</v>
      </c>
      <c r="I917" t="s">
        <v>169</v>
      </c>
      <c r="J917" t="s">
        <v>266</v>
      </c>
      <c r="K917" t="s">
        <v>383</v>
      </c>
      <c r="L917" t="s">
        <v>384</v>
      </c>
      <c r="M917" s="63">
        <v>43193</v>
      </c>
      <c r="N917" t="s">
        <v>385</v>
      </c>
      <c r="O917" t="s">
        <v>134</v>
      </c>
      <c r="P917" t="s">
        <v>218</v>
      </c>
      <c r="Q917" t="s">
        <v>221</v>
      </c>
      <c r="R917" t="s">
        <v>170</v>
      </c>
      <c r="S917" t="s">
        <v>128</v>
      </c>
      <c r="T917" t="s">
        <v>137</v>
      </c>
      <c r="U917" t="s">
        <v>129</v>
      </c>
      <c r="V917" t="s">
        <v>72</v>
      </c>
      <c r="W917" s="58">
        <v>43353</v>
      </c>
      <c r="X917" s="59">
        <v>0.70486111111111116</v>
      </c>
      <c r="Y917" s="59">
        <v>0.74652777777777779</v>
      </c>
      <c r="Z917" s="59">
        <v>4.1666666666666664E-2</v>
      </c>
      <c r="AA917">
        <v>2</v>
      </c>
      <c r="AB917">
        <v>0.62839999999999996</v>
      </c>
      <c r="AC917">
        <v>23</v>
      </c>
      <c r="AD917">
        <v>8.75</v>
      </c>
      <c r="AE917" s="59">
        <v>0.70486111111111116</v>
      </c>
      <c r="AF917" s="59">
        <v>0.74583333333333324</v>
      </c>
    </row>
    <row r="918" spans="1:32" x14ac:dyDescent="0.25">
      <c r="A918" t="s">
        <v>258</v>
      </c>
      <c r="B918" t="s">
        <v>270</v>
      </c>
      <c r="C918" t="s">
        <v>271</v>
      </c>
      <c r="D918" t="s">
        <v>272</v>
      </c>
      <c r="E918" t="s">
        <v>273</v>
      </c>
      <c r="F918" t="s">
        <v>134</v>
      </c>
      <c r="H918" t="s">
        <v>138</v>
      </c>
      <c r="I918" t="s">
        <v>139</v>
      </c>
      <c r="J918" t="s">
        <v>266</v>
      </c>
      <c r="K918" t="s">
        <v>383</v>
      </c>
      <c r="L918" t="s">
        <v>384</v>
      </c>
      <c r="M918" s="63">
        <v>43193</v>
      </c>
      <c r="N918" t="s">
        <v>385</v>
      </c>
      <c r="O918" t="s">
        <v>134</v>
      </c>
      <c r="P918" t="s">
        <v>218</v>
      </c>
      <c r="Q918" t="s">
        <v>221</v>
      </c>
      <c r="R918" t="s">
        <v>140</v>
      </c>
      <c r="S918" t="s">
        <v>128</v>
      </c>
      <c r="T918" t="s">
        <v>137</v>
      </c>
      <c r="U918" t="s">
        <v>129</v>
      </c>
      <c r="V918" t="s">
        <v>72</v>
      </c>
      <c r="W918" s="58">
        <v>43353</v>
      </c>
      <c r="X918" s="59">
        <v>0.76388888888888884</v>
      </c>
      <c r="Y918" s="59">
        <v>0.80555555555555547</v>
      </c>
      <c r="Z918" s="59">
        <v>4.1666666666666664E-2</v>
      </c>
      <c r="AA918">
        <v>10</v>
      </c>
      <c r="AB918">
        <v>6.5953999999999997</v>
      </c>
      <c r="AC918">
        <v>23</v>
      </c>
      <c r="AD918">
        <v>8.75</v>
      </c>
      <c r="AE918" s="59">
        <v>0.76388888888888884</v>
      </c>
      <c r="AF918" s="59">
        <v>0.80486111111111114</v>
      </c>
    </row>
    <row r="919" spans="1:32" x14ac:dyDescent="0.25">
      <c r="A919" t="s">
        <v>274</v>
      </c>
      <c r="B919" t="s">
        <v>275</v>
      </c>
      <c r="C919" t="s">
        <v>276</v>
      </c>
      <c r="E919" t="s">
        <v>277</v>
      </c>
      <c r="F919" t="s">
        <v>134</v>
      </c>
      <c r="H919" t="s">
        <v>141</v>
      </c>
      <c r="I919" t="s">
        <v>142</v>
      </c>
      <c r="J919" t="s">
        <v>266</v>
      </c>
      <c r="K919" t="s">
        <v>383</v>
      </c>
      <c r="L919" t="s">
        <v>384</v>
      </c>
      <c r="M919" s="63">
        <v>43193</v>
      </c>
      <c r="N919" t="s">
        <v>385</v>
      </c>
      <c r="O919" t="s">
        <v>134</v>
      </c>
      <c r="P919" t="s">
        <v>218</v>
      </c>
      <c r="Q919" t="s">
        <v>221</v>
      </c>
      <c r="R919" t="s">
        <v>143</v>
      </c>
      <c r="S919" t="s">
        <v>128</v>
      </c>
      <c r="T919" t="s">
        <v>137</v>
      </c>
      <c r="U919" t="s">
        <v>129</v>
      </c>
      <c r="V919" t="s">
        <v>72</v>
      </c>
      <c r="W919" s="58">
        <v>43353</v>
      </c>
      <c r="X919" s="59">
        <v>0.8125</v>
      </c>
      <c r="Y919" s="59">
        <v>0.83333333333333337</v>
      </c>
      <c r="Z919" s="59">
        <v>2.0833333333333332E-2</v>
      </c>
      <c r="AA919">
        <v>2</v>
      </c>
      <c r="AB919">
        <v>0.9</v>
      </c>
      <c r="AC919">
        <v>11.5</v>
      </c>
      <c r="AD919">
        <v>4.375</v>
      </c>
      <c r="AE919" s="59">
        <v>0.8125</v>
      </c>
      <c r="AF919" s="59">
        <v>0.83263888888888893</v>
      </c>
    </row>
    <row r="920" spans="1:32" x14ac:dyDescent="0.25">
      <c r="A920" t="s">
        <v>258</v>
      </c>
      <c r="B920" t="s">
        <v>278</v>
      </c>
      <c r="C920" t="s">
        <v>279</v>
      </c>
      <c r="E920" t="s">
        <v>280</v>
      </c>
      <c r="F920" t="s">
        <v>134</v>
      </c>
      <c r="H920" t="s">
        <v>144</v>
      </c>
      <c r="I920" t="s">
        <v>133</v>
      </c>
      <c r="J920" t="s">
        <v>266</v>
      </c>
      <c r="K920" t="s">
        <v>383</v>
      </c>
      <c r="L920" t="s">
        <v>384</v>
      </c>
      <c r="M920" s="63">
        <v>43193</v>
      </c>
      <c r="N920" t="s">
        <v>385</v>
      </c>
      <c r="O920" t="s">
        <v>134</v>
      </c>
      <c r="P920" t="s">
        <v>218</v>
      </c>
      <c r="Q920" t="s">
        <v>221</v>
      </c>
      <c r="R920" t="s">
        <v>145</v>
      </c>
      <c r="S920" t="s">
        <v>128</v>
      </c>
      <c r="T920" t="s">
        <v>137</v>
      </c>
      <c r="U920" t="s">
        <v>129</v>
      </c>
      <c r="V920" t="s">
        <v>73</v>
      </c>
      <c r="W920" s="58">
        <v>43354</v>
      </c>
      <c r="X920" s="59">
        <v>0.5</v>
      </c>
      <c r="Y920" s="59">
        <v>0.54166666666666663</v>
      </c>
      <c r="Z920" s="59">
        <v>4.1666666666666664E-2</v>
      </c>
      <c r="AA920">
        <v>0</v>
      </c>
      <c r="AC920">
        <v>23</v>
      </c>
      <c r="AD920">
        <v>8.75</v>
      </c>
      <c r="AE920" s="59">
        <v>0.5</v>
      </c>
      <c r="AF920" s="59">
        <v>0.54097222222222219</v>
      </c>
    </row>
    <row r="921" spans="1:32" x14ac:dyDescent="0.25">
      <c r="A921" t="s">
        <v>274</v>
      </c>
      <c r="B921" t="s">
        <v>275</v>
      </c>
      <c r="C921" t="s">
        <v>276</v>
      </c>
      <c r="E921" t="s">
        <v>277</v>
      </c>
      <c r="F921" t="s">
        <v>134</v>
      </c>
      <c r="H921" t="s">
        <v>141</v>
      </c>
      <c r="I921" t="s">
        <v>142</v>
      </c>
      <c r="J921" t="s">
        <v>266</v>
      </c>
      <c r="K921" t="s">
        <v>383</v>
      </c>
      <c r="L921" t="s">
        <v>384</v>
      </c>
      <c r="M921" s="63">
        <v>43193</v>
      </c>
      <c r="N921" t="s">
        <v>385</v>
      </c>
      <c r="O921" t="s">
        <v>134</v>
      </c>
      <c r="P921" t="s">
        <v>218</v>
      </c>
      <c r="Q921" t="s">
        <v>221</v>
      </c>
      <c r="R921" t="s">
        <v>143</v>
      </c>
      <c r="S921" t="s">
        <v>128</v>
      </c>
      <c r="T921" t="s">
        <v>137</v>
      </c>
      <c r="U921" t="s">
        <v>129</v>
      </c>
      <c r="V921" t="s">
        <v>73</v>
      </c>
      <c r="W921" s="58">
        <v>43354</v>
      </c>
      <c r="X921" s="59">
        <v>0.65625</v>
      </c>
      <c r="Y921" s="59">
        <v>0.73958333333333337</v>
      </c>
      <c r="Z921" s="59">
        <v>8.3333333333333329E-2</v>
      </c>
      <c r="AA921">
        <v>4</v>
      </c>
      <c r="AB921">
        <v>2.0796000000000001</v>
      </c>
      <c r="AC921">
        <v>46</v>
      </c>
      <c r="AD921">
        <v>17.5</v>
      </c>
      <c r="AE921" s="59">
        <v>0.65625</v>
      </c>
      <c r="AF921" s="59">
        <v>0.73888888888888893</v>
      </c>
    </row>
    <row r="922" spans="1:32" x14ac:dyDescent="0.25">
      <c r="A922" t="s">
        <v>274</v>
      </c>
      <c r="B922" t="s">
        <v>275</v>
      </c>
      <c r="C922" t="s">
        <v>276</v>
      </c>
      <c r="E922" t="s">
        <v>277</v>
      </c>
      <c r="F922" t="s">
        <v>134</v>
      </c>
      <c r="H922" t="s">
        <v>141</v>
      </c>
      <c r="I922" t="s">
        <v>142</v>
      </c>
      <c r="J922" t="s">
        <v>266</v>
      </c>
      <c r="K922" t="s">
        <v>383</v>
      </c>
      <c r="L922" t="s">
        <v>384</v>
      </c>
      <c r="M922" s="63">
        <v>43193</v>
      </c>
      <c r="N922" t="s">
        <v>385</v>
      </c>
      <c r="O922" t="s">
        <v>134</v>
      </c>
      <c r="P922" t="s">
        <v>218</v>
      </c>
      <c r="Q922" t="s">
        <v>221</v>
      </c>
      <c r="R922" t="s">
        <v>143</v>
      </c>
      <c r="S922" t="s">
        <v>128</v>
      </c>
      <c r="T922" t="s">
        <v>137</v>
      </c>
      <c r="U922" t="s">
        <v>129</v>
      </c>
      <c r="V922" t="s">
        <v>73</v>
      </c>
      <c r="W922" s="58">
        <v>43354</v>
      </c>
      <c r="X922" s="59">
        <v>0.75</v>
      </c>
      <c r="Y922" s="59">
        <v>0.77083333333333337</v>
      </c>
      <c r="Z922" s="59">
        <v>2.0833333333333332E-2</v>
      </c>
      <c r="AA922">
        <v>0</v>
      </c>
      <c r="AB922">
        <v>0</v>
      </c>
      <c r="AC922">
        <v>11.5</v>
      </c>
      <c r="AD922">
        <v>4.375</v>
      </c>
      <c r="AE922" s="59">
        <v>0.75</v>
      </c>
      <c r="AF922" s="59">
        <v>0.77013888888888893</v>
      </c>
    </row>
    <row r="923" spans="1:32" x14ac:dyDescent="0.25">
      <c r="A923" t="s">
        <v>258</v>
      </c>
      <c r="B923" t="s">
        <v>270</v>
      </c>
      <c r="C923" t="s">
        <v>271</v>
      </c>
      <c r="D923" t="s">
        <v>272</v>
      </c>
      <c r="E923" t="s">
        <v>273</v>
      </c>
      <c r="F923" t="s">
        <v>134</v>
      </c>
      <c r="H923" t="s">
        <v>138</v>
      </c>
      <c r="I923" t="s">
        <v>139</v>
      </c>
      <c r="J923" t="s">
        <v>266</v>
      </c>
      <c r="K923" t="s">
        <v>383</v>
      </c>
      <c r="L923" t="s">
        <v>384</v>
      </c>
      <c r="M923" s="63">
        <v>43193</v>
      </c>
      <c r="N923" t="s">
        <v>385</v>
      </c>
      <c r="O923" t="s">
        <v>134</v>
      </c>
      <c r="P923" t="s">
        <v>218</v>
      </c>
      <c r="Q923" t="s">
        <v>221</v>
      </c>
      <c r="R923" t="s">
        <v>140</v>
      </c>
      <c r="S923" t="s">
        <v>128</v>
      </c>
      <c r="T923" t="s">
        <v>137</v>
      </c>
      <c r="U923" t="s">
        <v>129</v>
      </c>
      <c r="V923" t="s">
        <v>74</v>
      </c>
      <c r="W923" s="58">
        <v>43355</v>
      </c>
      <c r="X923" s="59">
        <v>0.33333333333333331</v>
      </c>
      <c r="Y923" s="59">
        <v>0.375</v>
      </c>
      <c r="Z923" s="59">
        <v>4.1666666666666664E-2</v>
      </c>
      <c r="AA923">
        <v>0</v>
      </c>
      <c r="AC923">
        <v>23</v>
      </c>
      <c r="AD923">
        <v>8.75</v>
      </c>
      <c r="AE923" s="59">
        <v>0.33333333333333331</v>
      </c>
      <c r="AF923" s="59">
        <v>0.3743055555555555</v>
      </c>
    </row>
    <row r="924" spans="1:32" x14ac:dyDescent="0.25">
      <c r="A924" t="s">
        <v>258</v>
      </c>
      <c r="B924" t="s">
        <v>278</v>
      </c>
      <c r="C924" t="s">
        <v>279</v>
      </c>
      <c r="E924" t="s">
        <v>280</v>
      </c>
      <c r="F924" t="s">
        <v>134</v>
      </c>
      <c r="H924" t="s">
        <v>144</v>
      </c>
      <c r="I924" t="s">
        <v>133</v>
      </c>
      <c r="J924" t="s">
        <v>266</v>
      </c>
      <c r="K924" t="s">
        <v>383</v>
      </c>
      <c r="L924" t="s">
        <v>384</v>
      </c>
      <c r="M924" s="63">
        <v>43193</v>
      </c>
      <c r="N924" t="s">
        <v>385</v>
      </c>
      <c r="O924" t="s">
        <v>134</v>
      </c>
      <c r="P924" t="s">
        <v>218</v>
      </c>
      <c r="Q924" t="s">
        <v>221</v>
      </c>
      <c r="R924" t="s">
        <v>145</v>
      </c>
      <c r="S924" t="s">
        <v>128</v>
      </c>
      <c r="T924" t="s">
        <v>137</v>
      </c>
      <c r="U924" t="s">
        <v>129</v>
      </c>
      <c r="V924" t="s">
        <v>74</v>
      </c>
      <c r="W924" s="58">
        <v>43355</v>
      </c>
      <c r="X924" s="59">
        <v>0.3888888888888889</v>
      </c>
      <c r="Y924" s="59">
        <v>0.43055555555555558</v>
      </c>
      <c r="Z924" s="59">
        <v>4.1666666666666664E-2</v>
      </c>
      <c r="AA924">
        <v>5</v>
      </c>
      <c r="AB924">
        <v>2.2488000000000001</v>
      </c>
      <c r="AC924">
        <v>23</v>
      </c>
      <c r="AD924">
        <v>8.75</v>
      </c>
      <c r="AE924" s="59">
        <v>0.3888888888888889</v>
      </c>
      <c r="AF924" s="59">
        <v>0.42986111111111108</v>
      </c>
    </row>
    <row r="925" spans="1:32" x14ac:dyDescent="0.25">
      <c r="A925" t="s">
        <v>258</v>
      </c>
      <c r="B925" t="s">
        <v>278</v>
      </c>
      <c r="C925" t="s">
        <v>279</v>
      </c>
      <c r="E925" t="s">
        <v>280</v>
      </c>
      <c r="F925" t="s">
        <v>134</v>
      </c>
      <c r="H925" t="s">
        <v>144</v>
      </c>
      <c r="I925" t="s">
        <v>133</v>
      </c>
      <c r="J925" t="s">
        <v>266</v>
      </c>
      <c r="K925" t="s">
        <v>383</v>
      </c>
      <c r="L925" t="s">
        <v>384</v>
      </c>
      <c r="M925" s="63">
        <v>43193</v>
      </c>
      <c r="N925" t="s">
        <v>385</v>
      </c>
      <c r="O925" t="s">
        <v>134</v>
      </c>
      <c r="P925" t="s">
        <v>218</v>
      </c>
      <c r="Q925" t="s">
        <v>221</v>
      </c>
      <c r="R925" t="s">
        <v>145</v>
      </c>
      <c r="S925" t="s">
        <v>128</v>
      </c>
      <c r="T925" t="s">
        <v>137</v>
      </c>
      <c r="U925" t="s">
        <v>129</v>
      </c>
      <c r="V925" t="s">
        <v>74</v>
      </c>
      <c r="W925" s="58">
        <v>43355</v>
      </c>
      <c r="X925" s="59">
        <v>0.54166666666666663</v>
      </c>
      <c r="Y925" s="59">
        <v>0.58333333333333337</v>
      </c>
      <c r="Z925" s="59">
        <v>4.1666666666666664E-2</v>
      </c>
      <c r="AA925">
        <v>0</v>
      </c>
      <c r="AB925">
        <v>0</v>
      </c>
      <c r="AC925">
        <v>23</v>
      </c>
      <c r="AD925">
        <v>8.75</v>
      </c>
      <c r="AE925" s="59">
        <v>0.54166666666666663</v>
      </c>
      <c r="AF925" s="59">
        <v>0.58263888888888882</v>
      </c>
    </row>
    <row r="926" spans="1:32" x14ac:dyDescent="0.25">
      <c r="A926" t="s">
        <v>266</v>
      </c>
      <c r="B926" t="s">
        <v>293</v>
      </c>
      <c r="C926" t="s">
        <v>294</v>
      </c>
      <c r="E926" t="s">
        <v>295</v>
      </c>
      <c r="F926" t="s">
        <v>134</v>
      </c>
      <c r="H926" t="s">
        <v>157</v>
      </c>
      <c r="I926" t="s">
        <v>158</v>
      </c>
      <c r="J926" t="s">
        <v>258</v>
      </c>
      <c r="K926" t="s">
        <v>348</v>
      </c>
      <c r="L926" t="s">
        <v>386</v>
      </c>
      <c r="N926" t="s">
        <v>387</v>
      </c>
      <c r="O926" t="s">
        <v>134</v>
      </c>
      <c r="Q926" t="s">
        <v>222</v>
      </c>
      <c r="R926" t="s">
        <v>161</v>
      </c>
      <c r="S926" t="s">
        <v>128</v>
      </c>
      <c r="T926" t="s">
        <v>181</v>
      </c>
      <c r="U926" t="s">
        <v>163</v>
      </c>
      <c r="V926" t="s">
        <v>77</v>
      </c>
      <c r="W926" s="58">
        <v>43309</v>
      </c>
      <c r="X926" s="59">
        <v>0.3125</v>
      </c>
      <c r="Y926" s="59">
        <v>0.75</v>
      </c>
      <c r="Z926" s="59">
        <v>0.4375</v>
      </c>
      <c r="AA926">
        <v>0</v>
      </c>
      <c r="AC926">
        <v>189</v>
      </c>
      <c r="AD926">
        <v>110.25</v>
      </c>
      <c r="AE926" s="59">
        <v>0.3125</v>
      </c>
      <c r="AF926" s="59">
        <v>0.74930555555555556</v>
      </c>
    </row>
    <row r="927" spans="1:32" x14ac:dyDescent="0.25">
      <c r="A927" t="s">
        <v>266</v>
      </c>
      <c r="B927" t="s">
        <v>293</v>
      </c>
      <c r="C927" t="s">
        <v>294</v>
      </c>
      <c r="E927" t="s">
        <v>295</v>
      </c>
      <c r="F927" t="s">
        <v>134</v>
      </c>
      <c r="H927" t="s">
        <v>157</v>
      </c>
      <c r="I927" t="s">
        <v>158</v>
      </c>
      <c r="J927" t="s">
        <v>266</v>
      </c>
      <c r="K927" t="s">
        <v>388</v>
      </c>
      <c r="L927" t="s">
        <v>389</v>
      </c>
      <c r="N927" t="s">
        <v>390</v>
      </c>
      <c r="O927" t="s">
        <v>223</v>
      </c>
      <c r="Q927" t="s">
        <v>224</v>
      </c>
      <c r="R927" t="s">
        <v>161</v>
      </c>
      <c r="S927" t="s">
        <v>128</v>
      </c>
      <c r="T927" t="s">
        <v>162</v>
      </c>
      <c r="U927" t="s">
        <v>163</v>
      </c>
      <c r="V927" t="s">
        <v>72</v>
      </c>
      <c r="W927" s="58">
        <v>43346</v>
      </c>
      <c r="X927" s="59">
        <v>0.39583333333333331</v>
      </c>
      <c r="Y927" s="59">
        <v>0.4375</v>
      </c>
      <c r="Z927" s="59">
        <v>4.1666666666666664E-2</v>
      </c>
      <c r="AA927">
        <v>0</v>
      </c>
      <c r="AC927">
        <v>18</v>
      </c>
      <c r="AD927">
        <v>10</v>
      </c>
      <c r="AE927" s="59">
        <v>0.39583333333333331</v>
      </c>
      <c r="AF927" s="59">
        <v>0.4368055555555555</v>
      </c>
    </row>
    <row r="928" spans="1:32" x14ac:dyDescent="0.25">
      <c r="A928" t="s">
        <v>266</v>
      </c>
      <c r="B928" t="s">
        <v>293</v>
      </c>
      <c r="C928" t="s">
        <v>294</v>
      </c>
      <c r="E928" t="s">
        <v>295</v>
      </c>
      <c r="F928" t="s">
        <v>134</v>
      </c>
      <c r="H928" t="s">
        <v>157</v>
      </c>
      <c r="I928" t="s">
        <v>158</v>
      </c>
      <c r="J928" t="s">
        <v>266</v>
      </c>
      <c r="K928" t="s">
        <v>388</v>
      </c>
      <c r="L928" t="s">
        <v>389</v>
      </c>
      <c r="N928" t="s">
        <v>390</v>
      </c>
      <c r="O928" t="s">
        <v>223</v>
      </c>
      <c r="Q928" t="s">
        <v>224</v>
      </c>
      <c r="R928" t="s">
        <v>161</v>
      </c>
      <c r="S928" t="s">
        <v>128</v>
      </c>
      <c r="T928" t="s">
        <v>162</v>
      </c>
      <c r="U928" t="s">
        <v>163</v>
      </c>
      <c r="V928" t="s">
        <v>72</v>
      </c>
      <c r="W928" s="58">
        <v>43353</v>
      </c>
      <c r="X928" s="59">
        <v>0.40625</v>
      </c>
      <c r="Y928" s="59">
        <v>0.44791666666666669</v>
      </c>
      <c r="Z928" s="59">
        <v>4.1666666666666664E-2</v>
      </c>
      <c r="AA928">
        <v>0</v>
      </c>
      <c r="AC928">
        <v>18</v>
      </c>
      <c r="AD928">
        <v>10</v>
      </c>
      <c r="AE928" s="59">
        <v>0.40625</v>
      </c>
      <c r="AF928" s="59">
        <v>0.44722222222222219</v>
      </c>
    </row>
    <row r="929" spans="1:33" x14ac:dyDescent="0.25">
      <c r="A929" t="s">
        <v>258</v>
      </c>
      <c r="B929" t="s">
        <v>310</v>
      </c>
      <c r="C929" t="s">
        <v>311</v>
      </c>
      <c r="D929" t="s">
        <v>312</v>
      </c>
      <c r="E929" t="s">
        <v>313</v>
      </c>
      <c r="F929" t="s">
        <v>134</v>
      </c>
      <c r="H929" t="s">
        <v>175</v>
      </c>
      <c r="I929" t="s">
        <v>127</v>
      </c>
      <c r="J929" t="s">
        <v>258</v>
      </c>
      <c r="K929" t="s">
        <v>391</v>
      </c>
      <c r="L929" t="s">
        <v>392</v>
      </c>
      <c r="N929" t="s">
        <v>393</v>
      </c>
      <c r="O929" t="s">
        <v>134</v>
      </c>
      <c r="Q929" t="s">
        <v>225</v>
      </c>
      <c r="R929" t="s">
        <v>176</v>
      </c>
      <c r="S929" t="s">
        <v>128</v>
      </c>
      <c r="T929" t="s">
        <v>137</v>
      </c>
      <c r="U929" t="s">
        <v>151</v>
      </c>
      <c r="V929" t="s">
        <v>77</v>
      </c>
      <c r="W929" s="58">
        <v>43309</v>
      </c>
      <c r="X929" s="59">
        <v>0.36458333333333331</v>
      </c>
      <c r="Y929" s="59">
        <v>0.40625</v>
      </c>
      <c r="Z929" s="59">
        <v>4.1666666666666664E-2</v>
      </c>
      <c r="AA929">
        <v>0</v>
      </c>
      <c r="AC929">
        <v>20</v>
      </c>
      <c r="AD929">
        <v>9.75</v>
      </c>
      <c r="AE929" s="59">
        <v>0.36458333333333331</v>
      </c>
      <c r="AF929" s="59">
        <v>0.4055555555555555</v>
      </c>
      <c r="AG929">
        <v>16</v>
      </c>
    </row>
    <row r="930" spans="1:33" x14ac:dyDescent="0.25">
      <c r="A930" t="s">
        <v>258</v>
      </c>
      <c r="B930" t="s">
        <v>339</v>
      </c>
      <c r="C930" t="s">
        <v>340</v>
      </c>
      <c r="D930" t="s">
        <v>341</v>
      </c>
      <c r="E930" t="s">
        <v>265</v>
      </c>
      <c r="F930" t="s">
        <v>134</v>
      </c>
      <c r="H930" t="s">
        <v>195</v>
      </c>
      <c r="I930" t="s">
        <v>133</v>
      </c>
      <c r="J930" t="s">
        <v>258</v>
      </c>
      <c r="K930" t="s">
        <v>391</v>
      </c>
      <c r="L930" t="s">
        <v>392</v>
      </c>
      <c r="N930" t="s">
        <v>393</v>
      </c>
      <c r="O930" t="s">
        <v>134</v>
      </c>
      <c r="Q930" t="s">
        <v>225</v>
      </c>
      <c r="R930" t="s">
        <v>196</v>
      </c>
      <c r="S930" t="s">
        <v>128</v>
      </c>
      <c r="T930" t="s">
        <v>137</v>
      </c>
      <c r="U930" t="s">
        <v>129</v>
      </c>
      <c r="V930" t="s">
        <v>77</v>
      </c>
      <c r="W930" s="58">
        <v>43330</v>
      </c>
      <c r="X930" s="59">
        <v>0.77083333333333337</v>
      </c>
      <c r="Y930" s="59">
        <v>0.8125</v>
      </c>
      <c r="Z930" s="59">
        <v>4.1666666666666664E-2</v>
      </c>
      <c r="AA930">
        <v>0</v>
      </c>
      <c r="AC930">
        <v>23</v>
      </c>
      <c r="AD930">
        <v>9.75</v>
      </c>
      <c r="AE930" s="59">
        <v>0.77083333333333337</v>
      </c>
      <c r="AF930" s="59">
        <v>0.81180555555555556</v>
      </c>
      <c r="AG930">
        <v>16</v>
      </c>
    </row>
    <row r="931" spans="1:33" x14ac:dyDescent="0.25">
      <c r="A931" t="s">
        <v>274</v>
      </c>
      <c r="B931" t="s">
        <v>321</v>
      </c>
      <c r="C931" t="s">
        <v>322</v>
      </c>
      <c r="D931" t="s">
        <v>323</v>
      </c>
      <c r="E931" t="s">
        <v>324</v>
      </c>
      <c r="F931" t="s">
        <v>134</v>
      </c>
      <c r="H931" t="s">
        <v>184</v>
      </c>
      <c r="I931" t="s">
        <v>147</v>
      </c>
      <c r="J931" t="s">
        <v>258</v>
      </c>
      <c r="K931" t="s">
        <v>391</v>
      </c>
      <c r="L931" t="s">
        <v>392</v>
      </c>
      <c r="N931" t="s">
        <v>393</v>
      </c>
      <c r="O931" t="s">
        <v>134</v>
      </c>
      <c r="Q931" t="s">
        <v>225</v>
      </c>
      <c r="R931" t="s">
        <v>185</v>
      </c>
      <c r="S931" t="s">
        <v>128</v>
      </c>
      <c r="T931" t="s">
        <v>137</v>
      </c>
      <c r="U931" t="s">
        <v>151</v>
      </c>
      <c r="V931" t="s">
        <v>71</v>
      </c>
      <c r="W931" s="58">
        <v>43331</v>
      </c>
      <c r="X931" s="59">
        <v>0.85416666666666663</v>
      </c>
      <c r="Y931" s="59">
        <v>0.88541666666666663</v>
      </c>
      <c r="Z931" s="59">
        <v>3.125E-2</v>
      </c>
      <c r="AA931">
        <v>0</v>
      </c>
      <c r="AC931">
        <v>15</v>
      </c>
      <c r="AD931">
        <v>7.3125</v>
      </c>
      <c r="AE931" s="59">
        <v>0.85416666666666663</v>
      </c>
      <c r="AF931" s="59">
        <v>0.8847222222222223</v>
      </c>
      <c r="AG931">
        <v>16</v>
      </c>
    </row>
    <row r="932" spans="1:33" x14ac:dyDescent="0.25">
      <c r="B932" t="s">
        <v>307</v>
      </c>
      <c r="C932" t="s">
        <v>308</v>
      </c>
      <c r="D932" t="s">
        <v>309</v>
      </c>
      <c r="E932" t="s">
        <v>134</v>
      </c>
      <c r="H932" t="s">
        <v>171</v>
      </c>
      <c r="I932" t="s">
        <v>169</v>
      </c>
      <c r="J932" t="s">
        <v>266</v>
      </c>
      <c r="K932" t="s">
        <v>394</v>
      </c>
      <c r="L932" t="s">
        <v>395</v>
      </c>
      <c r="N932" t="s">
        <v>359</v>
      </c>
      <c r="O932" t="s">
        <v>134</v>
      </c>
      <c r="Q932" t="s">
        <v>207</v>
      </c>
      <c r="R932" t="s">
        <v>172</v>
      </c>
      <c r="S932" t="s">
        <v>128</v>
      </c>
      <c r="T932" t="s">
        <v>181</v>
      </c>
      <c r="U932" t="s">
        <v>129</v>
      </c>
      <c r="V932" t="s">
        <v>71</v>
      </c>
      <c r="W932" s="58">
        <v>43310</v>
      </c>
      <c r="X932" s="59">
        <v>0.3125</v>
      </c>
      <c r="Y932" s="59">
        <v>0.35416666666666669</v>
      </c>
      <c r="Z932" s="59">
        <v>4.1666666666666664E-2</v>
      </c>
      <c r="AA932">
        <v>0</v>
      </c>
      <c r="AC932">
        <v>23</v>
      </c>
      <c r="AD932">
        <v>10.5</v>
      </c>
      <c r="AE932" s="59">
        <v>0.3125</v>
      </c>
      <c r="AF932" s="59">
        <v>0.35347222222222219</v>
      </c>
      <c r="AG932">
        <v>30</v>
      </c>
    </row>
    <row r="933" spans="1:33" x14ac:dyDescent="0.25">
      <c r="A933" t="s">
        <v>258</v>
      </c>
      <c r="B933" t="s">
        <v>325</v>
      </c>
      <c r="C933" t="s">
        <v>326</v>
      </c>
      <c r="E933" t="s">
        <v>327</v>
      </c>
      <c r="F933" t="s">
        <v>134</v>
      </c>
      <c r="H933" t="s">
        <v>182</v>
      </c>
      <c r="I933" t="s">
        <v>147</v>
      </c>
      <c r="J933" t="s">
        <v>266</v>
      </c>
      <c r="K933" t="s">
        <v>394</v>
      </c>
      <c r="L933" t="s">
        <v>395</v>
      </c>
      <c r="N933" t="s">
        <v>359</v>
      </c>
      <c r="O933" t="s">
        <v>134</v>
      </c>
      <c r="Q933" t="s">
        <v>207</v>
      </c>
      <c r="R933" t="s">
        <v>183</v>
      </c>
      <c r="S933" t="s">
        <v>128</v>
      </c>
      <c r="T933" t="s">
        <v>181</v>
      </c>
      <c r="U933" t="s">
        <v>129</v>
      </c>
      <c r="V933" t="s">
        <v>71</v>
      </c>
      <c r="W933" s="58">
        <v>43310</v>
      </c>
      <c r="X933" s="59">
        <v>0.36458333333333331</v>
      </c>
      <c r="Y933" s="59">
        <v>0.40625</v>
      </c>
      <c r="Z933" s="59">
        <v>4.1666666666666664E-2</v>
      </c>
      <c r="AA933">
        <v>0</v>
      </c>
      <c r="AB933">
        <v>3.8488000000000002</v>
      </c>
      <c r="AC933">
        <v>23</v>
      </c>
      <c r="AD933">
        <v>10.5</v>
      </c>
      <c r="AE933" s="59">
        <v>0.36458333333333331</v>
      </c>
      <c r="AF933" s="59">
        <v>0.4055555555555555</v>
      </c>
      <c r="AG933">
        <v>30</v>
      </c>
    </row>
    <row r="934" spans="1:33" x14ac:dyDescent="0.25">
      <c r="A934" t="s">
        <v>274</v>
      </c>
      <c r="B934" t="s">
        <v>321</v>
      </c>
      <c r="C934" t="s">
        <v>322</v>
      </c>
      <c r="D934" t="s">
        <v>323</v>
      </c>
      <c r="E934" t="s">
        <v>324</v>
      </c>
      <c r="F934" t="s">
        <v>134</v>
      </c>
      <c r="H934" t="s">
        <v>184</v>
      </c>
      <c r="I934" t="s">
        <v>147</v>
      </c>
      <c r="J934" t="s">
        <v>266</v>
      </c>
      <c r="K934" t="s">
        <v>394</v>
      </c>
      <c r="L934" t="s">
        <v>395</v>
      </c>
      <c r="N934" t="s">
        <v>359</v>
      </c>
      <c r="O934" t="s">
        <v>134</v>
      </c>
      <c r="Q934" t="s">
        <v>207</v>
      </c>
      <c r="R934" t="s">
        <v>185</v>
      </c>
      <c r="S934" t="s">
        <v>128</v>
      </c>
      <c r="T934" t="s">
        <v>181</v>
      </c>
      <c r="U934" t="s">
        <v>151</v>
      </c>
      <c r="V934" t="s">
        <v>71</v>
      </c>
      <c r="W934" s="58">
        <v>43310</v>
      </c>
      <c r="X934" s="59">
        <v>0.41666666666666669</v>
      </c>
      <c r="Y934" s="59">
        <v>0.45833333333333331</v>
      </c>
      <c r="Z934" s="59">
        <v>4.1666666666666664E-2</v>
      </c>
      <c r="AA934">
        <v>0</v>
      </c>
      <c r="AB934">
        <v>2.2181999999999999</v>
      </c>
      <c r="AC934">
        <v>20</v>
      </c>
      <c r="AD934">
        <v>10.5</v>
      </c>
      <c r="AE934" s="59">
        <v>0.41666666666666669</v>
      </c>
      <c r="AF934" s="59">
        <v>0.45763888888888887</v>
      </c>
      <c r="AG934">
        <v>30</v>
      </c>
    </row>
    <row r="935" spans="1:33" x14ac:dyDescent="0.25">
      <c r="A935" t="s">
        <v>258</v>
      </c>
      <c r="B935" t="s">
        <v>325</v>
      </c>
      <c r="C935" t="s">
        <v>326</v>
      </c>
      <c r="E935" t="s">
        <v>327</v>
      </c>
      <c r="F935" t="s">
        <v>134</v>
      </c>
      <c r="H935" t="s">
        <v>182</v>
      </c>
      <c r="I935" t="s">
        <v>147</v>
      </c>
      <c r="J935" t="s">
        <v>266</v>
      </c>
      <c r="K935" t="s">
        <v>394</v>
      </c>
      <c r="L935" t="s">
        <v>395</v>
      </c>
      <c r="N935" t="s">
        <v>359</v>
      </c>
      <c r="O935" t="s">
        <v>134</v>
      </c>
      <c r="Q935" t="s">
        <v>207</v>
      </c>
      <c r="R935" t="s">
        <v>183</v>
      </c>
      <c r="S935" t="s">
        <v>128</v>
      </c>
      <c r="T935" t="s">
        <v>181</v>
      </c>
      <c r="U935" t="s">
        <v>129</v>
      </c>
      <c r="V935" t="s">
        <v>71</v>
      </c>
      <c r="W935" s="58">
        <v>43310</v>
      </c>
      <c r="X935" s="59">
        <v>0.5</v>
      </c>
      <c r="Y935" s="59">
        <v>0.54166666666666663</v>
      </c>
      <c r="Z935" s="59">
        <v>4.1666666666666664E-2</v>
      </c>
      <c r="AA935">
        <v>0</v>
      </c>
      <c r="AB935">
        <v>2.2181999999999999</v>
      </c>
      <c r="AC935">
        <v>23</v>
      </c>
      <c r="AD935">
        <v>10.5</v>
      </c>
      <c r="AE935" s="59">
        <v>0.5</v>
      </c>
      <c r="AF935" s="59">
        <v>0.54097222222222219</v>
      </c>
      <c r="AG935">
        <v>30</v>
      </c>
    </row>
    <row r="936" spans="1:33" x14ac:dyDescent="0.25">
      <c r="A936" t="s">
        <v>258</v>
      </c>
      <c r="B936" t="s">
        <v>270</v>
      </c>
      <c r="C936" t="s">
        <v>271</v>
      </c>
      <c r="D936" t="s">
        <v>272</v>
      </c>
      <c r="E936" t="s">
        <v>273</v>
      </c>
      <c r="F936" t="s">
        <v>134</v>
      </c>
      <c r="H936" t="s">
        <v>138</v>
      </c>
      <c r="I936" t="s">
        <v>139</v>
      </c>
      <c r="J936" t="s">
        <v>266</v>
      </c>
      <c r="K936" t="s">
        <v>394</v>
      </c>
      <c r="L936" t="s">
        <v>395</v>
      </c>
      <c r="N936" t="s">
        <v>359</v>
      </c>
      <c r="O936" t="s">
        <v>134</v>
      </c>
      <c r="Q936" t="s">
        <v>207</v>
      </c>
      <c r="R936" t="s">
        <v>140</v>
      </c>
      <c r="S936" t="s">
        <v>128</v>
      </c>
      <c r="T936" t="s">
        <v>181</v>
      </c>
      <c r="U936" t="s">
        <v>129</v>
      </c>
      <c r="V936" t="s">
        <v>71</v>
      </c>
      <c r="W936" s="58">
        <v>43310</v>
      </c>
      <c r="X936" s="59">
        <v>0.76041666666666663</v>
      </c>
      <c r="Y936" s="59">
        <v>0.80208333333333337</v>
      </c>
      <c r="Z936" s="59">
        <v>4.1666666666666664E-2</v>
      </c>
      <c r="AA936">
        <v>0</v>
      </c>
      <c r="AC936">
        <v>23</v>
      </c>
      <c r="AD936">
        <v>10.5</v>
      </c>
      <c r="AE936" s="59">
        <v>0.76041666666666663</v>
      </c>
      <c r="AF936" s="59">
        <v>0.80138888888888893</v>
      </c>
      <c r="AG936">
        <v>30</v>
      </c>
    </row>
    <row r="937" spans="1:33" x14ac:dyDescent="0.25">
      <c r="A937" t="s">
        <v>274</v>
      </c>
      <c r="B937" t="s">
        <v>275</v>
      </c>
      <c r="C937" t="s">
        <v>276</v>
      </c>
      <c r="E937" t="s">
        <v>277</v>
      </c>
      <c r="F937" t="s">
        <v>134</v>
      </c>
      <c r="H937" t="s">
        <v>141</v>
      </c>
      <c r="I937" t="s">
        <v>142</v>
      </c>
      <c r="J937" t="s">
        <v>266</v>
      </c>
      <c r="K937" t="s">
        <v>394</v>
      </c>
      <c r="L937" t="s">
        <v>395</v>
      </c>
      <c r="N937" t="s">
        <v>359</v>
      </c>
      <c r="O937" t="s">
        <v>134</v>
      </c>
      <c r="Q937" t="s">
        <v>207</v>
      </c>
      <c r="R937" t="s">
        <v>143</v>
      </c>
      <c r="S937" t="s">
        <v>128</v>
      </c>
      <c r="T937" t="s">
        <v>181</v>
      </c>
      <c r="U937" t="s">
        <v>129</v>
      </c>
      <c r="V937" t="s">
        <v>71</v>
      </c>
      <c r="W937" s="58">
        <v>43310</v>
      </c>
      <c r="X937" s="59">
        <v>0.8125</v>
      </c>
      <c r="Y937" s="59">
        <v>0.83333333333333337</v>
      </c>
      <c r="Z937" s="59">
        <v>2.0833333333333332E-2</v>
      </c>
      <c r="AA937">
        <v>0</v>
      </c>
      <c r="AB937">
        <v>0.9</v>
      </c>
      <c r="AC937">
        <v>11.5</v>
      </c>
      <c r="AD937">
        <v>5.25</v>
      </c>
      <c r="AE937" s="59">
        <v>0.8125</v>
      </c>
      <c r="AF937" s="59">
        <v>0.83263888888888893</v>
      </c>
      <c r="AG937">
        <v>30</v>
      </c>
    </row>
    <row r="938" spans="1:33" x14ac:dyDescent="0.25">
      <c r="A938" t="s">
        <v>274</v>
      </c>
      <c r="B938" t="s">
        <v>321</v>
      </c>
      <c r="C938" t="s">
        <v>322</v>
      </c>
      <c r="D938" t="s">
        <v>323</v>
      </c>
      <c r="E938" t="s">
        <v>324</v>
      </c>
      <c r="F938" t="s">
        <v>134</v>
      </c>
      <c r="H938" t="s">
        <v>184</v>
      </c>
      <c r="I938" t="s">
        <v>147</v>
      </c>
      <c r="J938" t="s">
        <v>266</v>
      </c>
      <c r="K938" t="s">
        <v>394</v>
      </c>
      <c r="L938" t="s">
        <v>395</v>
      </c>
      <c r="N938" t="s">
        <v>359</v>
      </c>
      <c r="O938" t="s">
        <v>134</v>
      </c>
      <c r="Q938" t="s">
        <v>207</v>
      </c>
      <c r="R938" t="s">
        <v>185</v>
      </c>
      <c r="S938" t="s">
        <v>128</v>
      </c>
      <c r="T938" t="s">
        <v>181</v>
      </c>
      <c r="U938" t="s">
        <v>151</v>
      </c>
      <c r="V938" t="s">
        <v>71</v>
      </c>
      <c r="W938" s="58">
        <v>43310</v>
      </c>
      <c r="X938" s="59">
        <v>0.84375</v>
      </c>
      <c r="Y938" s="59">
        <v>0.875</v>
      </c>
      <c r="Z938" s="59">
        <v>3.125E-2</v>
      </c>
      <c r="AA938">
        <v>0</v>
      </c>
      <c r="AB938">
        <v>9.7805999999999997</v>
      </c>
      <c r="AC938">
        <v>15</v>
      </c>
      <c r="AD938">
        <v>7.875</v>
      </c>
      <c r="AE938" s="59">
        <v>0.84375</v>
      </c>
      <c r="AF938" s="59">
        <v>0.87430555555555556</v>
      </c>
      <c r="AG938">
        <v>30</v>
      </c>
    </row>
    <row r="939" spans="1:33" x14ac:dyDescent="0.25">
      <c r="A939" t="s">
        <v>266</v>
      </c>
      <c r="B939" t="s">
        <v>348</v>
      </c>
      <c r="C939" t="s">
        <v>349</v>
      </c>
      <c r="E939" t="s">
        <v>350</v>
      </c>
      <c r="F939" t="s">
        <v>134</v>
      </c>
      <c r="H939" t="s">
        <v>202</v>
      </c>
      <c r="I939" t="s">
        <v>139</v>
      </c>
      <c r="J939" t="s">
        <v>266</v>
      </c>
      <c r="K939" t="s">
        <v>394</v>
      </c>
      <c r="L939" t="s">
        <v>395</v>
      </c>
      <c r="N939" t="s">
        <v>359</v>
      </c>
      <c r="O939" t="s">
        <v>134</v>
      </c>
      <c r="Q939" t="s">
        <v>207</v>
      </c>
      <c r="R939" t="s">
        <v>203</v>
      </c>
      <c r="S939" t="s">
        <v>128</v>
      </c>
      <c r="T939" t="s">
        <v>181</v>
      </c>
      <c r="U939" t="s">
        <v>151</v>
      </c>
      <c r="V939" t="s">
        <v>73</v>
      </c>
      <c r="W939" s="58">
        <v>43312</v>
      </c>
      <c r="X939" s="59">
        <v>0.29166666666666669</v>
      </c>
      <c r="Y939" s="59">
        <v>0.33333333333333331</v>
      </c>
      <c r="Z939" s="59">
        <v>4.1666666666666664E-2</v>
      </c>
      <c r="AA939">
        <v>0</v>
      </c>
      <c r="AC939">
        <v>20</v>
      </c>
      <c r="AD939">
        <v>9.5</v>
      </c>
      <c r="AE939" s="59">
        <v>0.29166666666666669</v>
      </c>
      <c r="AF939" s="59">
        <v>0.33263888888888887</v>
      </c>
      <c r="AG939">
        <v>30</v>
      </c>
    </row>
    <row r="940" spans="1:33" x14ac:dyDescent="0.25">
      <c r="A940" t="s">
        <v>258</v>
      </c>
      <c r="B940" t="s">
        <v>325</v>
      </c>
      <c r="C940" t="s">
        <v>326</v>
      </c>
      <c r="E940" t="s">
        <v>327</v>
      </c>
      <c r="F940" t="s">
        <v>134</v>
      </c>
      <c r="H940" t="s">
        <v>182</v>
      </c>
      <c r="I940" t="s">
        <v>147</v>
      </c>
      <c r="J940" t="s">
        <v>266</v>
      </c>
      <c r="K940" t="s">
        <v>394</v>
      </c>
      <c r="L940" t="s">
        <v>395</v>
      </c>
      <c r="N940" t="s">
        <v>359</v>
      </c>
      <c r="O940" t="s">
        <v>134</v>
      </c>
      <c r="Q940" t="s">
        <v>207</v>
      </c>
      <c r="R940" t="s">
        <v>183</v>
      </c>
      <c r="S940" t="s">
        <v>128</v>
      </c>
      <c r="T940" t="s">
        <v>181</v>
      </c>
      <c r="U940" t="s">
        <v>129</v>
      </c>
      <c r="V940" t="s">
        <v>73</v>
      </c>
      <c r="W940" s="58">
        <v>43312</v>
      </c>
      <c r="X940" s="59">
        <v>0.36458333333333331</v>
      </c>
      <c r="Y940" s="59">
        <v>0.40625</v>
      </c>
      <c r="Z940" s="59">
        <v>4.1666666666666664E-2</v>
      </c>
      <c r="AA940">
        <v>0</v>
      </c>
      <c r="AB940">
        <v>10.433999999999999</v>
      </c>
      <c r="AC940">
        <v>23</v>
      </c>
      <c r="AD940">
        <v>9.5</v>
      </c>
      <c r="AE940" s="59">
        <v>0.36458333333333331</v>
      </c>
      <c r="AF940" s="59">
        <v>0.4055555555555555</v>
      </c>
      <c r="AG940">
        <v>30</v>
      </c>
    </row>
    <row r="941" spans="1:33" x14ac:dyDescent="0.25">
      <c r="A941" t="s">
        <v>274</v>
      </c>
      <c r="B941" t="s">
        <v>321</v>
      </c>
      <c r="C941" t="s">
        <v>322</v>
      </c>
      <c r="D941" t="s">
        <v>323</v>
      </c>
      <c r="E941" t="s">
        <v>324</v>
      </c>
      <c r="F941" t="s">
        <v>134</v>
      </c>
      <c r="H941" t="s">
        <v>184</v>
      </c>
      <c r="I941" t="s">
        <v>147</v>
      </c>
      <c r="J941" t="s">
        <v>266</v>
      </c>
      <c r="K941" t="s">
        <v>394</v>
      </c>
      <c r="L941" t="s">
        <v>395</v>
      </c>
      <c r="N941" t="s">
        <v>359</v>
      </c>
      <c r="O941" t="s">
        <v>134</v>
      </c>
      <c r="Q941" t="s">
        <v>207</v>
      </c>
      <c r="R941" t="s">
        <v>185</v>
      </c>
      <c r="S941" t="s">
        <v>128</v>
      </c>
      <c r="T941" t="s">
        <v>181</v>
      </c>
      <c r="U941" t="s">
        <v>151</v>
      </c>
      <c r="V941" t="s">
        <v>73</v>
      </c>
      <c r="W941" s="58">
        <v>43312</v>
      </c>
      <c r="X941" s="59">
        <v>0.41666666666666669</v>
      </c>
      <c r="Y941" s="59">
        <v>0.45833333333333331</v>
      </c>
      <c r="Z941" s="59">
        <v>4.1666666666666664E-2</v>
      </c>
      <c r="AA941">
        <v>0</v>
      </c>
      <c r="AB941">
        <v>2.2181999999999999</v>
      </c>
      <c r="AC941">
        <v>20</v>
      </c>
      <c r="AD941">
        <v>9.5</v>
      </c>
      <c r="AE941" s="59">
        <v>0.41666666666666669</v>
      </c>
      <c r="AF941" s="59">
        <v>0.45763888888888887</v>
      </c>
      <c r="AG941">
        <v>30</v>
      </c>
    </row>
    <row r="942" spans="1:33" x14ac:dyDescent="0.25">
      <c r="A942" t="s">
        <v>258</v>
      </c>
      <c r="B942" t="s">
        <v>325</v>
      </c>
      <c r="C942" t="s">
        <v>326</v>
      </c>
      <c r="E942" t="s">
        <v>327</v>
      </c>
      <c r="F942" t="s">
        <v>134</v>
      </c>
      <c r="H942" t="s">
        <v>182</v>
      </c>
      <c r="I942" t="s">
        <v>147</v>
      </c>
      <c r="J942" t="s">
        <v>266</v>
      </c>
      <c r="K942" t="s">
        <v>394</v>
      </c>
      <c r="L942" t="s">
        <v>395</v>
      </c>
      <c r="N942" t="s">
        <v>359</v>
      </c>
      <c r="O942" t="s">
        <v>134</v>
      </c>
      <c r="Q942" t="s">
        <v>207</v>
      </c>
      <c r="R942" t="s">
        <v>183</v>
      </c>
      <c r="S942" t="s">
        <v>128</v>
      </c>
      <c r="T942" t="s">
        <v>181</v>
      </c>
      <c r="U942" t="s">
        <v>129</v>
      </c>
      <c r="V942" t="s">
        <v>73</v>
      </c>
      <c r="W942" s="58">
        <v>43312</v>
      </c>
      <c r="X942" s="59">
        <v>0.5</v>
      </c>
      <c r="Y942" s="59">
        <v>0.54166666666666663</v>
      </c>
      <c r="Z942" s="59">
        <v>4.1666666666666664E-2</v>
      </c>
      <c r="AA942">
        <v>0</v>
      </c>
      <c r="AB942">
        <v>2.2181999999999999</v>
      </c>
      <c r="AC942">
        <v>23</v>
      </c>
      <c r="AD942">
        <v>9.5</v>
      </c>
      <c r="AE942" s="59">
        <v>0.5</v>
      </c>
      <c r="AF942" s="59">
        <v>0.54097222222222219</v>
      </c>
      <c r="AG942">
        <v>30</v>
      </c>
    </row>
    <row r="943" spans="1:33" x14ac:dyDescent="0.25">
      <c r="A943" t="s">
        <v>274</v>
      </c>
      <c r="B943" t="s">
        <v>275</v>
      </c>
      <c r="C943" t="s">
        <v>276</v>
      </c>
      <c r="E943" t="s">
        <v>277</v>
      </c>
      <c r="F943" t="s">
        <v>134</v>
      </c>
      <c r="H943" t="s">
        <v>141</v>
      </c>
      <c r="I943" t="s">
        <v>142</v>
      </c>
      <c r="J943" t="s">
        <v>266</v>
      </c>
      <c r="K943" t="s">
        <v>394</v>
      </c>
      <c r="L943" t="s">
        <v>395</v>
      </c>
      <c r="N943" t="s">
        <v>359</v>
      </c>
      <c r="O943" t="s">
        <v>134</v>
      </c>
      <c r="Q943" t="s">
        <v>207</v>
      </c>
      <c r="R943" t="s">
        <v>143</v>
      </c>
      <c r="S943" t="s">
        <v>128</v>
      </c>
      <c r="T943" t="s">
        <v>181</v>
      </c>
      <c r="U943" t="s">
        <v>129</v>
      </c>
      <c r="V943" t="s">
        <v>73</v>
      </c>
      <c r="W943" s="58">
        <v>43312</v>
      </c>
      <c r="X943" s="59">
        <v>0.8125</v>
      </c>
      <c r="Y943" s="59">
        <v>0.83333333333333337</v>
      </c>
      <c r="Z943" s="59">
        <v>2.0833333333333332E-2</v>
      </c>
      <c r="AA943">
        <v>0</v>
      </c>
      <c r="AC943">
        <v>11.5</v>
      </c>
      <c r="AD943">
        <v>4.75</v>
      </c>
      <c r="AE943" s="59">
        <v>0.8125</v>
      </c>
      <c r="AF943" s="59">
        <v>0.83263888888888893</v>
      </c>
      <c r="AG943">
        <v>30</v>
      </c>
    </row>
    <row r="944" spans="1:33" x14ac:dyDescent="0.25">
      <c r="A944" t="s">
        <v>258</v>
      </c>
      <c r="B944" t="s">
        <v>314</v>
      </c>
      <c r="C944" t="s">
        <v>315</v>
      </c>
      <c r="D944">
        <v>72</v>
      </c>
      <c r="E944" t="s">
        <v>316</v>
      </c>
      <c r="F944" t="s">
        <v>317</v>
      </c>
      <c r="G944" t="s">
        <v>218</v>
      </c>
      <c r="H944" t="s">
        <v>168</v>
      </c>
      <c r="I944" t="s">
        <v>169</v>
      </c>
      <c r="J944" t="s">
        <v>266</v>
      </c>
      <c r="K944" t="s">
        <v>394</v>
      </c>
      <c r="L944" t="s">
        <v>395</v>
      </c>
      <c r="N944" t="s">
        <v>359</v>
      </c>
      <c r="O944" t="s">
        <v>134</v>
      </c>
      <c r="Q944" t="s">
        <v>207</v>
      </c>
      <c r="R944" t="s">
        <v>170</v>
      </c>
      <c r="S944" t="s">
        <v>128</v>
      </c>
      <c r="T944" t="s">
        <v>181</v>
      </c>
      <c r="U944" t="s">
        <v>129</v>
      </c>
      <c r="V944" t="s">
        <v>74</v>
      </c>
      <c r="W944" s="58">
        <v>43313</v>
      </c>
      <c r="X944" s="59">
        <v>0.33333333333333331</v>
      </c>
      <c r="Y944" s="59">
        <v>0.35416666666666669</v>
      </c>
      <c r="Z944" s="59">
        <v>2.0833333333333332E-2</v>
      </c>
      <c r="AA944">
        <v>0</v>
      </c>
      <c r="AC944">
        <v>11.5</v>
      </c>
      <c r="AD944">
        <v>4.75</v>
      </c>
      <c r="AE944" s="59">
        <v>0.33333333333333331</v>
      </c>
      <c r="AF944" s="59">
        <v>0.35347222222222219</v>
      </c>
      <c r="AG944">
        <v>30</v>
      </c>
    </row>
    <row r="945" spans="1:33" x14ac:dyDescent="0.25">
      <c r="A945" t="s">
        <v>258</v>
      </c>
      <c r="B945" t="s">
        <v>259</v>
      </c>
      <c r="C945" t="s">
        <v>260</v>
      </c>
      <c r="E945" t="s">
        <v>261</v>
      </c>
      <c r="F945" t="s">
        <v>134</v>
      </c>
      <c r="H945" t="s">
        <v>130</v>
      </c>
      <c r="I945" t="s">
        <v>127</v>
      </c>
      <c r="J945" t="s">
        <v>266</v>
      </c>
      <c r="K945" t="s">
        <v>394</v>
      </c>
      <c r="L945" t="s">
        <v>395</v>
      </c>
      <c r="N945" t="s">
        <v>359</v>
      </c>
      <c r="O945" t="s">
        <v>134</v>
      </c>
      <c r="Q945" t="s">
        <v>207</v>
      </c>
      <c r="R945" t="s">
        <v>131</v>
      </c>
      <c r="S945" t="s">
        <v>128</v>
      </c>
      <c r="T945" t="s">
        <v>181</v>
      </c>
      <c r="U945" t="s">
        <v>129</v>
      </c>
      <c r="V945" t="s">
        <v>74</v>
      </c>
      <c r="W945" s="58">
        <v>43313</v>
      </c>
      <c r="X945" s="59">
        <v>0.36458333333333331</v>
      </c>
      <c r="Y945" s="59">
        <v>0.40625</v>
      </c>
      <c r="Z945" s="59">
        <v>4.1666666666666664E-2</v>
      </c>
      <c r="AA945">
        <v>0</v>
      </c>
      <c r="AB945">
        <v>1.6512</v>
      </c>
      <c r="AC945">
        <v>23</v>
      </c>
      <c r="AD945">
        <v>9.5</v>
      </c>
      <c r="AE945" s="59">
        <v>0.36458333333333331</v>
      </c>
      <c r="AF945" s="59">
        <v>0.4055555555555555</v>
      </c>
      <c r="AG945">
        <v>30</v>
      </c>
    </row>
    <row r="946" spans="1:33" x14ac:dyDescent="0.25">
      <c r="A946" t="s">
        <v>266</v>
      </c>
      <c r="B946" t="s">
        <v>293</v>
      </c>
      <c r="C946" t="s">
        <v>294</v>
      </c>
      <c r="E946" t="s">
        <v>295</v>
      </c>
      <c r="F946" t="s">
        <v>134</v>
      </c>
      <c r="H946" t="s">
        <v>157</v>
      </c>
      <c r="I946" t="s">
        <v>158</v>
      </c>
      <c r="J946" t="s">
        <v>266</v>
      </c>
      <c r="K946" t="s">
        <v>394</v>
      </c>
      <c r="L946" t="s">
        <v>395</v>
      </c>
      <c r="N946" t="s">
        <v>359</v>
      </c>
      <c r="O946" t="s">
        <v>134</v>
      </c>
      <c r="Q946" t="s">
        <v>207</v>
      </c>
      <c r="R946" t="s">
        <v>161</v>
      </c>
      <c r="S946" t="s">
        <v>128</v>
      </c>
      <c r="T946" t="s">
        <v>181</v>
      </c>
      <c r="U946" t="s">
        <v>163</v>
      </c>
      <c r="V946" t="s">
        <v>74</v>
      </c>
      <c r="W946" s="58">
        <v>43313</v>
      </c>
      <c r="X946" s="59">
        <v>0.42708333333333331</v>
      </c>
      <c r="Y946" s="59">
        <v>0.67708333333333337</v>
      </c>
      <c r="Z946" s="59">
        <v>0.25</v>
      </c>
      <c r="AA946">
        <v>0</v>
      </c>
      <c r="AB946">
        <v>8.5215999999999994</v>
      </c>
      <c r="AC946">
        <v>108</v>
      </c>
      <c r="AD946">
        <v>57</v>
      </c>
      <c r="AE946" s="59">
        <v>0.42708333333333331</v>
      </c>
      <c r="AF946" s="59">
        <v>0.67638888888888893</v>
      </c>
      <c r="AG946">
        <v>30</v>
      </c>
    </row>
    <row r="947" spans="1:33" x14ac:dyDescent="0.25">
      <c r="B947" t="s">
        <v>331</v>
      </c>
      <c r="C947" t="s">
        <v>332</v>
      </c>
      <c r="E947" t="s">
        <v>333</v>
      </c>
      <c r="F947" t="s">
        <v>134</v>
      </c>
      <c r="G947" t="s">
        <v>218</v>
      </c>
      <c r="H947" t="s">
        <v>177</v>
      </c>
      <c r="I947" t="s">
        <v>158</v>
      </c>
      <c r="J947" t="s">
        <v>266</v>
      </c>
      <c r="K947" t="s">
        <v>394</v>
      </c>
      <c r="L947" t="s">
        <v>395</v>
      </c>
      <c r="N947" t="s">
        <v>359</v>
      </c>
      <c r="O947" t="s">
        <v>134</v>
      </c>
      <c r="Q947" t="s">
        <v>207</v>
      </c>
      <c r="R947" t="s">
        <v>179</v>
      </c>
      <c r="S947" t="s">
        <v>180</v>
      </c>
      <c r="T947" t="s">
        <v>181</v>
      </c>
      <c r="U947" t="s">
        <v>201</v>
      </c>
      <c r="V947" t="s">
        <v>74</v>
      </c>
      <c r="W947" s="58">
        <v>43313</v>
      </c>
      <c r="X947" s="59">
        <v>0.6875</v>
      </c>
      <c r="Y947" s="59">
        <v>0.72916666666666663</v>
      </c>
      <c r="Z947" s="59">
        <v>4.1666666666666664E-2</v>
      </c>
      <c r="AA947">
        <v>3</v>
      </c>
      <c r="AB947">
        <v>1.5182</v>
      </c>
      <c r="AD947">
        <v>9.5</v>
      </c>
      <c r="AE947" s="59">
        <v>0.6875</v>
      </c>
      <c r="AF947" s="59">
        <v>0.7284722222222223</v>
      </c>
      <c r="AG947">
        <v>30</v>
      </c>
    </row>
    <row r="948" spans="1:33" x14ac:dyDescent="0.25">
      <c r="A948" t="s">
        <v>266</v>
      </c>
      <c r="B948" t="s">
        <v>348</v>
      </c>
      <c r="C948" t="s">
        <v>349</v>
      </c>
      <c r="E948" t="s">
        <v>350</v>
      </c>
      <c r="F948" t="s">
        <v>134</v>
      </c>
      <c r="H948" t="s">
        <v>202</v>
      </c>
      <c r="I948" t="s">
        <v>139</v>
      </c>
      <c r="J948" t="s">
        <v>266</v>
      </c>
      <c r="K948" t="s">
        <v>394</v>
      </c>
      <c r="L948" t="s">
        <v>395</v>
      </c>
      <c r="N948" t="s">
        <v>359</v>
      </c>
      <c r="O948" t="s">
        <v>134</v>
      </c>
      <c r="Q948" t="s">
        <v>207</v>
      </c>
      <c r="R948" t="s">
        <v>203</v>
      </c>
      <c r="S948" t="s">
        <v>128</v>
      </c>
      <c r="T948" t="s">
        <v>181</v>
      </c>
      <c r="U948" t="s">
        <v>151</v>
      </c>
      <c r="V948" t="s">
        <v>75</v>
      </c>
      <c r="W948" s="58">
        <v>43314</v>
      </c>
      <c r="X948" s="59">
        <v>0.29166666666666669</v>
      </c>
      <c r="Y948" s="59">
        <v>0.33333333333333331</v>
      </c>
      <c r="Z948" s="59">
        <v>4.1666666666666664E-2</v>
      </c>
      <c r="AA948">
        <v>0</v>
      </c>
      <c r="AC948">
        <v>20</v>
      </c>
      <c r="AD948">
        <v>9.5</v>
      </c>
      <c r="AE948" s="59">
        <v>0.29166666666666669</v>
      </c>
      <c r="AF948" s="59">
        <v>0.33263888888888887</v>
      </c>
      <c r="AG948">
        <v>30</v>
      </c>
    </row>
    <row r="949" spans="1:33" x14ac:dyDescent="0.25">
      <c r="A949" t="s">
        <v>258</v>
      </c>
      <c r="B949" t="s">
        <v>325</v>
      </c>
      <c r="C949" t="s">
        <v>326</v>
      </c>
      <c r="E949" t="s">
        <v>327</v>
      </c>
      <c r="F949" t="s">
        <v>134</v>
      </c>
      <c r="H949" t="s">
        <v>182</v>
      </c>
      <c r="I949" t="s">
        <v>147</v>
      </c>
      <c r="J949" t="s">
        <v>266</v>
      </c>
      <c r="K949" t="s">
        <v>394</v>
      </c>
      <c r="L949" t="s">
        <v>395</v>
      </c>
      <c r="N949" t="s">
        <v>359</v>
      </c>
      <c r="O949" t="s">
        <v>134</v>
      </c>
      <c r="Q949" t="s">
        <v>207</v>
      </c>
      <c r="R949" t="s">
        <v>183</v>
      </c>
      <c r="S949" t="s">
        <v>128</v>
      </c>
      <c r="T949" t="s">
        <v>181</v>
      </c>
      <c r="U949" t="s">
        <v>129</v>
      </c>
      <c r="V949" t="s">
        <v>75</v>
      </c>
      <c r="W949" s="58">
        <v>43314</v>
      </c>
      <c r="X949" s="59">
        <v>0.36458333333333331</v>
      </c>
      <c r="Y949" s="59">
        <v>0.40625</v>
      </c>
      <c r="Z949" s="59">
        <v>4.1666666666666664E-2</v>
      </c>
      <c r="AA949">
        <v>0</v>
      </c>
      <c r="AB949">
        <v>10.433999999999999</v>
      </c>
      <c r="AC949">
        <v>23</v>
      </c>
      <c r="AD949">
        <v>9.5</v>
      </c>
      <c r="AE949" s="59">
        <v>0.36458333333333331</v>
      </c>
      <c r="AF949" s="59">
        <v>0.4055555555555555</v>
      </c>
      <c r="AG949">
        <v>30</v>
      </c>
    </row>
    <row r="950" spans="1:33" x14ac:dyDescent="0.25">
      <c r="A950" t="s">
        <v>274</v>
      </c>
      <c r="B950" t="s">
        <v>321</v>
      </c>
      <c r="C950" t="s">
        <v>322</v>
      </c>
      <c r="D950" t="s">
        <v>323</v>
      </c>
      <c r="E950" t="s">
        <v>324</v>
      </c>
      <c r="F950" t="s">
        <v>134</v>
      </c>
      <c r="H950" t="s">
        <v>184</v>
      </c>
      <c r="I950" t="s">
        <v>147</v>
      </c>
      <c r="J950" t="s">
        <v>266</v>
      </c>
      <c r="K950" t="s">
        <v>394</v>
      </c>
      <c r="L950" t="s">
        <v>395</v>
      </c>
      <c r="N950" t="s">
        <v>359</v>
      </c>
      <c r="O950" t="s">
        <v>134</v>
      </c>
      <c r="Q950" t="s">
        <v>207</v>
      </c>
      <c r="R950" t="s">
        <v>185</v>
      </c>
      <c r="S950" t="s">
        <v>128</v>
      </c>
      <c r="T950" t="s">
        <v>181</v>
      </c>
      <c r="U950" t="s">
        <v>151</v>
      </c>
      <c r="V950" t="s">
        <v>75</v>
      </c>
      <c r="W950" s="58">
        <v>43314</v>
      </c>
      <c r="X950" s="59">
        <v>0.41666666666666669</v>
      </c>
      <c r="Y950" s="59">
        <v>0.45833333333333331</v>
      </c>
      <c r="Z950" s="59">
        <v>4.1666666666666664E-2</v>
      </c>
      <c r="AA950">
        <v>0</v>
      </c>
      <c r="AB950">
        <v>2.2181999999999999</v>
      </c>
      <c r="AC950">
        <v>20</v>
      </c>
      <c r="AD950">
        <v>9.5</v>
      </c>
      <c r="AE950" s="59">
        <v>0.41666666666666669</v>
      </c>
      <c r="AF950" s="59">
        <v>0.45763888888888887</v>
      </c>
      <c r="AG950">
        <v>30</v>
      </c>
    </row>
    <row r="951" spans="1:33" x14ac:dyDescent="0.25">
      <c r="A951" t="s">
        <v>258</v>
      </c>
      <c r="B951" t="s">
        <v>314</v>
      </c>
      <c r="C951" t="s">
        <v>315</v>
      </c>
      <c r="D951">
        <v>72</v>
      </c>
      <c r="E951" t="s">
        <v>316</v>
      </c>
      <c r="F951" t="s">
        <v>317</v>
      </c>
      <c r="G951" t="s">
        <v>218</v>
      </c>
      <c r="H951" t="s">
        <v>168</v>
      </c>
      <c r="I951" t="s">
        <v>169</v>
      </c>
      <c r="J951" t="s">
        <v>266</v>
      </c>
      <c r="K951" t="s">
        <v>394</v>
      </c>
      <c r="L951" t="s">
        <v>395</v>
      </c>
      <c r="N951" t="s">
        <v>359</v>
      </c>
      <c r="O951" t="s">
        <v>134</v>
      </c>
      <c r="Q951" t="s">
        <v>207</v>
      </c>
      <c r="R951" t="s">
        <v>170</v>
      </c>
      <c r="S951" t="s">
        <v>128</v>
      </c>
      <c r="T951" t="s">
        <v>181</v>
      </c>
      <c r="U951" t="s">
        <v>129</v>
      </c>
      <c r="V951" t="s">
        <v>76</v>
      </c>
      <c r="W951" s="58">
        <v>43315</v>
      </c>
      <c r="X951" s="59">
        <v>0.33333333333333331</v>
      </c>
      <c r="Y951" s="59">
        <v>0.35416666666666669</v>
      </c>
      <c r="Z951" s="59">
        <v>2.0833333333333332E-2</v>
      </c>
      <c r="AA951">
        <v>0</v>
      </c>
      <c r="AC951">
        <v>11.5</v>
      </c>
      <c r="AD951">
        <v>4.75</v>
      </c>
      <c r="AE951" s="59">
        <v>0.33333333333333331</v>
      </c>
      <c r="AF951" s="59">
        <v>0.35347222222222219</v>
      </c>
      <c r="AG951">
        <v>30</v>
      </c>
    </row>
    <row r="952" spans="1:33" x14ac:dyDescent="0.25">
      <c r="B952" t="s">
        <v>307</v>
      </c>
      <c r="C952" t="s">
        <v>308</v>
      </c>
      <c r="D952" t="s">
        <v>309</v>
      </c>
      <c r="E952" t="s">
        <v>134</v>
      </c>
      <c r="H952" t="s">
        <v>171</v>
      </c>
      <c r="I952" t="s">
        <v>169</v>
      </c>
      <c r="J952" t="s">
        <v>266</v>
      </c>
      <c r="K952" t="s">
        <v>394</v>
      </c>
      <c r="L952" t="s">
        <v>395</v>
      </c>
      <c r="N952" t="s">
        <v>359</v>
      </c>
      <c r="O952" t="s">
        <v>134</v>
      </c>
      <c r="Q952" t="s">
        <v>207</v>
      </c>
      <c r="R952" t="s">
        <v>172</v>
      </c>
      <c r="S952" t="s">
        <v>128</v>
      </c>
      <c r="T952" t="s">
        <v>181</v>
      </c>
      <c r="U952" t="s">
        <v>129</v>
      </c>
      <c r="V952" t="s">
        <v>76</v>
      </c>
      <c r="W952" s="58">
        <v>43315</v>
      </c>
      <c r="X952" s="59">
        <v>0.36249999999999999</v>
      </c>
      <c r="Y952" s="59">
        <v>0.40416666666666662</v>
      </c>
      <c r="Z952" s="59">
        <v>4.1666666666666664E-2</v>
      </c>
      <c r="AA952">
        <v>0</v>
      </c>
      <c r="AB952">
        <v>0.62839999999999996</v>
      </c>
      <c r="AC952">
        <v>23</v>
      </c>
      <c r="AD952">
        <v>9.5</v>
      </c>
      <c r="AE952" s="59">
        <v>0.36249999999999999</v>
      </c>
      <c r="AF952" s="59">
        <v>0.40347222222222223</v>
      </c>
      <c r="AG952">
        <v>30</v>
      </c>
    </row>
    <row r="953" spans="1:33" x14ac:dyDescent="0.25">
      <c r="A953" t="s">
        <v>274</v>
      </c>
      <c r="B953" t="s">
        <v>321</v>
      </c>
      <c r="C953" t="s">
        <v>322</v>
      </c>
      <c r="D953" t="s">
        <v>323</v>
      </c>
      <c r="E953" t="s">
        <v>324</v>
      </c>
      <c r="F953" t="s">
        <v>134</v>
      </c>
      <c r="H953" t="s">
        <v>184</v>
      </c>
      <c r="I953" t="s">
        <v>147</v>
      </c>
      <c r="J953" t="s">
        <v>266</v>
      </c>
      <c r="K953" t="s">
        <v>394</v>
      </c>
      <c r="L953" t="s">
        <v>395</v>
      </c>
      <c r="N953" t="s">
        <v>359</v>
      </c>
      <c r="O953" t="s">
        <v>134</v>
      </c>
      <c r="Q953" t="s">
        <v>207</v>
      </c>
      <c r="R953" t="s">
        <v>185</v>
      </c>
      <c r="S953" t="s">
        <v>128</v>
      </c>
      <c r="T953" t="s">
        <v>181</v>
      </c>
      <c r="U953" t="s">
        <v>151</v>
      </c>
      <c r="V953" t="s">
        <v>76</v>
      </c>
      <c r="W953" s="58">
        <v>43315</v>
      </c>
      <c r="X953" s="59">
        <v>0.41666666666666669</v>
      </c>
      <c r="Y953" s="59">
        <v>0.45833333333333331</v>
      </c>
      <c r="Z953" s="59">
        <v>4.1666666666666664E-2</v>
      </c>
      <c r="AA953">
        <v>0</v>
      </c>
      <c r="AB953">
        <v>3.8033999999999999</v>
      </c>
      <c r="AC953">
        <v>20</v>
      </c>
      <c r="AD953">
        <v>9.5</v>
      </c>
      <c r="AE953" s="59">
        <v>0.41666666666666669</v>
      </c>
      <c r="AF953" s="59">
        <v>0.45763888888888887</v>
      </c>
      <c r="AG953">
        <v>30</v>
      </c>
    </row>
    <row r="954" spans="1:33" x14ac:dyDescent="0.25">
      <c r="A954" t="s">
        <v>274</v>
      </c>
      <c r="B954" t="s">
        <v>328</v>
      </c>
      <c r="C954" t="s">
        <v>329</v>
      </c>
      <c r="D954">
        <v>5</v>
      </c>
      <c r="E954" t="s">
        <v>330</v>
      </c>
      <c r="F954" t="s">
        <v>134</v>
      </c>
      <c r="G954" t="s">
        <v>218</v>
      </c>
      <c r="H954" t="s">
        <v>188</v>
      </c>
      <c r="I954" t="s">
        <v>189</v>
      </c>
      <c r="J954" t="s">
        <v>266</v>
      </c>
      <c r="K954" t="s">
        <v>394</v>
      </c>
      <c r="L954" t="s">
        <v>395</v>
      </c>
      <c r="N954" t="s">
        <v>359</v>
      </c>
      <c r="O954" t="s">
        <v>134</v>
      </c>
      <c r="Q954" t="s">
        <v>207</v>
      </c>
      <c r="R954" t="s">
        <v>190</v>
      </c>
      <c r="S954" t="s">
        <v>128</v>
      </c>
      <c r="T954" t="s">
        <v>181</v>
      </c>
      <c r="U954" t="s">
        <v>151</v>
      </c>
      <c r="V954" t="s">
        <v>76</v>
      </c>
      <c r="W954" s="58">
        <v>43315</v>
      </c>
      <c r="X954" s="59">
        <v>0.54166666666666663</v>
      </c>
      <c r="Y954" s="59">
        <v>0.66666666666666663</v>
      </c>
      <c r="Z954" s="59">
        <v>0.125</v>
      </c>
      <c r="AA954">
        <v>0</v>
      </c>
      <c r="AB954">
        <v>1.9068000000000001</v>
      </c>
      <c r="AC954">
        <v>60</v>
      </c>
      <c r="AD954">
        <v>28.5</v>
      </c>
      <c r="AE954" s="59">
        <v>0.54166666666666663</v>
      </c>
      <c r="AF954" s="59">
        <v>0.66597222222222219</v>
      </c>
      <c r="AG954">
        <v>30</v>
      </c>
    </row>
    <row r="955" spans="1:33" x14ac:dyDescent="0.25">
      <c r="A955" t="s">
        <v>258</v>
      </c>
      <c r="B955" t="s">
        <v>270</v>
      </c>
      <c r="C955" t="s">
        <v>271</v>
      </c>
      <c r="D955" t="s">
        <v>272</v>
      </c>
      <c r="E955" t="s">
        <v>273</v>
      </c>
      <c r="F955" t="s">
        <v>134</v>
      </c>
      <c r="H955" t="s">
        <v>138</v>
      </c>
      <c r="I955" t="s">
        <v>139</v>
      </c>
      <c r="J955" t="s">
        <v>266</v>
      </c>
      <c r="K955" t="s">
        <v>394</v>
      </c>
      <c r="L955" t="s">
        <v>395</v>
      </c>
      <c r="N955" t="s">
        <v>359</v>
      </c>
      <c r="O955" t="s">
        <v>134</v>
      </c>
      <c r="Q955" t="s">
        <v>207</v>
      </c>
      <c r="R955" t="s">
        <v>140</v>
      </c>
      <c r="S955" t="s">
        <v>128</v>
      </c>
      <c r="T955" t="s">
        <v>181</v>
      </c>
      <c r="U955" t="s">
        <v>129</v>
      </c>
      <c r="V955" t="s">
        <v>76</v>
      </c>
      <c r="W955" s="58">
        <v>43315</v>
      </c>
      <c r="X955" s="59">
        <v>0.76041666666666663</v>
      </c>
      <c r="Y955" s="59">
        <v>0.80208333333333337</v>
      </c>
      <c r="Z955" s="59">
        <v>4.1666666666666664E-2</v>
      </c>
      <c r="AA955">
        <v>0</v>
      </c>
      <c r="AB955">
        <v>8.6978000000000009</v>
      </c>
      <c r="AC955">
        <v>23</v>
      </c>
      <c r="AD955">
        <v>9.5</v>
      </c>
      <c r="AE955" s="59">
        <v>0.76041666666666663</v>
      </c>
      <c r="AF955" s="59">
        <v>0.80138888888888893</v>
      </c>
      <c r="AG955">
        <v>30</v>
      </c>
    </row>
    <row r="956" spans="1:33" x14ac:dyDescent="0.25">
      <c r="A956" t="s">
        <v>274</v>
      </c>
      <c r="B956" t="s">
        <v>275</v>
      </c>
      <c r="C956" t="s">
        <v>276</v>
      </c>
      <c r="E956" t="s">
        <v>277</v>
      </c>
      <c r="F956" t="s">
        <v>134</v>
      </c>
      <c r="H956" t="s">
        <v>141</v>
      </c>
      <c r="I956" t="s">
        <v>142</v>
      </c>
      <c r="J956" t="s">
        <v>266</v>
      </c>
      <c r="K956" t="s">
        <v>394</v>
      </c>
      <c r="L956" t="s">
        <v>395</v>
      </c>
      <c r="N956" t="s">
        <v>359</v>
      </c>
      <c r="O956" t="s">
        <v>134</v>
      </c>
      <c r="Q956" t="s">
        <v>207</v>
      </c>
      <c r="R956" t="s">
        <v>143</v>
      </c>
      <c r="S956" t="s">
        <v>128</v>
      </c>
      <c r="T956" t="s">
        <v>181</v>
      </c>
      <c r="U956" t="s">
        <v>129</v>
      </c>
      <c r="V956" t="s">
        <v>76</v>
      </c>
      <c r="W956" s="58">
        <v>43315</v>
      </c>
      <c r="X956" s="59">
        <v>0.8125</v>
      </c>
      <c r="Y956" s="59">
        <v>0.83333333333333337</v>
      </c>
      <c r="Z956" s="59">
        <v>2.0833333333333332E-2</v>
      </c>
      <c r="AA956">
        <v>0</v>
      </c>
      <c r="AB956">
        <v>0.9</v>
      </c>
      <c r="AC956">
        <v>11.5</v>
      </c>
      <c r="AD956">
        <v>4.75</v>
      </c>
      <c r="AE956" s="59">
        <v>0.8125</v>
      </c>
      <c r="AF956" s="59">
        <v>0.83263888888888893</v>
      </c>
      <c r="AG956">
        <v>30</v>
      </c>
    </row>
    <row r="957" spans="1:33" x14ac:dyDescent="0.25">
      <c r="A957" t="s">
        <v>258</v>
      </c>
      <c r="B957" t="s">
        <v>314</v>
      </c>
      <c r="C957" t="s">
        <v>315</v>
      </c>
      <c r="D957">
        <v>72</v>
      </c>
      <c r="E957" t="s">
        <v>316</v>
      </c>
      <c r="F957" t="s">
        <v>317</v>
      </c>
      <c r="G957" t="s">
        <v>218</v>
      </c>
      <c r="H957" t="s">
        <v>168</v>
      </c>
      <c r="I957" t="s">
        <v>169</v>
      </c>
      <c r="J957" t="s">
        <v>266</v>
      </c>
      <c r="K957" t="s">
        <v>394</v>
      </c>
      <c r="L957" t="s">
        <v>395</v>
      </c>
      <c r="N957" t="s">
        <v>359</v>
      </c>
      <c r="O957" t="s">
        <v>134</v>
      </c>
      <c r="Q957" t="s">
        <v>207</v>
      </c>
      <c r="R957" t="s">
        <v>170</v>
      </c>
      <c r="S957" t="s">
        <v>128</v>
      </c>
      <c r="T957" t="s">
        <v>181</v>
      </c>
      <c r="U957" t="s">
        <v>129</v>
      </c>
      <c r="V957" t="s">
        <v>77</v>
      </c>
      <c r="W957" s="58">
        <v>43316</v>
      </c>
      <c r="X957" s="59">
        <v>0.33333333333333331</v>
      </c>
      <c r="Y957" s="59">
        <v>0.35416666666666669</v>
      </c>
      <c r="Z957" s="59">
        <v>2.0833333333333332E-2</v>
      </c>
      <c r="AA957">
        <v>0</v>
      </c>
      <c r="AC957">
        <v>11.5</v>
      </c>
      <c r="AD957">
        <v>5.25</v>
      </c>
      <c r="AE957" s="59">
        <v>0.33333333333333331</v>
      </c>
      <c r="AF957" s="59">
        <v>0.35347222222222219</v>
      </c>
      <c r="AG957">
        <v>30</v>
      </c>
    </row>
    <row r="958" spans="1:33" x14ac:dyDescent="0.25">
      <c r="B958" t="s">
        <v>307</v>
      </c>
      <c r="C958" t="s">
        <v>308</v>
      </c>
      <c r="D958" t="s">
        <v>309</v>
      </c>
      <c r="E958" t="s">
        <v>134</v>
      </c>
      <c r="H958" t="s">
        <v>171</v>
      </c>
      <c r="I958" t="s">
        <v>169</v>
      </c>
      <c r="J958" t="s">
        <v>266</v>
      </c>
      <c r="K958" t="s">
        <v>394</v>
      </c>
      <c r="L958" t="s">
        <v>395</v>
      </c>
      <c r="N958" t="s">
        <v>359</v>
      </c>
      <c r="O958" t="s">
        <v>134</v>
      </c>
      <c r="Q958" t="s">
        <v>207</v>
      </c>
      <c r="R958" t="s">
        <v>172</v>
      </c>
      <c r="S958" t="s">
        <v>128</v>
      </c>
      <c r="T958" t="s">
        <v>181</v>
      </c>
      <c r="U958" t="s">
        <v>129</v>
      </c>
      <c r="V958" t="s">
        <v>77</v>
      </c>
      <c r="W958" s="58">
        <v>43316</v>
      </c>
      <c r="X958" s="59">
        <v>0.36249999999999999</v>
      </c>
      <c r="Y958" s="59">
        <v>0.40416666666666662</v>
      </c>
      <c r="Z958" s="59">
        <v>4.1666666666666664E-2</v>
      </c>
      <c r="AA958">
        <v>0</v>
      </c>
      <c r="AB958">
        <v>0.62839999999999996</v>
      </c>
      <c r="AC958">
        <v>23</v>
      </c>
      <c r="AD958">
        <v>10.5</v>
      </c>
      <c r="AE958" s="59">
        <v>0.36249999999999999</v>
      </c>
      <c r="AF958" s="59">
        <v>0.40347222222222223</v>
      </c>
      <c r="AG958">
        <v>30</v>
      </c>
    </row>
    <row r="959" spans="1:33" x14ac:dyDescent="0.25">
      <c r="A959" t="s">
        <v>274</v>
      </c>
      <c r="B959" t="s">
        <v>321</v>
      </c>
      <c r="C959" t="s">
        <v>322</v>
      </c>
      <c r="D959" t="s">
        <v>323</v>
      </c>
      <c r="E959" t="s">
        <v>324</v>
      </c>
      <c r="F959" t="s">
        <v>134</v>
      </c>
      <c r="H959" t="s">
        <v>184</v>
      </c>
      <c r="I959" t="s">
        <v>147</v>
      </c>
      <c r="J959" t="s">
        <v>266</v>
      </c>
      <c r="K959" t="s">
        <v>394</v>
      </c>
      <c r="L959" t="s">
        <v>395</v>
      </c>
      <c r="N959" t="s">
        <v>359</v>
      </c>
      <c r="O959" t="s">
        <v>134</v>
      </c>
      <c r="Q959" t="s">
        <v>207</v>
      </c>
      <c r="R959" t="s">
        <v>185</v>
      </c>
      <c r="S959" t="s">
        <v>128</v>
      </c>
      <c r="T959" t="s">
        <v>181</v>
      </c>
      <c r="U959" t="s">
        <v>151</v>
      </c>
      <c r="V959" t="s">
        <v>77</v>
      </c>
      <c r="W959" s="58">
        <v>43316</v>
      </c>
      <c r="X959" s="59">
        <v>0.41666666666666669</v>
      </c>
      <c r="Y959" s="59">
        <v>0.45833333333333331</v>
      </c>
      <c r="Z959" s="59">
        <v>4.1666666666666664E-2</v>
      </c>
      <c r="AA959">
        <v>0</v>
      </c>
      <c r="AB959">
        <v>3.8033999999999999</v>
      </c>
      <c r="AC959">
        <v>20</v>
      </c>
      <c r="AD959">
        <v>10.5</v>
      </c>
      <c r="AE959" s="59">
        <v>0.41666666666666669</v>
      </c>
      <c r="AF959" s="59">
        <v>0.45763888888888887</v>
      </c>
      <c r="AG959">
        <v>30</v>
      </c>
    </row>
    <row r="960" spans="1:33" x14ac:dyDescent="0.25">
      <c r="A960" t="s">
        <v>274</v>
      </c>
      <c r="B960" t="s">
        <v>321</v>
      </c>
      <c r="C960" t="s">
        <v>322</v>
      </c>
      <c r="D960" t="s">
        <v>323</v>
      </c>
      <c r="E960" t="s">
        <v>324</v>
      </c>
      <c r="F960" t="s">
        <v>134</v>
      </c>
      <c r="H960" t="s">
        <v>184</v>
      </c>
      <c r="I960" t="s">
        <v>147</v>
      </c>
      <c r="J960" t="s">
        <v>266</v>
      </c>
      <c r="K960" t="s">
        <v>394</v>
      </c>
      <c r="L960" t="s">
        <v>395</v>
      </c>
      <c r="N960" t="s">
        <v>359</v>
      </c>
      <c r="O960" t="s">
        <v>134</v>
      </c>
      <c r="Q960" t="s">
        <v>207</v>
      </c>
      <c r="R960" t="s">
        <v>185</v>
      </c>
      <c r="S960" t="s">
        <v>128</v>
      </c>
      <c r="T960" t="s">
        <v>181</v>
      </c>
      <c r="U960" t="s">
        <v>151</v>
      </c>
      <c r="V960" t="s">
        <v>77</v>
      </c>
      <c r="W960" s="58">
        <v>43316</v>
      </c>
      <c r="X960" s="59">
        <v>0.8125</v>
      </c>
      <c r="Y960" s="59">
        <v>0.84375</v>
      </c>
      <c r="Z960" s="59">
        <v>3.125E-2</v>
      </c>
      <c r="AA960">
        <v>0</v>
      </c>
      <c r="AC960">
        <v>15</v>
      </c>
      <c r="AD960">
        <v>7.875</v>
      </c>
      <c r="AE960" s="59">
        <v>0.8125</v>
      </c>
      <c r="AF960" s="59">
        <v>0.84305555555555556</v>
      </c>
      <c r="AG960">
        <v>30</v>
      </c>
    </row>
    <row r="961" spans="1:33" x14ac:dyDescent="0.25">
      <c r="A961" t="s">
        <v>274</v>
      </c>
      <c r="B961" t="s">
        <v>328</v>
      </c>
      <c r="C961" t="s">
        <v>329</v>
      </c>
      <c r="D961">
        <v>5</v>
      </c>
      <c r="E961" t="s">
        <v>330</v>
      </c>
      <c r="F961" t="s">
        <v>134</v>
      </c>
      <c r="G961" t="s">
        <v>218</v>
      </c>
      <c r="H961" t="s">
        <v>188</v>
      </c>
      <c r="I961" t="s">
        <v>189</v>
      </c>
      <c r="J961" t="s">
        <v>266</v>
      </c>
      <c r="K961" t="s">
        <v>394</v>
      </c>
      <c r="L961" t="s">
        <v>395</v>
      </c>
      <c r="N961" t="s">
        <v>359</v>
      </c>
      <c r="O961" t="s">
        <v>134</v>
      </c>
      <c r="Q961" t="s">
        <v>207</v>
      </c>
      <c r="R961" t="s">
        <v>190</v>
      </c>
      <c r="S961" t="s">
        <v>128</v>
      </c>
      <c r="T961" t="s">
        <v>181</v>
      </c>
      <c r="U961" t="s">
        <v>151</v>
      </c>
      <c r="V961" t="s">
        <v>73</v>
      </c>
      <c r="W961" s="58">
        <v>43319</v>
      </c>
      <c r="X961" s="59">
        <v>0.33333333333333331</v>
      </c>
      <c r="Y961" s="59">
        <v>0.5</v>
      </c>
      <c r="Z961" s="59">
        <v>0.16666666666666666</v>
      </c>
      <c r="AA961">
        <v>0</v>
      </c>
      <c r="AC961">
        <v>80</v>
      </c>
      <c r="AD961">
        <v>38</v>
      </c>
      <c r="AE961" s="59">
        <v>0.33333333333333331</v>
      </c>
      <c r="AF961" s="59">
        <v>0.4993055555555555</v>
      </c>
      <c r="AG961">
        <v>30</v>
      </c>
    </row>
    <row r="962" spans="1:33" x14ac:dyDescent="0.25">
      <c r="A962" t="s">
        <v>274</v>
      </c>
      <c r="B962" t="s">
        <v>275</v>
      </c>
      <c r="C962" t="s">
        <v>276</v>
      </c>
      <c r="E962" t="s">
        <v>277</v>
      </c>
      <c r="F962" t="s">
        <v>134</v>
      </c>
      <c r="H962" t="s">
        <v>141</v>
      </c>
      <c r="I962" t="s">
        <v>142</v>
      </c>
      <c r="J962" t="s">
        <v>266</v>
      </c>
      <c r="K962" t="s">
        <v>394</v>
      </c>
      <c r="L962" t="s">
        <v>395</v>
      </c>
      <c r="N962" t="s">
        <v>359</v>
      </c>
      <c r="O962" t="s">
        <v>134</v>
      </c>
      <c r="Q962" t="s">
        <v>207</v>
      </c>
      <c r="R962" t="s">
        <v>143</v>
      </c>
      <c r="S962" t="s">
        <v>128</v>
      </c>
      <c r="T962" t="s">
        <v>181</v>
      </c>
      <c r="U962" t="s">
        <v>129</v>
      </c>
      <c r="V962" t="s">
        <v>73</v>
      </c>
      <c r="W962" s="58">
        <v>43319</v>
      </c>
      <c r="X962" s="59">
        <v>0.65625</v>
      </c>
      <c r="Y962" s="59">
        <v>0.73958333333333337</v>
      </c>
      <c r="Z962" s="59">
        <v>8.3333333333333329E-2</v>
      </c>
      <c r="AA962">
        <v>0</v>
      </c>
      <c r="AC962">
        <v>46</v>
      </c>
      <c r="AD962">
        <v>19</v>
      </c>
      <c r="AE962" s="59">
        <v>0.65625</v>
      </c>
      <c r="AF962" s="59">
        <v>0.73888888888888893</v>
      </c>
      <c r="AG962">
        <v>30</v>
      </c>
    </row>
    <row r="963" spans="1:33" x14ac:dyDescent="0.25">
      <c r="A963" t="s">
        <v>258</v>
      </c>
      <c r="B963" t="s">
        <v>325</v>
      </c>
      <c r="C963" t="s">
        <v>326</v>
      </c>
      <c r="E963" t="s">
        <v>327</v>
      </c>
      <c r="F963" t="s">
        <v>134</v>
      </c>
      <c r="H963" t="s">
        <v>182</v>
      </c>
      <c r="I963" t="s">
        <v>147</v>
      </c>
      <c r="J963" t="s">
        <v>266</v>
      </c>
      <c r="K963" t="s">
        <v>394</v>
      </c>
      <c r="L963" t="s">
        <v>395</v>
      </c>
      <c r="N963" t="s">
        <v>359</v>
      </c>
      <c r="O963" t="s">
        <v>134</v>
      </c>
      <c r="Q963" t="s">
        <v>207</v>
      </c>
      <c r="R963" t="s">
        <v>183</v>
      </c>
      <c r="S963" t="s">
        <v>128</v>
      </c>
      <c r="T963" t="s">
        <v>181</v>
      </c>
      <c r="U963" t="s">
        <v>129</v>
      </c>
      <c r="V963" t="s">
        <v>74</v>
      </c>
      <c r="W963" s="58">
        <v>43320</v>
      </c>
      <c r="X963" s="59">
        <v>0.36458333333333331</v>
      </c>
      <c r="Y963" s="59">
        <v>0.40625</v>
      </c>
      <c r="Z963" s="59">
        <v>4.1666666666666664E-2</v>
      </c>
      <c r="AA963">
        <v>11</v>
      </c>
      <c r="AC963">
        <v>23</v>
      </c>
      <c r="AD963">
        <v>9.5</v>
      </c>
      <c r="AE963" s="59">
        <v>0.36458333333333331</v>
      </c>
      <c r="AF963" s="59">
        <v>0.4055555555555555</v>
      </c>
      <c r="AG963">
        <v>30</v>
      </c>
    </row>
    <row r="964" spans="1:33" x14ac:dyDescent="0.25">
      <c r="A964" t="s">
        <v>274</v>
      </c>
      <c r="B964" t="s">
        <v>321</v>
      </c>
      <c r="C964" t="s">
        <v>322</v>
      </c>
      <c r="D964" t="s">
        <v>323</v>
      </c>
      <c r="E964" t="s">
        <v>324</v>
      </c>
      <c r="F964" t="s">
        <v>134</v>
      </c>
      <c r="H964" t="s">
        <v>184</v>
      </c>
      <c r="I964" t="s">
        <v>147</v>
      </c>
      <c r="J964" t="s">
        <v>266</v>
      </c>
      <c r="K964" t="s">
        <v>394</v>
      </c>
      <c r="L964" t="s">
        <v>395</v>
      </c>
      <c r="N964" t="s">
        <v>359</v>
      </c>
      <c r="O964" t="s">
        <v>134</v>
      </c>
      <c r="Q964" t="s">
        <v>207</v>
      </c>
      <c r="R964" t="s">
        <v>185</v>
      </c>
      <c r="S964" t="s">
        <v>128</v>
      </c>
      <c r="T964" t="s">
        <v>181</v>
      </c>
      <c r="U964" t="s">
        <v>151</v>
      </c>
      <c r="V964" t="s">
        <v>74</v>
      </c>
      <c r="W964" s="58">
        <v>43320</v>
      </c>
      <c r="X964" s="59">
        <v>0.41666666666666669</v>
      </c>
      <c r="Y964" s="59">
        <v>0.45833333333333331</v>
      </c>
      <c r="Z964" s="59">
        <v>4.1666666666666664E-2</v>
      </c>
      <c r="AA964">
        <v>4</v>
      </c>
      <c r="AB964">
        <v>2.2181999999999999</v>
      </c>
      <c r="AC964">
        <v>20</v>
      </c>
      <c r="AD964">
        <v>9.5</v>
      </c>
      <c r="AE964" s="59">
        <v>0.41666666666666669</v>
      </c>
      <c r="AF964" s="59">
        <v>0.45763888888888887</v>
      </c>
      <c r="AG964">
        <v>30</v>
      </c>
    </row>
    <row r="965" spans="1:33" x14ac:dyDescent="0.25">
      <c r="A965" t="s">
        <v>274</v>
      </c>
      <c r="B965" t="s">
        <v>336</v>
      </c>
      <c r="C965" t="s">
        <v>337</v>
      </c>
      <c r="E965" t="s">
        <v>338</v>
      </c>
      <c r="F965" t="s">
        <v>134</v>
      </c>
      <c r="H965" t="s">
        <v>186</v>
      </c>
      <c r="I965" t="s">
        <v>147</v>
      </c>
      <c r="J965" t="s">
        <v>266</v>
      </c>
      <c r="K965" t="s">
        <v>394</v>
      </c>
      <c r="L965" t="s">
        <v>395</v>
      </c>
      <c r="N965" t="s">
        <v>359</v>
      </c>
      <c r="O965" t="s">
        <v>134</v>
      </c>
      <c r="Q965" t="s">
        <v>207</v>
      </c>
      <c r="R965" t="s">
        <v>187</v>
      </c>
      <c r="S965" t="s">
        <v>128</v>
      </c>
      <c r="T965" t="s">
        <v>181</v>
      </c>
      <c r="U965" t="s">
        <v>151</v>
      </c>
      <c r="V965" t="s">
        <v>74</v>
      </c>
      <c r="W965" s="58">
        <v>43320</v>
      </c>
      <c r="X965" s="59">
        <v>0.46875</v>
      </c>
      <c r="Y965" s="59">
        <v>0.55208333333333337</v>
      </c>
      <c r="Z965" s="59">
        <v>8.3333333333333329E-2</v>
      </c>
      <c r="AA965">
        <v>0</v>
      </c>
      <c r="AB965">
        <v>0.79659999999999997</v>
      </c>
      <c r="AC965">
        <v>40</v>
      </c>
      <c r="AD965">
        <v>19</v>
      </c>
      <c r="AE965" s="59">
        <v>0.46875</v>
      </c>
      <c r="AF965" s="59">
        <v>0.55138888888888882</v>
      </c>
      <c r="AG965">
        <v>30</v>
      </c>
    </row>
    <row r="966" spans="1:33" x14ac:dyDescent="0.25">
      <c r="A966" t="s">
        <v>258</v>
      </c>
      <c r="B966" t="s">
        <v>325</v>
      </c>
      <c r="C966" t="s">
        <v>326</v>
      </c>
      <c r="E966" t="s">
        <v>327</v>
      </c>
      <c r="F966" t="s">
        <v>134</v>
      </c>
      <c r="H966" t="s">
        <v>182</v>
      </c>
      <c r="I966" t="s">
        <v>147</v>
      </c>
      <c r="J966" t="s">
        <v>266</v>
      </c>
      <c r="K966" t="s">
        <v>394</v>
      </c>
      <c r="L966" t="s">
        <v>395</v>
      </c>
      <c r="N966" t="s">
        <v>359</v>
      </c>
      <c r="O966" t="s">
        <v>134</v>
      </c>
      <c r="Q966" t="s">
        <v>207</v>
      </c>
      <c r="R966" t="s">
        <v>183</v>
      </c>
      <c r="S966" t="s">
        <v>128</v>
      </c>
      <c r="T966" t="s">
        <v>181</v>
      </c>
      <c r="U966" t="s">
        <v>129</v>
      </c>
      <c r="V966" t="s">
        <v>77</v>
      </c>
      <c r="W966" s="58">
        <v>43323</v>
      </c>
      <c r="X966" s="59">
        <v>0.36458333333333331</v>
      </c>
      <c r="Y966" s="59">
        <v>0.40625</v>
      </c>
      <c r="Z966" s="59">
        <v>4.1666666666666664E-2</v>
      </c>
      <c r="AA966">
        <v>0</v>
      </c>
      <c r="AC966">
        <v>23</v>
      </c>
      <c r="AD966">
        <v>10.5</v>
      </c>
      <c r="AE966" s="59">
        <v>0.36458333333333331</v>
      </c>
      <c r="AF966" s="59">
        <v>0.4055555555555555</v>
      </c>
      <c r="AG966">
        <v>30</v>
      </c>
    </row>
    <row r="967" spans="1:33" x14ac:dyDescent="0.25">
      <c r="A967" t="s">
        <v>274</v>
      </c>
      <c r="B967" t="s">
        <v>321</v>
      </c>
      <c r="C967" t="s">
        <v>322</v>
      </c>
      <c r="D967" t="s">
        <v>323</v>
      </c>
      <c r="E967" t="s">
        <v>324</v>
      </c>
      <c r="F967" t="s">
        <v>134</v>
      </c>
      <c r="H967" t="s">
        <v>184</v>
      </c>
      <c r="I967" t="s">
        <v>147</v>
      </c>
      <c r="J967" t="s">
        <v>266</v>
      </c>
      <c r="K967" t="s">
        <v>394</v>
      </c>
      <c r="L967" t="s">
        <v>395</v>
      </c>
      <c r="N967" t="s">
        <v>359</v>
      </c>
      <c r="O967" t="s">
        <v>134</v>
      </c>
      <c r="Q967" t="s">
        <v>207</v>
      </c>
      <c r="R967" t="s">
        <v>185</v>
      </c>
      <c r="S967" t="s">
        <v>128</v>
      </c>
      <c r="T967" t="s">
        <v>181</v>
      </c>
      <c r="U967" t="s">
        <v>151</v>
      </c>
      <c r="V967" t="s">
        <v>77</v>
      </c>
      <c r="W967" s="58">
        <v>43323</v>
      </c>
      <c r="X967" s="59">
        <v>0.41666666666666669</v>
      </c>
      <c r="Y967" s="59">
        <v>0.45833333333333331</v>
      </c>
      <c r="Z967" s="59">
        <v>4.1666666666666664E-2</v>
      </c>
      <c r="AA967">
        <v>0</v>
      </c>
      <c r="AB967">
        <v>2.2181999999999999</v>
      </c>
      <c r="AC967">
        <v>20</v>
      </c>
      <c r="AD967">
        <v>10.5</v>
      </c>
      <c r="AE967" s="59">
        <v>0.41666666666666669</v>
      </c>
      <c r="AF967" s="59">
        <v>0.45763888888888887</v>
      </c>
      <c r="AG967">
        <v>30</v>
      </c>
    </row>
    <row r="968" spans="1:33" x14ac:dyDescent="0.25">
      <c r="A968" t="s">
        <v>258</v>
      </c>
      <c r="B968" t="s">
        <v>325</v>
      </c>
      <c r="C968" t="s">
        <v>326</v>
      </c>
      <c r="E968" t="s">
        <v>327</v>
      </c>
      <c r="F968" t="s">
        <v>134</v>
      </c>
      <c r="H968" t="s">
        <v>182</v>
      </c>
      <c r="I968" t="s">
        <v>147</v>
      </c>
      <c r="J968" t="s">
        <v>266</v>
      </c>
      <c r="K968" t="s">
        <v>394</v>
      </c>
      <c r="L968" t="s">
        <v>395</v>
      </c>
      <c r="N968" t="s">
        <v>359</v>
      </c>
      <c r="O968" t="s">
        <v>134</v>
      </c>
      <c r="Q968" t="s">
        <v>207</v>
      </c>
      <c r="R968" t="s">
        <v>183</v>
      </c>
      <c r="S968" t="s">
        <v>128</v>
      </c>
      <c r="T968" t="s">
        <v>181</v>
      </c>
      <c r="U968" t="s">
        <v>129</v>
      </c>
      <c r="V968" t="s">
        <v>77</v>
      </c>
      <c r="W968" s="58">
        <v>43323</v>
      </c>
      <c r="X968" s="59">
        <v>0.5</v>
      </c>
      <c r="Y968" s="59">
        <v>0.54166666666666663</v>
      </c>
      <c r="Z968" s="59">
        <v>4.1666666666666664E-2</v>
      </c>
      <c r="AA968">
        <v>0</v>
      </c>
      <c r="AB968">
        <v>2.2181999999999999</v>
      </c>
      <c r="AC968">
        <v>23</v>
      </c>
      <c r="AD968">
        <v>10.5</v>
      </c>
      <c r="AE968" s="59">
        <v>0.5</v>
      </c>
      <c r="AF968" s="59">
        <v>0.54097222222222219</v>
      </c>
      <c r="AG968">
        <v>30</v>
      </c>
    </row>
    <row r="969" spans="1:33" x14ac:dyDescent="0.25">
      <c r="A969" t="s">
        <v>274</v>
      </c>
      <c r="B969" t="s">
        <v>321</v>
      </c>
      <c r="C969" t="s">
        <v>322</v>
      </c>
      <c r="D969" t="s">
        <v>323</v>
      </c>
      <c r="E969" t="s">
        <v>324</v>
      </c>
      <c r="F969" t="s">
        <v>134</v>
      </c>
      <c r="H969" t="s">
        <v>184</v>
      </c>
      <c r="I969" t="s">
        <v>147</v>
      </c>
      <c r="J969" t="s">
        <v>266</v>
      </c>
      <c r="K969" t="s">
        <v>394</v>
      </c>
      <c r="L969" t="s">
        <v>395</v>
      </c>
      <c r="N969" t="s">
        <v>359</v>
      </c>
      <c r="O969" t="s">
        <v>134</v>
      </c>
      <c r="Q969" t="s">
        <v>207</v>
      </c>
      <c r="R969" t="s">
        <v>185</v>
      </c>
      <c r="S969" t="s">
        <v>128</v>
      </c>
      <c r="T969" t="s">
        <v>181</v>
      </c>
      <c r="U969" t="s">
        <v>151</v>
      </c>
      <c r="V969" t="s">
        <v>77</v>
      </c>
      <c r="W969" s="58">
        <v>43323</v>
      </c>
      <c r="X969" s="59">
        <v>0.83333333333333337</v>
      </c>
      <c r="Y969" s="59">
        <v>0.86458333333333337</v>
      </c>
      <c r="Z969" s="59">
        <v>3.125E-2</v>
      </c>
      <c r="AA969">
        <v>0</v>
      </c>
      <c r="AC969">
        <v>15</v>
      </c>
      <c r="AD969">
        <v>7.875</v>
      </c>
      <c r="AE969" s="59">
        <v>0.83333333333333337</v>
      </c>
      <c r="AF969" s="59">
        <v>0.86388888888888893</v>
      </c>
      <c r="AG969">
        <v>30</v>
      </c>
    </row>
    <row r="970" spans="1:33" x14ac:dyDescent="0.25">
      <c r="A970" t="s">
        <v>258</v>
      </c>
      <c r="B970" t="s">
        <v>314</v>
      </c>
      <c r="C970" t="s">
        <v>315</v>
      </c>
      <c r="D970">
        <v>72</v>
      </c>
      <c r="E970" t="s">
        <v>316</v>
      </c>
      <c r="F970" t="s">
        <v>317</v>
      </c>
      <c r="G970" t="s">
        <v>218</v>
      </c>
      <c r="H970" t="s">
        <v>168</v>
      </c>
      <c r="I970" t="s">
        <v>169</v>
      </c>
      <c r="J970" t="s">
        <v>266</v>
      </c>
      <c r="K970" t="s">
        <v>394</v>
      </c>
      <c r="L970" t="s">
        <v>395</v>
      </c>
      <c r="N970" t="s">
        <v>359</v>
      </c>
      <c r="O970" t="s">
        <v>134</v>
      </c>
      <c r="Q970" t="s">
        <v>207</v>
      </c>
      <c r="R970" t="s">
        <v>170</v>
      </c>
      <c r="S970" t="s">
        <v>128</v>
      </c>
      <c r="T970" t="s">
        <v>181</v>
      </c>
      <c r="U970" t="s">
        <v>129</v>
      </c>
      <c r="V970" t="s">
        <v>71</v>
      </c>
      <c r="W970" s="58">
        <v>43324</v>
      </c>
      <c r="X970" s="59">
        <v>0.33333333333333331</v>
      </c>
      <c r="Y970" s="59">
        <v>0.35416666666666669</v>
      </c>
      <c r="Z970" s="59">
        <v>2.0833333333333332E-2</v>
      </c>
      <c r="AA970">
        <v>0</v>
      </c>
      <c r="AC970">
        <v>11.5</v>
      </c>
      <c r="AD970">
        <v>5.25</v>
      </c>
      <c r="AE970" s="59">
        <v>0.33333333333333331</v>
      </c>
      <c r="AF970" s="59">
        <v>0.35347222222222219</v>
      </c>
      <c r="AG970">
        <v>30</v>
      </c>
    </row>
    <row r="971" spans="1:33" x14ac:dyDescent="0.25">
      <c r="A971" t="s">
        <v>258</v>
      </c>
      <c r="B971" t="s">
        <v>325</v>
      </c>
      <c r="C971" t="s">
        <v>326</v>
      </c>
      <c r="E971" t="s">
        <v>327</v>
      </c>
      <c r="F971" t="s">
        <v>134</v>
      </c>
      <c r="H971" t="s">
        <v>182</v>
      </c>
      <c r="I971" t="s">
        <v>147</v>
      </c>
      <c r="J971" t="s">
        <v>266</v>
      </c>
      <c r="K971" t="s">
        <v>394</v>
      </c>
      <c r="L971" t="s">
        <v>395</v>
      </c>
      <c r="N971" t="s">
        <v>359</v>
      </c>
      <c r="O971" t="s">
        <v>134</v>
      </c>
      <c r="Q971" t="s">
        <v>207</v>
      </c>
      <c r="R971" t="s">
        <v>183</v>
      </c>
      <c r="S971" t="s">
        <v>128</v>
      </c>
      <c r="T971" t="s">
        <v>181</v>
      </c>
      <c r="U971" t="s">
        <v>129</v>
      </c>
      <c r="V971" t="s">
        <v>71</v>
      </c>
      <c r="W971" s="58">
        <v>43324</v>
      </c>
      <c r="X971" s="59">
        <v>0.36458333333333331</v>
      </c>
      <c r="Y971" s="59">
        <v>0.40625</v>
      </c>
      <c r="Z971" s="59">
        <v>4.1666666666666664E-2</v>
      </c>
      <c r="AA971">
        <v>0</v>
      </c>
      <c r="AB971">
        <v>3.7126000000000001</v>
      </c>
      <c r="AC971">
        <v>23</v>
      </c>
      <c r="AD971">
        <v>10.5</v>
      </c>
      <c r="AE971" s="59">
        <v>0.36458333333333331</v>
      </c>
      <c r="AF971" s="59">
        <v>0.4055555555555555</v>
      </c>
      <c r="AG971">
        <v>30</v>
      </c>
    </row>
    <row r="972" spans="1:33" x14ac:dyDescent="0.25">
      <c r="A972" t="s">
        <v>274</v>
      </c>
      <c r="B972" t="s">
        <v>321</v>
      </c>
      <c r="C972" t="s">
        <v>322</v>
      </c>
      <c r="D972" t="s">
        <v>323</v>
      </c>
      <c r="E972" t="s">
        <v>324</v>
      </c>
      <c r="F972" t="s">
        <v>134</v>
      </c>
      <c r="H972" t="s">
        <v>184</v>
      </c>
      <c r="I972" t="s">
        <v>147</v>
      </c>
      <c r="J972" t="s">
        <v>266</v>
      </c>
      <c r="K972" t="s">
        <v>394</v>
      </c>
      <c r="L972" t="s">
        <v>395</v>
      </c>
      <c r="N972" t="s">
        <v>359</v>
      </c>
      <c r="O972" t="s">
        <v>134</v>
      </c>
      <c r="Q972" t="s">
        <v>207</v>
      </c>
      <c r="R972" t="s">
        <v>185</v>
      </c>
      <c r="S972" t="s">
        <v>128</v>
      </c>
      <c r="T972" t="s">
        <v>181</v>
      </c>
      <c r="U972" t="s">
        <v>151</v>
      </c>
      <c r="V972" t="s">
        <v>71</v>
      </c>
      <c r="W972" s="58">
        <v>43324</v>
      </c>
      <c r="X972" s="59">
        <v>0.41666666666666669</v>
      </c>
      <c r="Y972" s="59">
        <v>0.45833333333333331</v>
      </c>
      <c r="Z972" s="59">
        <v>4.1666666666666664E-2</v>
      </c>
      <c r="AA972">
        <v>0</v>
      </c>
      <c r="AB972">
        <v>2.2181999999999999</v>
      </c>
      <c r="AC972">
        <v>20</v>
      </c>
      <c r="AD972">
        <v>10.5</v>
      </c>
      <c r="AE972" s="59">
        <v>0.41666666666666669</v>
      </c>
      <c r="AF972" s="59">
        <v>0.45763888888888887</v>
      </c>
      <c r="AG972">
        <v>30</v>
      </c>
    </row>
    <row r="973" spans="1:33" x14ac:dyDescent="0.25">
      <c r="A973" t="s">
        <v>258</v>
      </c>
      <c r="B973" t="s">
        <v>299</v>
      </c>
      <c r="C973" t="s">
        <v>300</v>
      </c>
      <c r="D973" t="s">
        <v>301</v>
      </c>
      <c r="E973" t="s">
        <v>302</v>
      </c>
      <c r="F973" t="s">
        <v>303</v>
      </c>
      <c r="H973" t="s">
        <v>166</v>
      </c>
      <c r="I973" t="s">
        <v>142</v>
      </c>
      <c r="J973" t="s">
        <v>266</v>
      </c>
      <c r="K973" t="s">
        <v>394</v>
      </c>
      <c r="L973" t="s">
        <v>395</v>
      </c>
      <c r="N973" t="s">
        <v>359</v>
      </c>
      <c r="O973" t="s">
        <v>134</v>
      </c>
      <c r="Q973" t="s">
        <v>207</v>
      </c>
      <c r="R973" t="s">
        <v>167</v>
      </c>
      <c r="S973" t="s">
        <v>128</v>
      </c>
      <c r="T973" t="s">
        <v>181</v>
      </c>
      <c r="U973" t="s">
        <v>129</v>
      </c>
      <c r="V973" t="s">
        <v>73</v>
      </c>
      <c r="W973" s="58">
        <v>43326</v>
      </c>
      <c r="X973" s="59">
        <v>0.30208333333333331</v>
      </c>
      <c r="Y973" s="59">
        <v>0.34375</v>
      </c>
      <c r="Z973" s="59">
        <v>4.1666666666666664E-2</v>
      </c>
      <c r="AA973">
        <v>0</v>
      </c>
      <c r="AC973">
        <v>23</v>
      </c>
      <c r="AD973">
        <v>9.5</v>
      </c>
      <c r="AE973" s="59">
        <v>0.30208333333333331</v>
      </c>
      <c r="AF973" s="59">
        <v>0.3430555555555555</v>
      </c>
      <c r="AG973">
        <v>30</v>
      </c>
    </row>
    <row r="974" spans="1:33" x14ac:dyDescent="0.25">
      <c r="A974" t="s">
        <v>258</v>
      </c>
      <c r="B974" t="s">
        <v>325</v>
      </c>
      <c r="C974" t="s">
        <v>326</v>
      </c>
      <c r="E974" t="s">
        <v>327</v>
      </c>
      <c r="F974" t="s">
        <v>134</v>
      </c>
      <c r="H974" t="s">
        <v>182</v>
      </c>
      <c r="I974" t="s">
        <v>147</v>
      </c>
      <c r="J974" t="s">
        <v>266</v>
      </c>
      <c r="K974" t="s">
        <v>394</v>
      </c>
      <c r="L974" t="s">
        <v>395</v>
      </c>
      <c r="N974" t="s">
        <v>359</v>
      </c>
      <c r="O974" t="s">
        <v>134</v>
      </c>
      <c r="Q974" t="s">
        <v>207</v>
      </c>
      <c r="R974" t="s">
        <v>183</v>
      </c>
      <c r="S974" t="s">
        <v>128</v>
      </c>
      <c r="T974" t="s">
        <v>181</v>
      </c>
      <c r="U974" t="s">
        <v>129</v>
      </c>
      <c r="V974" t="s">
        <v>73</v>
      </c>
      <c r="W974" s="58">
        <v>43326</v>
      </c>
      <c r="X974" s="59">
        <v>0.36458333333333331</v>
      </c>
      <c r="Y974" s="59">
        <v>0.40625</v>
      </c>
      <c r="Z974" s="59">
        <v>4.1666666666666664E-2</v>
      </c>
      <c r="AA974">
        <v>0</v>
      </c>
      <c r="AB974">
        <v>8.2636000000000003</v>
      </c>
      <c r="AC974">
        <v>23</v>
      </c>
      <c r="AD974">
        <v>9.5</v>
      </c>
      <c r="AE974" s="59">
        <v>0.36458333333333331</v>
      </c>
      <c r="AF974" s="59">
        <v>0.4055555555555555</v>
      </c>
      <c r="AG974">
        <v>30</v>
      </c>
    </row>
    <row r="975" spans="1:33" x14ac:dyDescent="0.25">
      <c r="A975" t="s">
        <v>274</v>
      </c>
      <c r="B975" t="s">
        <v>321</v>
      </c>
      <c r="C975" t="s">
        <v>322</v>
      </c>
      <c r="D975" t="s">
        <v>323</v>
      </c>
      <c r="E975" t="s">
        <v>324</v>
      </c>
      <c r="F975" t="s">
        <v>134</v>
      </c>
      <c r="H975" t="s">
        <v>184</v>
      </c>
      <c r="I975" t="s">
        <v>147</v>
      </c>
      <c r="J975" t="s">
        <v>266</v>
      </c>
      <c r="K975" t="s">
        <v>394</v>
      </c>
      <c r="L975" t="s">
        <v>395</v>
      </c>
      <c r="N975" t="s">
        <v>359</v>
      </c>
      <c r="O975" t="s">
        <v>134</v>
      </c>
      <c r="Q975" t="s">
        <v>207</v>
      </c>
      <c r="R975" t="s">
        <v>185</v>
      </c>
      <c r="S975" t="s">
        <v>128</v>
      </c>
      <c r="T975" t="s">
        <v>181</v>
      </c>
      <c r="U975" t="s">
        <v>151</v>
      </c>
      <c r="V975" t="s">
        <v>73</v>
      </c>
      <c r="W975" s="58">
        <v>43326</v>
      </c>
      <c r="X975" s="59">
        <v>0.41666666666666669</v>
      </c>
      <c r="Y975" s="59">
        <v>0.45833333333333331</v>
      </c>
      <c r="Z975" s="59">
        <v>4.1666666666666664E-2</v>
      </c>
      <c r="AA975">
        <v>0</v>
      </c>
      <c r="AB975">
        <v>2.2181999999999999</v>
      </c>
      <c r="AC975">
        <v>20</v>
      </c>
      <c r="AD975">
        <v>9.5</v>
      </c>
      <c r="AE975" s="59">
        <v>0.41666666666666669</v>
      </c>
      <c r="AF975" s="59">
        <v>0.45763888888888887</v>
      </c>
      <c r="AG975">
        <v>30</v>
      </c>
    </row>
    <row r="976" spans="1:33" x14ac:dyDescent="0.25">
      <c r="A976" t="s">
        <v>258</v>
      </c>
      <c r="B976" t="s">
        <v>325</v>
      </c>
      <c r="C976" t="s">
        <v>326</v>
      </c>
      <c r="E976" t="s">
        <v>327</v>
      </c>
      <c r="F976" t="s">
        <v>134</v>
      </c>
      <c r="H976" t="s">
        <v>182</v>
      </c>
      <c r="I976" t="s">
        <v>147</v>
      </c>
      <c r="J976" t="s">
        <v>266</v>
      </c>
      <c r="K976" t="s">
        <v>394</v>
      </c>
      <c r="L976" t="s">
        <v>395</v>
      </c>
      <c r="N976" t="s">
        <v>359</v>
      </c>
      <c r="O976" t="s">
        <v>134</v>
      </c>
      <c r="Q976" t="s">
        <v>207</v>
      </c>
      <c r="R976" t="s">
        <v>183</v>
      </c>
      <c r="S976" t="s">
        <v>128</v>
      </c>
      <c r="T976" t="s">
        <v>181</v>
      </c>
      <c r="U976" t="s">
        <v>129</v>
      </c>
      <c r="V976" t="s">
        <v>73</v>
      </c>
      <c r="W976" s="58">
        <v>43326</v>
      </c>
      <c r="X976" s="59">
        <v>0.5</v>
      </c>
      <c r="Y976" s="59">
        <v>0.54166666666666663</v>
      </c>
      <c r="Z976" s="59">
        <v>4.1666666666666664E-2</v>
      </c>
      <c r="AA976">
        <v>0</v>
      </c>
      <c r="AB976">
        <v>2.2181999999999999</v>
      </c>
      <c r="AC976">
        <v>23</v>
      </c>
      <c r="AD976">
        <v>9.5</v>
      </c>
      <c r="AE976" s="59">
        <v>0.5</v>
      </c>
      <c r="AF976" s="59">
        <v>0.54097222222222219</v>
      </c>
      <c r="AG976">
        <v>30</v>
      </c>
    </row>
    <row r="977" spans="1:33" x14ac:dyDescent="0.25">
      <c r="A977" t="s">
        <v>258</v>
      </c>
      <c r="B977" t="s">
        <v>325</v>
      </c>
      <c r="C977" t="s">
        <v>326</v>
      </c>
      <c r="E977" t="s">
        <v>327</v>
      </c>
      <c r="F977" t="s">
        <v>134</v>
      </c>
      <c r="H977" t="s">
        <v>182</v>
      </c>
      <c r="I977" t="s">
        <v>147</v>
      </c>
      <c r="J977" t="s">
        <v>266</v>
      </c>
      <c r="K977" t="s">
        <v>394</v>
      </c>
      <c r="L977" t="s">
        <v>395</v>
      </c>
      <c r="N977" t="s">
        <v>359</v>
      </c>
      <c r="O977" t="s">
        <v>134</v>
      </c>
      <c r="Q977" t="s">
        <v>207</v>
      </c>
      <c r="R977" t="s">
        <v>183</v>
      </c>
      <c r="S977" t="s">
        <v>128</v>
      </c>
      <c r="T977" t="s">
        <v>181</v>
      </c>
      <c r="U977" t="s">
        <v>129</v>
      </c>
      <c r="V977" t="s">
        <v>74</v>
      </c>
      <c r="W977" s="58">
        <v>43327</v>
      </c>
      <c r="X977" s="59">
        <v>0.36458333333333331</v>
      </c>
      <c r="Y977" s="59">
        <v>0.40625</v>
      </c>
      <c r="Z977" s="59">
        <v>4.1666666666666664E-2</v>
      </c>
      <c r="AA977">
        <v>0</v>
      </c>
      <c r="AC977">
        <v>23</v>
      </c>
      <c r="AD977">
        <v>9.5</v>
      </c>
      <c r="AE977" s="59">
        <v>0.36458333333333331</v>
      </c>
      <c r="AF977" s="59">
        <v>0.4055555555555555</v>
      </c>
      <c r="AG977">
        <v>30</v>
      </c>
    </row>
    <row r="978" spans="1:33" x14ac:dyDescent="0.25">
      <c r="A978" t="s">
        <v>274</v>
      </c>
      <c r="B978" t="s">
        <v>321</v>
      </c>
      <c r="C978" t="s">
        <v>322</v>
      </c>
      <c r="D978" t="s">
        <v>323</v>
      </c>
      <c r="E978" t="s">
        <v>324</v>
      </c>
      <c r="F978" t="s">
        <v>134</v>
      </c>
      <c r="H978" t="s">
        <v>184</v>
      </c>
      <c r="I978" t="s">
        <v>147</v>
      </c>
      <c r="J978" t="s">
        <v>266</v>
      </c>
      <c r="K978" t="s">
        <v>394</v>
      </c>
      <c r="L978" t="s">
        <v>395</v>
      </c>
      <c r="N978" t="s">
        <v>359</v>
      </c>
      <c r="O978" t="s">
        <v>134</v>
      </c>
      <c r="Q978" t="s">
        <v>207</v>
      </c>
      <c r="R978" t="s">
        <v>185</v>
      </c>
      <c r="S978" t="s">
        <v>128</v>
      </c>
      <c r="T978" t="s">
        <v>181</v>
      </c>
      <c r="U978" t="s">
        <v>151</v>
      </c>
      <c r="V978" t="s">
        <v>74</v>
      </c>
      <c r="W978" s="58">
        <v>43327</v>
      </c>
      <c r="X978" s="59">
        <v>0.41666666666666669</v>
      </c>
      <c r="Y978" s="59">
        <v>0.45833333333333331</v>
      </c>
      <c r="Z978" s="59">
        <v>4.1666666666666664E-2</v>
      </c>
      <c r="AA978">
        <v>0</v>
      </c>
      <c r="AB978">
        <v>2.2181999999999999</v>
      </c>
      <c r="AC978">
        <v>20</v>
      </c>
      <c r="AD978">
        <v>9.5</v>
      </c>
      <c r="AE978" s="59">
        <v>0.41666666666666669</v>
      </c>
      <c r="AF978" s="59">
        <v>0.45763888888888887</v>
      </c>
      <c r="AG978">
        <v>30</v>
      </c>
    </row>
    <row r="979" spans="1:33" x14ac:dyDescent="0.25">
      <c r="A979" t="s">
        <v>258</v>
      </c>
      <c r="B979" t="s">
        <v>325</v>
      </c>
      <c r="C979" t="s">
        <v>326</v>
      </c>
      <c r="E979" t="s">
        <v>327</v>
      </c>
      <c r="F979" t="s">
        <v>134</v>
      </c>
      <c r="H979" t="s">
        <v>182</v>
      </c>
      <c r="I979" t="s">
        <v>147</v>
      </c>
      <c r="J979" t="s">
        <v>266</v>
      </c>
      <c r="K979" t="s">
        <v>394</v>
      </c>
      <c r="L979" t="s">
        <v>395</v>
      </c>
      <c r="N979" t="s">
        <v>359</v>
      </c>
      <c r="O979" t="s">
        <v>134</v>
      </c>
      <c r="Q979" t="s">
        <v>207</v>
      </c>
      <c r="R979" t="s">
        <v>183</v>
      </c>
      <c r="S979" t="s">
        <v>128</v>
      </c>
      <c r="T979" t="s">
        <v>181</v>
      </c>
      <c r="U979" t="s">
        <v>129</v>
      </c>
      <c r="V979" t="s">
        <v>74</v>
      </c>
      <c r="W979" s="58">
        <v>43327</v>
      </c>
      <c r="X979" s="59">
        <v>0.5</v>
      </c>
      <c r="Y979" s="59">
        <v>0.54166666666666663</v>
      </c>
      <c r="Z979" s="59">
        <v>4.1666666666666664E-2</v>
      </c>
      <c r="AA979">
        <v>0</v>
      </c>
      <c r="AB979">
        <v>2.2181999999999999</v>
      </c>
      <c r="AC979">
        <v>23</v>
      </c>
      <c r="AD979">
        <v>9.5</v>
      </c>
      <c r="AE979" s="59">
        <v>0.5</v>
      </c>
      <c r="AF979" s="59">
        <v>0.54097222222222219</v>
      </c>
      <c r="AG979">
        <v>30</v>
      </c>
    </row>
    <row r="980" spans="1:33" x14ac:dyDescent="0.25">
      <c r="B980" t="s">
        <v>307</v>
      </c>
      <c r="C980" t="s">
        <v>308</v>
      </c>
      <c r="D980" t="s">
        <v>309</v>
      </c>
      <c r="E980" t="s">
        <v>134</v>
      </c>
      <c r="H980" t="s">
        <v>171</v>
      </c>
      <c r="I980" t="s">
        <v>169</v>
      </c>
      <c r="J980" t="s">
        <v>266</v>
      </c>
      <c r="K980" t="s">
        <v>394</v>
      </c>
      <c r="L980" t="s">
        <v>395</v>
      </c>
      <c r="N980" t="s">
        <v>359</v>
      </c>
      <c r="O980" t="s">
        <v>134</v>
      </c>
      <c r="Q980" t="s">
        <v>207</v>
      </c>
      <c r="R980" t="s">
        <v>172</v>
      </c>
      <c r="S980" t="s">
        <v>128</v>
      </c>
      <c r="T980" t="s">
        <v>181</v>
      </c>
      <c r="U980" t="s">
        <v>129</v>
      </c>
      <c r="V980" t="s">
        <v>74</v>
      </c>
      <c r="W980" s="58">
        <v>43327</v>
      </c>
      <c r="X980" s="59">
        <v>0.66666666666666663</v>
      </c>
      <c r="Y980" s="59">
        <v>0.69791666666666663</v>
      </c>
      <c r="Z980" s="59">
        <v>3.125E-2</v>
      </c>
      <c r="AA980">
        <v>0</v>
      </c>
      <c r="AC980">
        <v>17.25</v>
      </c>
      <c r="AD980">
        <v>7.125</v>
      </c>
      <c r="AE980" s="59">
        <v>0.66666666666666663</v>
      </c>
      <c r="AF980" s="59">
        <v>0.6972222222222223</v>
      </c>
      <c r="AG980">
        <v>30</v>
      </c>
    </row>
    <row r="981" spans="1:33" x14ac:dyDescent="0.25">
      <c r="A981" t="s">
        <v>258</v>
      </c>
      <c r="B981" t="s">
        <v>314</v>
      </c>
      <c r="C981" t="s">
        <v>315</v>
      </c>
      <c r="D981">
        <v>72</v>
      </c>
      <c r="E981" t="s">
        <v>316</v>
      </c>
      <c r="F981" t="s">
        <v>317</v>
      </c>
      <c r="G981" t="s">
        <v>218</v>
      </c>
      <c r="H981" t="s">
        <v>168</v>
      </c>
      <c r="I981" t="s">
        <v>169</v>
      </c>
      <c r="J981" t="s">
        <v>266</v>
      </c>
      <c r="K981" t="s">
        <v>394</v>
      </c>
      <c r="L981" t="s">
        <v>395</v>
      </c>
      <c r="N981" t="s">
        <v>359</v>
      </c>
      <c r="O981" t="s">
        <v>134</v>
      </c>
      <c r="Q981" t="s">
        <v>207</v>
      </c>
      <c r="R981" t="s">
        <v>170</v>
      </c>
      <c r="S981" t="s">
        <v>128</v>
      </c>
      <c r="T981" t="s">
        <v>181</v>
      </c>
      <c r="U981" t="s">
        <v>129</v>
      </c>
      <c r="V981" t="s">
        <v>74</v>
      </c>
      <c r="W981" s="58">
        <v>43327</v>
      </c>
      <c r="X981" s="59">
        <v>0.70833333333333337</v>
      </c>
      <c r="Y981" s="59">
        <v>0.75</v>
      </c>
      <c r="Z981" s="59">
        <v>4.1666666666666664E-2</v>
      </c>
      <c r="AA981">
        <v>0</v>
      </c>
      <c r="AB981">
        <v>0.62839999999999996</v>
      </c>
      <c r="AC981">
        <v>23</v>
      </c>
      <c r="AD981">
        <v>9.5</v>
      </c>
      <c r="AE981" s="59">
        <v>0.70833333333333337</v>
      </c>
      <c r="AF981" s="59">
        <v>0.74930555555555556</v>
      </c>
      <c r="AG981">
        <v>30</v>
      </c>
    </row>
    <row r="982" spans="1:33" x14ac:dyDescent="0.25">
      <c r="A982" t="s">
        <v>274</v>
      </c>
      <c r="B982" t="s">
        <v>328</v>
      </c>
      <c r="C982" t="s">
        <v>329</v>
      </c>
      <c r="D982">
        <v>5</v>
      </c>
      <c r="E982" t="s">
        <v>330</v>
      </c>
      <c r="F982" t="s">
        <v>134</v>
      </c>
      <c r="G982" t="s">
        <v>218</v>
      </c>
      <c r="H982" t="s">
        <v>188</v>
      </c>
      <c r="I982" t="s">
        <v>189</v>
      </c>
      <c r="J982" t="s">
        <v>266</v>
      </c>
      <c r="K982" t="s">
        <v>394</v>
      </c>
      <c r="L982" t="s">
        <v>395</v>
      </c>
      <c r="N982" t="s">
        <v>359</v>
      </c>
      <c r="O982" t="s">
        <v>134</v>
      </c>
      <c r="Q982" t="s">
        <v>207</v>
      </c>
      <c r="R982" t="s">
        <v>190</v>
      </c>
      <c r="S982" t="s">
        <v>128</v>
      </c>
      <c r="T982" t="s">
        <v>181</v>
      </c>
      <c r="U982" t="s">
        <v>151</v>
      </c>
      <c r="V982" t="s">
        <v>75</v>
      </c>
      <c r="W982" s="58">
        <v>43328</v>
      </c>
      <c r="X982" s="59">
        <v>0.33333333333333331</v>
      </c>
      <c r="Y982" s="59">
        <v>0.5</v>
      </c>
      <c r="Z982" s="59">
        <v>0.16666666666666666</v>
      </c>
      <c r="AA982">
        <v>0</v>
      </c>
      <c r="AC982">
        <v>80</v>
      </c>
      <c r="AD982">
        <v>38</v>
      </c>
      <c r="AE982" s="59">
        <v>0.33333333333333331</v>
      </c>
      <c r="AF982" s="59">
        <v>0.4993055555555555</v>
      </c>
      <c r="AG982">
        <v>30</v>
      </c>
    </row>
    <row r="983" spans="1:33" x14ac:dyDescent="0.25">
      <c r="A983" t="s">
        <v>274</v>
      </c>
      <c r="B983" t="s">
        <v>328</v>
      </c>
      <c r="C983" t="s">
        <v>329</v>
      </c>
      <c r="D983">
        <v>5</v>
      </c>
      <c r="E983" t="s">
        <v>330</v>
      </c>
      <c r="F983" t="s">
        <v>134</v>
      </c>
      <c r="G983" t="s">
        <v>218</v>
      </c>
      <c r="H983" t="s">
        <v>188</v>
      </c>
      <c r="I983" t="s">
        <v>189</v>
      </c>
      <c r="J983" t="s">
        <v>266</v>
      </c>
      <c r="K983" t="s">
        <v>394</v>
      </c>
      <c r="L983" t="s">
        <v>395</v>
      </c>
      <c r="N983" t="s">
        <v>359</v>
      </c>
      <c r="O983" t="s">
        <v>134</v>
      </c>
      <c r="Q983" t="s">
        <v>207</v>
      </c>
      <c r="R983" t="s">
        <v>190</v>
      </c>
      <c r="S983" t="s">
        <v>128</v>
      </c>
      <c r="T983" t="s">
        <v>181</v>
      </c>
      <c r="U983" t="s">
        <v>151</v>
      </c>
      <c r="V983" t="s">
        <v>75</v>
      </c>
      <c r="W983" s="58">
        <v>43328</v>
      </c>
      <c r="X983" s="59">
        <v>0.5</v>
      </c>
      <c r="Y983" s="59">
        <v>0.75</v>
      </c>
      <c r="Z983" s="59">
        <v>0.25</v>
      </c>
      <c r="AA983">
        <v>0</v>
      </c>
      <c r="AB983">
        <v>0</v>
      </c>
      <c r="AC983">
        <v>120</v>
      </c>
      <c r="AD983">
        <v>57</v>
      </c>
      <c r="AE983" s="59">
        <v>0.5</v>
      </c>
      <c r="AF983" s="59">
        <v>0.74930555555555556</v>
      </c>
      <c r="AG983">
        <v>30</v>
      </c>
    </row>
    <row r="984" spans="1:33" x14ac:dyDescent="0.25">
      <c r="A984" t="s">
        <v>258</v>
      </c>
      <c r="B984" t="s">
        <v>325</v>
      </c>
      <c r="C984" t="s">
        <v>326</v>
      </c>
      <c r="E984" t="s">
        <v>327</v>
      </c>
      <c r="F984" t="s">
        <v>134</v>
      </c>
      <c r="H984" t="s">
        <v>182</v>
      </c>
      <c r="I984" t="s">
        <v>147</v>
      </c>
      <c r="J984" t="s">
        <v>266</v>
      </c>
      <c r="K984" t="s">
        <v>394</v>
      </c>
      <c r="L984" t="s">
        <v>395</v>
      </c>
      <c r="N984" t="s">
        <v>359</v>
      </c>
      <c r="O984" t="s">
        <v>134</v>
      </c>
      <c r="Q984" t="s">
        <v>207</v>
      </c>
      <c r="R984" t="s">
        <v>183</v>
      </c>
      <c r="S984" t="s">
        <v>128</v>
      </c>
      <c r="T984" t="s">
        <v>181</v>
      </c>
      <c r="U984" t="s">
        <v>129</v>
      </c>
      <c r="V984" t="s">
        <v>76</v>
      </c>
      <c r="W984" s="58">
        <v>43329</v>
      </c>
      <c r="X984" s="59">
        <v>0.36458333333333331</v>
      </c>
      <c r="Y984" s="59">
        <v>0.40625</v>
      </c>
      <c r="Z984" s="59">
        <v>4.1666666666666664E-2</v>
      </c>
      <c r="AA984">
        <v>0</v>
      </c>
      <c r="AC984">
        <v>23</v>
      </c>
      <c r="AD984">
        <v>9.5</v>
      </c>
      <c r="AE984" s="59">
        <v>0.36458333333333331</v>
      </c>
      <c r="AF984" s="59">
        <v>0.4055555555555555</v>
      </c>
      <c r="AG984">
        <v>30</v>
      </c>
    </row>
    <row r="985" spans="1:33" x14ac:dyDescent="0.25">
      <c r="A985" t="s">
        <v>274</v>
      </c>
      <c r="B985" t="s">
        <v>321</v>
      </c>
      <c r="C985" t="s">
        <v>322</v>
      </c>
      <c r="D985" t="s">
        <v>323</v>
      </c>
      <c r="E985" t="s">
        <v>324</v>
      </c>
      <c r="F985" t="s">
        <v>134</v>
      </c>
      <c r="H985" t="s">
        <v>184</v>
      </c>
      <c r="I985" t="s">
        <v>147</v>
      </c>
      <c r="J985" t="s">
        <v>266</v>
      </c>
      <c r="K985" t="s">
        <v>394</v>
      </c>
      <c r="L985" t="s">
        <v>395</v>
      </c>
      <c r="N985" t="s">
        <v>359</v>
      </c>
      <c r="O985" t="s">
        <v>134</v>
      </c>
      <c r="Q985" t="s">
        <v>207</v>
      </c>
      <c r="R985" t="s">
        <v>185</v>
      </c>
      <c r="S985" t="s">
        <v>128</v>
      </c>
      <c r="T985" t="s">
        <v>181</v>
      </c>
      <c r="U985" t="s">
        <v>151</v>
      </c>
      <c r="V985" t="s">
        <v>76</v>
      </c>
      <c r="W985" s="58">
        <v>43329</v>
      </c>
      <c r="X985" s="59">
        <v>0.41666666666666669</v>
      </c>
      <c r="Y985" s="59">
        <v>0.45833333333333331</v>
      </c>
      <c r="Z985" s="59">
        <v>4.1666666666666664E-2</v>
      </c>
      <c r="AA985">
        <v>0</v>
      </c>
      <c r="AB985">
        <v>2.2181999999999999</v>
      </c>
      <c r="AC985">
        <v>20</v>
      </c>
      <c r="AD985">
        <v>9.5</v>
      </c>
      <c r="AE985" s="59">
        <v>0.41666666666666669</v>
      </c>
      <c r="AF985" s="59">
        <v>0.45763888888888887</v>
      </c>
      <c r="AG985">
        <v>30</v>
      </c>
    </row>
    <row r="986" spans="1:33" x14ac:dyDescent="0.25">
      <c r="A986" t="s">
        <v>258</v>
      </c>
      <c r="B986" t="s">
        <v>325</v>
      </c>
      <c r="C986" t="s">
        <v>326</v>
      </c>
      <c r="E986" t="s">
        <v>327</v>
      </c>
      <c r="F986" t="s">
        <v>134</v>
      </c>
      <c r="H986" t="s">
        <v>182</v>
      </c>
      <c r="I986" t="s">
        <v>147</v>
      </c>
      <c r="J986" t="s">
        <v>266</v>
      </c>
      <c r="K986" t="s">
        <v>394</v>
      </c>
      <c r="L986" t="s">
        <v>395</v>
      </c>
      <c r="N986" t="s">
        <v>359</v>
      </c>
      <c r="O986" t="s">
        <v>134</v>
      </c>
      <c r="Q986" t="s">
        <v>207</v>
      </c>
      <c r="R986" t="s">
        <v>183</v>
      </c>
      <c r="S986" t="s">
        <v>128</v>
      </c>
      <c r="T986" t="s">
        <v>181</v>
      </c>
      <c r="U986" t="s">
        <v>129</v>
      </c>
      <c r="V986" t="s">
        <v>76</v>
      </c>
      <c r="W986" s="58">
        <v>43329</v>
      </c>
      <c r="X986" s="59">
        <v>0.5</v>
      </c>
      <c r="Y986" s="59">
        <v>0.54166666666666663</v>
      </c>
      <c r="Z986" s="59">
        <v>4.1666666666666664E-2</v>
      </c>
      <c r="AA986">
        <v>0</v>
      </c>
      <c r="AB986">
        <v>2.2181999999999999</v>
      </c>
      <c r="AC986">
        <v>23</v>
      </c>
      <c r="AD986">
        <v>9.5</v>
      </c>
      <c r="AE986" s="59">
        <v>0.5</v>
      </c>
      <c r="AF986" s="59">
        <v>0.54097222222222219</v>
      </c>
      <c r="AG986">
        <v>30</v>
      </c>
    </row>
    <row r="987" spans="1:33" x14ac:dyDescent="0.25">
      <c r="A987" t="s">
        <v>258</v>
      </c>
      <c r="B987" t="s">
        <v>270</v>
      </c>
      <c r="C987" t="s">
        <v>271</v>
      </c>
      <c r="D987" t="s">
        <v>272</v>
      </c>
      <c r="E987" t="s">
        <v>273</v>
      </c>
      <c r="F987" t="s">
        <v>134</v>
      </c>
      <c r="H987" t="s">
        <v>138</v>
      </c>
      <c r="I987" t="s">
        <v>139</v>
      </c>
      <c r="J987" t="s">
        <v>266</v>
      </c>
      <c r="K987" t="s">
        <v>394</v>
      </c>
      <c r="L987" t="s">
        <v>395</v>
      </c>
      <c r="N987" t="s">
        <v>359</v>
      </c>
      <c r="O987" t="s">
        <v>134</v>
      </c>
      <c r="Q987" t="s">
        <v>207</v>
      </c>
      <c r="R987" t="s">
        <v>140</v>
      </c>
      <c r="S987" t="s">
        <v>128</v>
      </c>
      <c r="T987" t="s">
        <v>181</v>
      </c>
      <c r="U987" t="s">
        <v>129</v>
      </c>
      <c r="V987" t="s">
        <v>76</v>
      </c>
      <c r="W987" s="58">
        <v>43329</v>
      </c>
      <c r="X987" s="59">
        <v>0.76041666666666663</v>
      </c>
      <c r="Y987" s="59">
        <v>0.80208333333333337</v>
      </c>
      <c r="Z987" s="59">
        <v>4.1666666666666664E-2</v>
      </c>
      <c r="AA987">
        <v>0</v>
      </c>
      <c r="AC987">
        <v>23</v>
      </c>
      <c r="AD987">
        <v>9.5</v>
      </c>
      <c r="AG987">
        <v>30</v>
      </c>
    </row>
    <row r="988" spans="1:33" x14ac:dyDescent="0.25">
      <c r="A988" t="s">
        <v>258</v>
      </c>
      <c r="B988" t="s">
        <v>314</v>
      </c>
      <c r="C988" t="s">
        <v>315</v>
      </c>
      <c r="D988">
        <v>72</v>
      </c>
      <c r="E988" t="s">
        <v>316</v>
      </c>
      <c r="F988" t="s">
        <v>317</v>
      </c>
      <c r="G988" t="s">
        <v>218</v>
      </c>
      <c r="H988" t="s">
        <v>168</v>
      </c>
      <c r="I988" t="s">
        <v>169</v>
      </c>
      <c r="J988" t="s">
        <v>266</v>
      </c>
      <c r="K988" t="s">
        <v>394</v>
      </c>
      <c r="L988" t="s">
        <v>395</v>
      </c>
      <c r="N988" t="s">
        <v>359</v>
      </c>
      <c r="O988" t="s">
        <v>134</v>
      </c>
      <c r="Q988" t="s">
        <v>207</v>
      </c>
      <c r="R988" t="s">
        <v>170</v>
      </c>
      <c r="S988" t="s">
        <v>128</v>
      </c>
      <c r="T988" t="s">
        <v>181</v>
      </c>
      <c r="U988" t="s">
        <v>129</v>
      </c>
      <c r="V988" t="s">
        <v>77</v>
      </c>
      <c r="W988" s="58">
        <v>43330</v>
      </c>
      <c r="X988" s="59">
        <v>0.33333333333333331</v>
      </c>
      <c r="Y988" s="59">
        <v>0.35416666666666669</v>
      </c>
      <c r="Z988" s="59">
        <v>2.0833333333333332E-2</v>
      </c>
      <c r="AA988">
        <v>0</v>
      </c>
      <c r="AC988">
        <v>11.5</v>
      </c>
      <c r="AD988">
        <v>5.25</v>
      </c>
      <c r="AE988" s="59">
        <v>0.33333333333333331</v>
      </c>
      <c r="AF988" s="59">
        <v>0.35347222222222219</v>
      </c>
      <c r="AG988">
        <v>30</v>
      </c>
    </row>
    <row r="989" spans="1:33" x14ac:dyDescent="0.25">
      <c r="B989" t="s">
        <v>307</v>
      </c>
      <c r="C989" t="s">
        <v>308</v>
      </c>
      <c r="D989" t="s">
        <v>309</v>
      </c>
      <c r="E989" t="s">
        <v>134</v>
      </c>
      <c r="H989" t="s">
        <v>171</v>
      </c>
      <c r="I989" t="s">
        <v>169</v>
      </c>
      <c r="J989" t="s">
        <v>266</v>
      </c>
      <c r="K989" t="s">
        <v>394</v>
      </c>
      <c r="L989" t="s">
        <v>395</v>
      </c>
      <c r="N989" t="s">
        <v>359</v>
      </c>
      <c r="O989" t="s">
        <v>134</v>
      </c>
      <c r="Q989" t="s">
        <v>207</v>
      </c>
      <c r="R989" t="s">
        <v>172</v>
      </c>
      <c r="S989" t="s">
        <v>128</v>
      </c>
      <c r="T989" t="s">
        <v>181</v>
      </c>
      <c r="U989" t="s">
        <v>129</v>
      </c>
      <c r="V989" t="s">
        <v>77</v>
      </c>
      <c r="W989" s="58">
        <v>43330</v>
      </c>
      <c r="X989" s="59">
        <v>0.36458333333333331</v>
      </c>
      <c r="Y989" s="59">
        <v>0.40625</v>
      </c>
      <c r="Z989" s="59">
        <v>4.1666666666666664E-2</v>
      </c>
      <c r="AA989">
        <v>0</v>
      </c>
      <c r="AB989">
        <v>0.62839999999999996</v>
      </c>
      <c r="AC989">
        <v>23</v>
      </c>
      <c r="AD989">
        <v>10.5</v>
      </c>
      <c r="AE989" s="59">
        <v>0.36458333333333331</v>
      </c>
      <c r="AF989" s="59">
        <v>0.4055555555555555</v>
      </c>
      <c r="AG989">
        <v>30</v>
      </c>
    </row>
    <row r="990" spans="1:33" x14ac:dyDescent="0.25">
      <c r="A990" t="s">
        <v>266</v>
      </c>
      <c r="B990" t="s">
        <v>293</v>
      </c>
      <c r="C990" t="s">
        <v>294</v>
      </c>
      <c r="E990" t="s">
        <v>295</v>
      </c>
      <c r="F990" t="s">
        <v>134</v>
      </c>
      <c r="H990" t="s">
        <v>157</v>
      </c>
      <c r="I990" t="s">
        <v>158</v>
      </c>
      <c r="J990" t="s">
        <v>266</v>
      </c>
      <c r="K990" t="s">
        <v>394</v>
      </c>
      <c r="L990" t="s">
        <v>395</v>
      </c>
      <c r="N990" t="s">
        <v>359</v>
      </c>
      <c r="O990" t="s">
        <v>134</v>
      </c>
      <c r="Q990" t="s">
        <v>207</v>
      </c>
      <c r="R990" t="s">
        <v>161</v>
      </c>
      <c r="S990" t="s">
        <v>128</v>
      </c>
      <c r="T990" t="s">
        <v>181</v>
      </c>
      <c r="U990" t="s">
        <v>163</v>
      </c>
      <c r="V990" t="s">
        <v>77</v>
      </c>
      <c r="W990" s="58">
        <v>43330</v>
      </c>
      <c r="X990" s="59">
        <v>0.42708333333333331</v>
      </c>
      <c r="Y990" s="59">
        <v>0.63541666666666663</v>
      </c>
      <c r="Z990" s="59">
        <v>0.20833333333333334</v>
      </c>
      <c r="AA990">
        <v>0</v>
      </c>
      <c r="AB990">
        <v>9.0114000000000001</v>
      </c>
      <c r="AC990">
        <v>90</v>
      </c>
      <c r="AD990">
        <v>52.5</v>
      </c>
      <c r="AE990" s="59">
        <v>0.42708333333333331</v>
      </c>
      <c r="AF990" s="59">
        <v>0.63472222222222219</v>
      </c>
      <c r="AG990">
        <v>30</v>
      </c>
    </row>
    <row r="991" spans="1:33" x14ac:dyDescent="0.25">
      <c r="A991" t="s">
        <v>258</v>
      </c>
      <c r="B991" t="s">
        <v>262</v>
      </c>
      <c r="C991" t="s">
        <v>263</v>
      </c>
      <c r="D991" t="s">
        <v>264</v>
      </c>
      <c r="E991" t="s">
        <v>265</v>
      </c>
      <c r="F991" t="s">
        <v>134</v>
      </c>
      <c r="H991" t="s">
        <v>132</v>
      </c>
      <c r="I991" t="s">
        <v>133</v>
      </c>
      <c r="J991" t="s">
        <v>266</v>
      </c>
      <c r="K991" t="s">
        <v>394</v>
      </c>
      <c r="L991" t="s">
        <v>395</v>
      </c>
      <c r="N991" t="s">
        <v>359</v>
      </c>
      <c r="O991" t="s">
        <v>134</v>
      </c>
      <c r="Q991" t="s">
        <v>207</v>
      </c>
      <c r="R991" t="s">
        <v>136</v>
      </c>
      <c r="S991" t="s">
        <v>128</v>
      </c>
      <c r="T991" t="s">
        <v>181</v>
      </c>
      <c r="U991" t="s">
        <v>129</v>
      </c>
      <c r="V991" t="s">
        <v>77</v>
      </c>
      <c r="W991" s="58">
        <v>43330</v>
      </c>
      <c r="X991" s="59">
        <v>0.70763888888888893</v>
      </c>
      <c r="Y991" s="59">
        <v>0.74930555555555556</v>
      </c>
      <c r="Z991" s="59">
        <v>4.1666666666666664E-2</v>
      </c>
      <c r="AA991">
        <v>0</v>
      </c>
      <c r="AB991">
        <v>3.8965999999999998</v>
      </c>
      <c r="AC991">
        <v>23</v>
      </c>
      <c r="AD991">
        <v>10.5</v>
      </c>
      <c r="AE991" s="59">
        <v>0.70763888888888893</v>
      </c>
      <c r="AF991" s="59">
        <v>0.74861111111111101</v>
      </c>
      <c r="AG991">
        <v>30</v>
      </c>
    </row>
    <row r="992" spans="1:33" x14ac:dyDescent="0.25">
      <c r="A992" t="s">
        <v>258</v>
      </c>
      <c r="B992" t="s">
        <v>270</v>
      </c>
      <c r="C992" t="s">
        <v>271</v>
      </c>
      <c r="D992" t="s">
        <v>272</v>
      </c>
      <c r="E992" t="s">
        <v>273</v>
      </c>
      <c r="F992" t="s">
        <v>134</v>
      </c>
      <c r="H992" t="s">
        <v>138</v>
      </c>
      <c r="I992" t="s">
        <v>139</v>
      </c>
      <c r="J992" t="s">
        <v>266</v>
      </c>
      <c r="K992" t="s">
        <v>394</v>
      </c>
      <c r="L992" t="s">
        <v>395</v>
      </c>
      <c r="N992" t="s">
        <v>359</v>
      </c>
      <c r="O992" t="s">
        <v>134</v>
      </c>
      <c r="Q992" t="s">
        <v>207</v>
      </c>
      <c r="R992" t="s">
        <v>140</v>
      </c>
      <c r="S992" t="s">
        <v>128</v>
      </c>
      <c r="T992" t="s">
        <v>181</v>
      </c>
      <c r="U992" t="s">
        <v>129</v>
      </c>
      <c r="V992" t="s">
        <v>77</v>
      </c>
      <c r="W992" s="58">
        <v>43330</v>
      </c>
      <c r="X992" s="59">
        <v>0.76041666666666663</v>
      </c>
      <c r="Y992" s="59">
        <v>0.80208333333333337</v>
      </c>
      <c r="Z992" s="59">
        <v>4.1666666666666664E-2</v>
      </c>
      <c r="AA992">
        <v>0</v>
      </c>
      <c r="AB992">
        <v>2.3694000000000002</v>
      </c>
      <c r="AC992">
        <v>23</v>
      </c>
      <c r="AD992">
        <v>10.5</v>
      </c>
      <c r="AE992" s="59">
        <v>0.76041666666666663</v>
      </c>
      <c r="AF992" s="59">
        <v>0.80138888888888893</v>
      </c>
      <c r="AG992">
        <v>30</v>
      </c>
    </row>
    <row r="993" spans="1:33" x14ac:dyDescent="0.25">
      <c r="A993" t="s">
        <v>274</v>
      </c>
      <c r="B993" t="s">
        <v>275</v>
      </c>
      <c r="C993" t="s">
        <v>276</v>
      </c>
      <c r="E993" t="s">
        <v>277</v>
      </c>
      <c r="F993" t="s">
        <v>134</v>
      </c>
      <c r="H993" t="s">
        <v>141</v>
      </c>
      <c r="I993" t="s">
        <v>142</v>
      </c>
      <c r="J993" t="s">
        <v>266</v>
      </c>
      <c r="K993" t="s">
        <v>394</v>
      </c>
      <c r="L993" t="s">
        <v>395</v>
      </c>
      <c r="N993" t="s">
        <v>359</v>
      </c>
      <c r="O993" t="s">
        <v>134</v>
      </c>
      <c r="Q993" t="s">
        <v>207</v>
      </c>
      <c r="R993" t="s">
        <v>143</v>
      </c>
      <c r="S993" t="s">
        <v>128</v>
      </c>
      <c r="T993" t="s">
        <v>181</v>
      </c>
      <c r="U993" t="s">
        <v>129</v>
      </c>
      <c r="V993" t="s">
        <v>77</v>
      </c>
      <c r="W993" s="58">
        <v>43330</v>
      </c>
      <c r="X993" s="59">
        <v>0.8125</v>
      </c>
      <c r="Y993" s="59">
        <v>0.83333333333333337</v>
      </c>
      <c r="Z993" s="59">
        <v>2.0833333333333332E-2</v>
      </c>
      <c r="AA993">
        <v>0</v>
      </c>
      <c r="AB993">
        <v>0.9</v>
      </c>
      <c r="AC993">
        <v>11.5</v>
      </c>
      <c r="AD993">
        <v>5.25</v>
      </c>
      <c r="AE993" s="59">
        <v>0.8125</v>
      </c>
      <c r="AF993" s="59">
        <v>0.83263888888888893</v>
      </c>
      <c r="AG993">
        <v>30</v>
      </c>
    </row>
    <row r="994" spans="1:33" x14ac:dyDescent="0.25">
      <c r="A994" t="s">
        <v>274</v>
      </c>
      <c r="B994" t="s">
        <v>321</v>
      </c>
      <c r="C994" t="s">
        <v>322</v>
      </c>
      <c r="D994" t="s">
        <v>323</v>
      </c>
      <c r="E994" t="s">
        <v>324</v>
      </c>
      <c r="F994" t="s">
        <v>134</v>
      </c>
      <c r="H994" t="s">
        <v>184</v>
      </c>
      <c r="I994" t="s">
        <v>147</v>
      </c>
      <c r="J994" t="s">
        <v>266</v>
      </c>
      <c r="K994" t="s">
        <v>394</v>
      </c>
      <c r="L994" t="s">
        <v>395</v>
      </c>
      <c r="N994" t="s">
        <v>359</v>
      </c>
      <c r="O994" t="s">
        <v>134</v>
      </c>
      <c r="Q994" t="s">
        <v>207</v>
      </c>
      <c r="R994" t="s">
        <v>185</v>
      </c>
      <c r="S994" t="s">
        <v>128</v>
      </c>
      <c r="T994" t="s">
        <v>181</v>
      </c>
      <c r="U994" t="s">
        <v>151</v>
      </c>
      <c r="V994" t="s">
        <v>77</v>
      </c>
      <c r="W994" s="58">
        <v>43330</v>
      </c>
      <c r="X994" s="59">
        <v>0.85</v>
      </c>
      <c r="Y994" s="59">
        <v>0.88124999999999998</v>
      </c>
      <c r="Z994" s="59">
        <v>3.125E-2</v>
      </c>
      <c r="AA994">
        <v>0</v>
      </c>
      <c r="AB994">
        <v>9.7805999999999997</v>
      </c>
      <c r="AC994">
        <v>15</v>
      </c>
      <c r="AD994">
        <v>7.875</v>
      </c>
      <c r="AE994" s="59">
        <v>0.85</v>
      </c>
      <c r="AF994" s="59">
        <v>0.88055555555555554</v>
      </c>
      <c r="AG994">
        <v>30</v>
      </c>
    </row>
    <row r="995" spans="1:33" x14ac:dyDescent="0.25">
      <c r="A995" t="s">
        <v>258</v>
      </c>
      <c r="B995" t="s">
        <v>281</v>
      </c>
      <c r="C995" t="s">
        <v>282</v>
      </c>
      <c r="E995" t="s">
        <v>283</v>
      </c>
      <c r="F995" t="s">
        <v>134</v>
      </c>
      <c r="G995" t="s">
        <v>218</v>
      </c>
      <c r="H995" t="s">
        <v>146</v>
      </c>
      <c r="I995" t="s">
        <v>147</v>
      </c>
      <c r="J995" t="s">
        <v>266</v>
      </c>
      <c r="K995" t="s">
        <v>394</v>
      </c>
      <c r="L995" t="s">
        <v>395</v>
      </c>
      <c r="N995" t="s">
        <v>359</v>
      </c>
      <c r="O995" t="s">
        <v>134</v>
      </c>
      <c r="Q995" t="s">
        <v>207</v>
      </c>
      <c r="R995" t="s">
        <v>148</v>
      </c>
      <c r="S995" t="s">
        <v>128</v>
      </c>
      <c r="T995" t="s">
        <v>181</v>
      </c>
      <c r="U995" t="s">
        <v>129</v>
      </c>
      <c r="V995" t="s">
        <v>71</v>
      </c>
      <c r="W995" s="58">
        <v>43331</v>
      </c>
      <c r="X995" s="59">
        <v>0.31944444444444448</v>
      </c>
      <c r="Y995" s="59">
        <v>0.3611111111111111</v>
      </c>
      <c r="Z995" s="59">
        <v>4.1666666666666664E-2</v>
      </c>
      <c r="AA995">
        <v>0</v>
      </c>
      <c r="AD995">
        <v>10.5</v>
      </c>
      <c r="AE995" s="59">
        <v>0.31944444444444448</v>
      </c>
      <c r="AF995" s="59">
        <v>0.36041666666666666</v>
      </c>
      <c r="AG995">
        <v>30</v>
      </c>
    </row>
    <row r="996" spans="1:33" x14ac:dyDescent="0.25">
      <c r="A996" t="s">
        <v>274</v>
      </c>
      <c r="B996" t="s">
        <v>328</v>
      </c>
      <c r="C996" t="s">
        <v>329</v>
      </c>
      <c r="D996">
        <v>5</v>
      </c>
      <c r="E996" t="s">
        <v>330</v>
      </c>
      <c r="F996" t="s">
        <v>134</v>
      </c>
      <c r="G996" t="s">
        <v>218</v>
      </c>
      <c r="H996" t="s">
        <v>188</v>
      </c>
      <c r="I996" t="s">
        <v>189</v>
      </c>
      <c r="J996" t="s">
        <v>266</v>
      </c>
      <c r="K996" t="s">
        <v>394</v>
      </c>
      <c r="L996" t="s">
        <v>395</v>
      </c>
      <c r="N996" t="s">
        <v>359</v>
      </c>
      <c r="O996" t="s">
        <v>134</v>
      </c>
      <c r="Q996" t="s">
        <v>207</v>
      </c>
      <c r="R996" t="s">
        <v>190</v>
      </c>
      <c r="S996" t="s">
        <v>128</v>
      </c>
      <c r="T996" t="s">
        <v>181</v>
      </c>
      <c r="U996" t="s">
        <v>151</v>
      </c>
      <c r="V996" t="s">
        <v>71</v>
      </c>
      <c r="W996" s="58">
        <v>43331</v>
      </c>
      <c r="X996" s="59">
        <v>0.375</v>
      </c>
      <c r="Y996" s="59">
        <v>0.45833333333333331</v>
      </c>
      <c r="Z996" s="59">
        <v>8.3333333333333329E-2</v>
      </c>
      <c r="AA996">
        <v>0</v>
      </c>
      <c r="AB996">
        <v>3.1694</v>
      </c>
      <c r="AC996">
        <v>40</v>
      </c>
      <c r="AD996">
        <v>21</v>
      </c>
      <c r="AE996" s="59">
        <v>0.375</v>
      </c>
      <c r="AF996" s="59">
        <v>0.45763888888888887</v>
      </c>
      <c r="AG996">
        <v>30</v>
      </c>
    </row>
    <row r="997" spans="1:33" x14ac:dyDescent="0.25">
      <c r="A997" t="s">
        <v>258</v>
      </c>
      <c r="B997" t="s">
        <v>325</v>
      </c>
      <c r="C997" t="s">
        <v>326</v>
      </c>
      <c r="E997" t="s">
        <v>327</v>
      </c>
      <c r="F997" t="s">
        <v>134</v>
      </c>
      <c r="H997" t="s">
        <v>182</v>
      </c>
      <c r="I997" t="s">
        <v>147</v>
      </c>
      <c r="J997" t="s">
        <v>266</v>
      </c>
      <c r="K997" t="s">
        <v>394</v>
      </c>
      <c r="L997" t="s">
        <v>395</v>
      </c>
      <c r="N997" t="s">
        <v>359</v>
      </c>
      <c r="O997" t="s">
        <v>134</v>
      </c>
      <c r="Q997" t="s">
        <v>207</v>
      </c>
      <c r="R997" t="s">
        <v>183</v>
      </c>
      <c r="S997" t="s">
        <v>128</v>
      </c>
      <c r="T997" t="s">
        <v>181</v>
      </c>
      <c r="U997" t="s">
        <v>129</v>
      </c>
      <c r="V997" t="s">
        <v>71</v>
      </c>
      <c r="W997" s="58">
        <v>43331</v>
      </c>
      <c r="X997" s="59">
        <v>0.5</v>
      </c>
      <c r="Y997" s="59">
        <v>0.54166666666666663</v>
      </c>
      <c r="Z997" s="59">
        <v>4.1666666666666664E-2</v>
      </c>
      <c r="AA997">
        <v>0</v>
      </c>
      <c r="AB997">
        <v>3.4613999999999998</v>
      </c>
      <c r="AC997">
        <v>23</v>
      </c>
      <c r="AD997">
        <v>10.5</v>
      </c>
      <c r="AE997" s="59">
        <v>0.5</v>
      </c>
      <c r="AF997" s="59">
        <v>0.54097222222222219</v>
      </c>
      <c r="AG997">
        <v>30</v>
      </c>
    </row>
    <row r="998" spans="1:33" x14ac:dyDescent="0.25">
      <c r="B998" t="s">
        <v>307</v>
      </c>
      <c r="C998" t="s">
        <v>308</v>
      </c>
      <c r="D998" t="s">
        <v>309</v>
      </c>
      <c r="E998" t="s">
        <v>134</v>
      </c>
      <c r="H998" t="s">
        <v>171</v>
      </c>
      <c r="I998" t="s">
        <v>169</v>
      </c>
      <c r="J998" t="s">
        <v>266</v>
      </c>
      <c r="K998" t="s">
        <v>394</v>
      </c>
      <c r="L998" t="s">
        <v>395</v>
      </c>
      <c r="N998" t="s">
        <v>359</v>
      </c>
      <c r="O998" t="s">
        <v>134</v>
      </c>
      <c r="Q998" t="s">
        <v>207</v>
      </c>
      <c r="R998" t="s">
        <v>172</v>
      </c>
      <c r="S998" t="s">
        <v>128</v>
      </c>
      <c r="T998" t="s">
        <v>181</v>
      </c>
      <c r="U998" t="s">
        <v>129</v>
      </c>
      <c r="V998" t="s">
        <v>71</v>
      </c>
      <c r="W998" s="58">
        <v>43331</v>
      </c>
      <c r="X998" s="59">
        <v>0.65972222222222221</v>
      </c>
      <c r="Y998" s="59">
        <v>0.69097222222222221</v>
      </c>
      <c r="Z998" s="59">
        <v>3.125E-2</v>
      </c>
      <c r="AA998">
        <v>0</v>
      </c>
      <c r="AB998">
        <v>3.4750000000000001</v>
      </c>
      <c r="AC998">
        <v>17.25</v>
      </c>
      <c r="AD998">
        <v>7.875</v>
      </c>
      <c r="AE998" s="59">
        <v>0.65972222222222221</v>
      </c>
      <c r="AF998" s="59">
        <v>0.69027777777777777</v>
      </c>
      <c r="AG998">
        <v>30</v>
      </c>
    </row>
    <row r="999" spans="1:33" x14ac:dyDescent="0.25">
      <c r="A999" t="s">
        <v>258</v>
      </c>
      <c r="B999" t="s">
        <v>270</v>
      </c>
      <c r="C999" t="s">
        <v>271</v>
      </c>
      <c r="D999" t="s">
        <v>272</v>
      </c>
      <c r="E999" t="s">
        <v>273</v>
      </c>
      <c r="F999" t="s">
        <v>134</v>
      </c>
      <c r="H999" t="s">
        <v>138</v>
      </c>
      <c r="I999" t="s">
        <v>139</v>
      </c>
      <c r="J999" t="s">
        <v>266</v>
      </c>
      <c r="K999" t="s">
        <v>394</v>
      </c>
      <c r="L999" t="s">
        <v>395</v>
      </c>
      <c r="N999" t="s">
        <v>359</v>
      </c>
      <c r="O999" t="s">
        <v>134</v>
      </c>
      <c r="Q999" t="s">
        <v>207</v>
      </c>
      <c r="R999" t="s">
        <v>140</v>
      </c>
      <c r="S999" t="s">
        <v>128</v>
      </c>
      <c r="T999" t="s">
        <v>181</v>
      </c>
      <c r="U999" t="s">
        <v>129</v>
      </c>
      <c r="V999" t="s">
        <v>71</v>
      </c>
      <c r="W999" s="58">
        <v>43331</v>
      </c>
      <c r="X999" s="59">
        <v>0.76041666666666663</v>
      </c>
      <c r="Y999" s="59">
        <v>0.80208333333333337</v>
      </c>
      <c r="Z999" s="59">
        <v>4.1666666666666664E-2</v>
      </c>
      <c r="AA999">
        <v>0</v>
      </c>
      <c r="AB999">
        <v>5.9931999999999999</v>
      </c>
      <c r="AC999">
        <v>23</v>
      </c>
      <c r="AD999">
        <v>10.5</v>
      </c>
      <c r="AE999" s="59">
        <v>0.76041666666666663</v>
      </c>
      <c r="AF999" s="59">
        <v>0.80138888888888893</v>
      </c>
      <c r="AG999">
        <v>30</v>
      </c>
    </row>
    <row r="1000" spans="1:33" x14ac:dyDescent="0.25">
      <c r="A1000" t="s">
        <v>274</v>
      </c>
      <c r="B1000" t="s">
        <v>275</v>
      </c>
      <c r="C1000" t="s">
        <v>276</v>
      </c>
      <c r="E1000" t="s">
        <v>277</v>
      </c>
      <c r="F1000" t="s">
        <v>134</v>
      </c>
      <c r="H1000" t="s">
        <v>141</v>
      </c>
      <c r="I1000" t="s">
        <v>142</v>
      </c>
      <c r="J1000" t="s">
        <v>266</v>
      </c>
      <c r="K1000" t="s">
        <v>394</v>
      </c>
      <c r="L1000" t="s">
        <v>395</v>
      </c>
      <c r="N1000" t="s">
        <v>359</v>
      </c>
      <c r="O1000" t="s">
        <v>134</v>
      </c>
      <c r="Q1000" t="s">
        <v>207</v>
      </c>
      <c r="R1000" t="s">
        <v>143</v>
      </c>
      <c r="S1000" t="s">
        <v>128</v>
      </c>
      <c r="T1000" t="s">
        <v>181</v>
      </c>
      <c r="U1000" t="s">
        <v>129</v>
      </c>
      <c r="V1000" t="s">
        <v>71</v>
      </c>
      <c r="W1000" s="58">
        <v>43331</v>
      </c>
      <c r="X1000" s="59">
        <v>0.8125</v>
      </c>
      <c r="Y1000" s="59">
        <v>0.83333333333333337</v>
      </c>
      <c r="Z1000" s="59">
        <v>2.0833333333333332E-2</v>
      </c>
      <c r="AA1000">
        <v>0</v>
      </c>
      <c r="AB1000">
        <v>0.9</v>
      </c>
      <c r="AC1000">
        <v>11.5</v>
      </c>
      <c r="AD1000">
        <v>5.25</v>
      </c>
      <c r="AE1000" s="59">
        <v>0.8125</v>
      </c>
      <c r="AF1000" s="59">
        <v>0.83263888888888893</v>
      </c>
      <c r="AG1000">
        <v>30</v>
      </c>
    </row>
    <row r="1001" spans="1:33" x14ac:dyDescent="0.25">
      <c r="A1001" t="s">
        <v>258</v>
      </c>
      <c r="B1001" t="s">
        <v>314</v>
      </c>
      <c r="C1001" t="s">
        <v>315</v>
      </c>
      <c r="D1001">
        <v>72</v>
      </c>
      <c r="E1001" t="s">
        <v>316</v>
      </c>
      <c r="F1001" t="s">
        <v>317</v>
      </c>
      <c r="G1001" t="s">
        <v>218</v>
      </c>
      <c r="H1001" t="s">
        <v>168</v>
      </c>
      <c r="I1001" t="s">
        <v>169</v>
      </c>
      <c r="J1001" t="s">
        <v>266</v>
      </c>
      <c r="K1001" t="s">
        <v>394</v>
      </c>
      <c r="L1001" t="s">
        <v>395</v>
      </c>
      <c r="N1001" t="s">
        <v>359</v>
      </c>
      <c r="O1001" t="s">
        <v>134</v>
      </c>
      <c r="Q1001" t="s">
        <v>207</v>
      </c>
      <c r="R1001" t="s">
        <v>170</v>
      </c>
      <c r="S1001" t="s">
        <v>128</v>
      </c>
      <c r="T1001" t="s">
        <v>181</v>
      </c>
      <c r="U1001" t="s">
        <v>129</v>
      </c>
      <c r="V1001" t="s">
        <v>73</v>
      </c>
      <c r="W1001" s="58">
        <v>43333</v>
      </c>
      <c r="X1001" s="59">
        <v>0.3263888888888889</v>
      </c>
      <c r="Y1001" s="59">
        <v>0.34722222222222227</v>
      </c>
      <c r="Z1001" s="59">
        <v>2.0833333333333332E-2</v>
      </c>
      <c r="AA1001">
        <v>0</v>
      </c>
      <c r="AC1001">
        <v>11.5</v>
      </c>
      <c r="AD1001">
        <v>4.75</v>
      </c>
      <c r="AE1001" s="59">
        <v>0.3263888888888889</v>
      </c>
      <c r="AF1001" s="59">
        <v>0.34652777777777777</v>
      </c>
      <c r="AG1001">
        <v>30</v>
      </c>
    </row>
    <row r="1002" spans="1:33" x14ac:dyDescent="0.25">
      <c r="A1002" t="s">
        <v>258</v>
      </c>
      <c r="B1002" t="s">
        <v>325</v>
      </c>
      <c r="C1002" t="s">
        <v>326</v>
      </c>
      <c r="E1002" t="s">
        <v>327</v>
      </c>
      <c r="F1002" t="s">
        <v>134</v>
      </c>
      <c r="H1002" t="s">
        <v>182</v>
      </c>
      <c r="I1002" t="s">
        <v>147</v>
      </c>
      <c r="J1002" t="s">
        <v>266</v>
      </c>
      <c r="K1002" t="s">
        <v>394</v>
      </c>
      <c r="L1002" t="s">
        <v>395</v>
      </c>
      <c r="N1002" t="s">
        <v>359</v>
      </c>
      <c r="O1002" t="s">
        <v>134</v>
      </c>
      <c r="Q1002" t="s">
        <v>207</v>
      </c>
      <c r="R1002" t="s">
        <v>183</v>
      </c>
      <c r="S1002" t="s">
        <v>128</v>
      </c>
      <c r="T1002" t="s">
        <v>181</v>
      </c>
      <c r="U1002" t="s">
        <v>129</v>
      </c>
      <c r="V1002" t="s">
        <v>73</v>
      </c>
      <c r="W1002" s="58">
        <v>43333</v>
      </c>
      <c r="X1002" s="59">
        <v>0.36458333333333331</v>
      </c>
      <c r="Y1002" s="59">
        <v>0.40625</v>
      </c>
      <c r="Z1002" s="59">
        <v>4.1666666666666664E-2</v>
      </c>
      <c r="AA1002">
        <v>0</v>
      </c>
      <c r="AB1002">
        <v>3.7126000000000001</v>
      </c>
      <c r="AC1002">
        <v>23</v>
      </c>
      <c r="AD1002">
        <v>9.5</v>
      </c>
      <c r="AE1002" s="59">
        <v>0.36458333333333331</v>
      </c>
      <c r="AF1002" s="59">
        <v>0.4055555555555555</v>
      </c>
      <c r="AG1002">
        <v>30</v>
      </c>
    </row>
    <row r="1003" spans="1:33" x14ac:dyDescent="0.25">
      <c r="A1003" t="s">
        <v>274</v>
      </c>
      <c r="B1003" t="s">
        <v>321</v>
      </c>
      <c r="C1003" t="s">
        <v>322</v>
      </c>
      <c r="D1003" t="s">
        <v>323</v>
      </c>
      <c r="E1003" t="s">
        <v>324</v>
      </c>
      <c r="F1003" t="s">
        <v>134</v>
      </c>
      <c r="H1003" t="s">
        <v>184</v>
      </c>
      <c r="I1003" t="s">
        <v>147</v>
      </c>
      <c r="J1003" t="s">
        <v>266</v>
      </c>
      <c r="K1003" t="s">
        <v>394</v>
      </c>
      <c r="L1003" t="s">
        <v>395</v>
      </c>
      <c r="N1003" t="s">
        <v>359</v>
      </c>
      <c r="O1003" t="s">
        <v>134</v>
      </c>
      <c r="Q1003" t="s">
        <v>207</v>
      </c>
      <c r="R1003" t="s">
        <v>185</v>
      </c>
      <c r="S1003" t="s">
        <v>128</v>
      </c>
      <c r="T1003" t="s">
        <v>181</v>
      </c>
      <c r="U1003" t="s">
        <v>151</v>
      </c>
      <c r="V1003" t="s">
        <v>73</v>
      </c>
      <c r="W1003" s="58">
        <v>43333</v>
      </c>
      <c r="X1003" s="59">
        <v>0.41666666666666669</v>
      </c>
      <c r="Y1003" s="59">
        <v>0.45833333333333331</v>
      </c>
      <c r="Z1003" s="59">
        <v>4.1666666666666664E-2</v>
      </c>
      <c r="AA1003">
        <v>0</v>
      </c>
      <c r="AB1003">
        <v>2.2181999999999999</v>
      </c>
      <c r="AC1003">
        <v>20</v>
      </c>
      <c r="AD1003">
        <v>9.5</v>
      </c>
      <c r="AE1003" s="59">
        <v>0.41666666666666669</v>
      </c>
      <c r="AF1003" s="59">
        <v>0.45763888888888887</v>
      </c>
      <c r="AG1003">
        <v>30</v>
      </c>
    </row>
    <row r="1004" spans="1:33" x14ac:dyDescent="0.25">
      <c r="A1004" t="s">
        <v>258</v>
      </c>
      <c r="B1004" t="s">
        <v>325</v>
      </c>
      <c r="C1004" t="s">
        <v>326</v>
      </c>
      <c r="E1004" t="s">
        <v>327</v>
      </c>
      <c r="F1004" t="s">
        <v>134</v>
      </c>
      <c r="H1004" t="s">
        <v>182</v>
      </c>
      <c r="I1004" t="s">
        <v>147</v>
      </c>
      <c r="J1004" t="s">
        <v>266</v>
      </c>
      <c r="K1004" t="s">
        <v>394</v>
      </c>
      <c r="L1004" t="s">
        <v>395</v>
      </c>
      <c r="N1004" t="s">
        <v>359</v>
      </c>
      <c r="O1004" t="s">
        <v>134</v>
      </c>
      <c r="Q1004" t="s">
        <v>207</v>
      </c>
      <c r="R1004" t="s">
        <v>183</v>
      </c>
      <c r="S1004" t="s">
        <v>128</v>
      </c>
      <c r="T1004" t="s">
        <v>181</v>
      </c>
      <c r="U1004" t="s">
        <v>129</v>
      </c>
      <c r="V1004" t="s">
        <v>73</v>
      </c>
      <c r="W1004" s="58">
        <v>43333</v>
      </c>
      <c r="X1004" s="59">
        <v>0.5</v>
      </c>
      <c r="Y1004" s="59">
        <v>0.54166666666666663</v>
      </c>
      <c r="Z1004" s="59">
        <v>4.1666666666666664E-2</v>
      </c>
      <c r="AA1004">
        <v>0</v>
      </c>
      <c r="AB1004">
        <v>2.2181999999999999</v>
      </c>
      <c r="AC1004">
        <v>23</v>
      </c>
      <c r="AD1004">
        <v>9.5</v>
      </c>
      <c r="AE1004" s="59">
        <v>0.5</v>
      </c>
      <c r="AF1004" s="59">
        <v>0.54097222222222219</v>
      </c>
      <c r="AG1004">
        <v>30</v>
      </c>
    </row>
    <row r="1005" spans="1:33" x14ac:dyDescent="0.25">
      <c r="A1005" t="s">
        <v>258</v>
      </c>
      <c r="B1005" t="s">
        <v>325</v>
      </c>
      <c r="C1005" t="s">
        <v>326</v>
      </c>
      <c r="E1005" t="s">
        <v>327</v>
      </c>
      <c r="F1005" t="s">
        <v>134</v>
      </c>
      <c r="H1005" t="s">
        <v>182</v>
      </c>
      <c r="I1005" t="s">
        <v>147</v>
      </c>
      <c r="J1005" t="s">
        <v>266</v>
      </c>
      <c r="K1005" t="s">
        <v>394</v>
      </c>
      <c r="L1005" t="s">
        <v>395</v>
      </c>
      <c r="N1005" t="s">
        <v>359</v>
      </c>
      <c r="O1005" t="s">
        <v>134</v>
      </c>
      <c r="Q1005" t="s">
        <v>207</v>
      </c>
      <c r="R1005" t="s">
        <v>183</v>
      </c>
      <c r="S1005" t="s">
        <v>128</v>
      </c>
      <c r="T1005" t="s">
        <v>181</v>
      </c>
      <c r="U1005" t="s">
        <v>129</v>
      </c>
      <c r="V1005" t="s">
        <v>75</v>
      </c>
      <c r="W1005" s="58">
        <v>43335</v>
      </c>
      <c r="X1005" s="59">
        <v>0.36458333333333331</v>
      </c>
      <c r="Y1005" s="59">
        <v>0.40625</v>
      </c>
      <c r="Z1005" s="59">
        <v>4.1666666666666664E-2</v>
      </c>
      <c r="AA1005">
        <v>0</v>
      </c>
      <c r="AC1005">
        <v>23</v>
      </c>
      <c r="AD1005">
        <v>9.5</v>
      </c>
      <c r="AE1005" s="59">
        <v>0.36458333333333331</v>
      </c>
      <c r="AF1005" s="59">
        <v>0.4055555555555555</v>
      </c>
      <c r="AG1005">
        <v>30</v>
      </c>
    </row>
    <row r="1006" spans="1:33" x14ac:dyDescent="0.25">
      <c r="A1006" t="s">
        <v>274</v>
      </c>
      <c r="B1006" t="s">
        <v>321</v>
      </c>
      <c r="C1006" t="s">
        <v>322</v>
      </c>
      <c r="D1006" t="s">
        <v>323</v>
      </c>
      <c r="E1006" t="s">
        <v>324</v>
      </c>
      <c r="F1006" t="s">
        <v>134</v>
      </c>
      <c r="H1006" t="s">
        <v>184</v>
      </c>
      <c r="I1006" t="s">
        <v>147</v>
      </c>
      <c r="J1006" t="s">
        <v>266</v>
      </c>
      <c r="K1006" t="s">
        <v>394</v>
      </c>
      <c r="L1006" t="s">
        <v>395</v>
      </c>
      <c r="N1006" t="s">
        <v>359</v>
      </c>
      <c r="O1006" t="s">
        <v>134</v>
      </c>
      <c r="Q1006" t="s">
        <v>207</v>
      </c>
      <c r="R1006" t="s">
        <v>185</v>
      </c>
      <c r="S1006" t="s">
        <v>128</v>
      </c>
      <c r="T1006" t="s">
        <v>181</v>
      </c>
      <c r="U1006" t="s">
        <v>151</v>
      </c>
      <c r="V1006" t="s">
        <v>75</v>
      </c>
      <c r="W1006" s="58">
        <v>43335</v>
      </c>
      <c r="X1006" s="59">
        <v>0.41666666666666669</v>
      </c>
      <c r="Y1006" s="59">
        <v>0.45833333333333331</v>
      </c>
      <c r="Z1006" s="59">
        <v>4.1666666666666664E-2</v>
      </c>
      <c r="AA1006">
        <v>0</v>
      </c>
      <c r="AB1006">
        <v>2.2181999999999999</v>
      </c>
      <c r="AC1006">
        <v>20</v>
      </c>
      <c r="AD1006">
        <v>9.5</v>
      </c>
      <c r="AE1006" s="59">
        <v>0.41666666666666669</v>
      </c>
      <c r="AF1006" s="59">
        <v>0.45763888888888887</v>
      </c>
      <c r="AG1006">
        <v>30</v>
      </c>
    </row>
    <row r="1007" spans="1:33" x14ac:dyDescent="0.25">
      <c r="A1007" t="s">
        <v>258</v>
      </c>
      <c r="B1007" t="s">
        <v>278</v>
      </c>
      <c r="C1007" t="s">
        <v>279</v>
      </c>
      <c r="E1007" t="s">
        <v>280</v>
      </c>
      <c r="F1007" t="s">
        <v>134</v>
      </c>
      <c r="H1007" t="s">
        <v>144</v>
      </c>
      <c r="I1007" t="s">
        <v>133</v>
      </c>
      <c r="J1007" t="s">
        <v>266</v>
      </c>
      <c r="K1007" t="s">
        <v>394</v>
      </c>
      <c r="L1007" t="s">
        <v>395</v>
      </c>
      <c r="N1007" t="s">
        <v>359</v>
      </c>
      <c r="O1007" t="s">
        <v>134</v>
      </c>
      <c r="Q1007" t="s">
        <v>207</v>
      </c>
      <c r="R1007" t="s">
        <v>145</v>
      </c>
      <c r="S1007" t="s">
        <v>128</v>
      </c>
      <c r="T1007" t="s">
        <v>181</v>
      </c>
      <c r="U1007" t="s">
        <v>129</v>
      </c>
      <c r="V1007" t="s">
        <v>75</v>
      </c>
      <c r="W1007" s="58">
        <v>43335</v>
      </c>
      <c r="X1007" s="59">
        <v>0.70833333333333337</v>
      </c>
      <c r="Y1007" s="59">
        <v>0.75</v>
      </c>
      <c r="Z1007" s="59">
        <v>4.1666666666666664E-2</v>
      </c>
      <c r="AA1007">
        <v>0</v>
      </c>
      <c r="AC1007">
        <v>23</v>
      </c>
      <c r="AD1007">
        <v>9.5</v>
      </c>
      <c r="AE1007" s="59">
        <v>0.70833333333333337</v>
      </c>
      <c r="AF1007" s="59">
        <v>0.74930555555555556</v>
      </c>
      <c r="AG1007">
        <v>30</v>
      </c>
    </row>
    <row r="1008" spans="1:33" x14ac:dyDescent="0.25">
      <c r="A1008" t="s">
        <v>258</v>
      </c>
      <c r="B1008" t="s">
        <v>270</v>
      </c>
      <c r="C1008" t="s">
        <v>271</v>
      </c>
      <c r="D1008" t="s">
        <v>272</v>
      </c>
      <c r="E1008" t="s">
        <v>273</v>
      </c>
      <c r="F1008" t="s">
        <v>134</v>
      </c>
      <c r="H1008" t="s">
        <v>138</v>
      </c>
      <c r="I1008" t="s">
        <v>139</v>
      </c>
      <c r="J1008" t="s">
        <v>266</v>
      </c>
      <c r="K1008" t="s">
        <v>394</v>
      </c>
      <c r="L1008" t="s">
        <v>395</v>
      </c>
      <c r="N1008" t="s">
        <v>359</v>
      </c>
      <c r="O1008" t="s">
        <v>134</v>
      </c>
      <c r="Q1008" t="s">
        <v>207</v>
      </c>
      <c r="R1008" t="s">
        <v>140</v>
      </c>
      <c r="S1008" t="s">
        <v>128</v>
      </c>
      <c r="T1008" t="s">
        <v>181</v>
      </c>
      <c r="U1008" t="s">
        <v>129</v>
      </c>
      <c r="V1008" t="s">
        <v>75</v>
      </c>
      <c r="W1008" s="58">
        <v>43335</v>
      </c>
      <c r="X1008" s="59">
        <v>0.76041666666666663</v>
      </c>
      <c r="Y1008" s="59">
        <v>0.80208333333333337</v>
      </c>
      <c r="Z1008" s="59">
        <v>4.1666666666666664E-2</v>
      </c>
      <c r="AA1008">
        <v>0</v>
      </c>
      <c r="AB1008">
        <v>2.2465999999999999</v>
      </c>
      <c r="AC1008">
        <v>23</v>
      </c>
      <c r="AD1008">
        <v>9.5</v>
      </c>
      <c r="AE1008" s="59">
        <v>0.76041666666666663</v>
      </c>
      <c r="AF1008" s="59">
        <v>0.80138888888888893</v>
      </c>
      <c r="AG1008">
        <v>30</v>
      </c>
    </row>
    <row r="1009" spans="1:33" x14ac:dyDescent="0.25">
      <c r="B1009" t="s">
        <v>307</v>
      </c>
      <c r="C1009" t="s">
        <v>308</v>
      </c>
      <c r="D1009" t="s">
        <v>309</v>
      </c>
      <c r="E1009" t="s">
        <v>134</v>
      </c>
      <c r="H1009" t="s">
        <v>171</v>
      </c>
      <c r="I1009" t="s">
        <v>169</v>
      </c>
      <c r="J1009" t="s">
        <v>266</v>
      </c>
      <c r="K1009" t="s">
        <v>394</v>
      </c>
      <c r="L1009" t="s">
        <v>395</v>
      </c>
      <c r="N1009" t="s">
        <v>359</v>
      </c>
      <c r="O1009" t="s">
        <v>134</v>
      </c>
      <c r="Q1009" t="s">
        <v>207</v>
      </c>
      <c r="R1009" t="s">
        <v>172</v>
      </c>
      <c r="S1009" t="s">
        <v>128</v>
      </c>
      <c r="T1009" t="s">
        <v>181</v>
      </c>
      <c r="U1009" t="s">
        <v>129</v>
      </c>
      <c r="V1009" t="s">
        <v>76</v>
      </c>
      <c r="W1009" s="58">
        <v>43336</v>
      </c>
      <c r="X1009" s="59">
        <v>0.35416666666666669</v>
      </c>
      <c r="Y1009" s="59">
        <v>0.39583333333333331</v>
      </c>
      <c r="Z1009" s="59">
        <v>4.1666666666666664E-2</v>
      </c>
      <c r="AA1009">
        <v>0</v>
      </c>
      <c r="AC1009">
        <v>23</v>
      </c>
      <c r="AD1009">
        <v>9.5</v>
      </c>
      <c r="AE1009" s="59">
        <v>0.35416666666666669</v>
      </c>
      <c r="AF1009" s="59">
        <v>0.39513888888888887</v>
      </c>
      <c r="AG1009">
        <v>30</v>
      </c>
    </row>
    <row r="1010" spans="1:33" x14ac:dyDescent="0.25">
      <c r="A1010" t="s">
        <v>274</v>
      </c>
      <c r="B1010" t="s">
        <v>321</v>
      </c>
      <c r="C1010" t="s">
        <v>322</v>
      </c>
      <c r="D1010" t="s">
        <v>323</v>
      </c>
      <c r="E1010" t="s">
        <v>324</v>
      </c>
      <c r="F1010" t="s">
        <v>134</v>
      </c>
      <c r="H1010" t="s">
        <v>184</v>
      </c>
      <c r="I1010" t="s">
        <v>147</v>
      </c>
      <c r="J1010" t="s">
        <v>266</v>
      </c>
      <c r="K1010" t="s">
        <v>394</v>
      </c>
      <c r="L1010" t="s">
        <v>395</v>
      </c>
      <c r="N1010" t="s">
        <v>359</v>
      </c>
      <c r="O1010" t="s">
        <v>134</v>
      </c>
      <c r="Q1010" t="s">
        <v>207</v>
      </c>
      <c r="R1010" t="s">
        <v>185</v>
      </c>
      <c r="S1010" t="s">
        <v>128</v>
      </c>
      <c r="T1010" t="s">
        <v>181</v>
      </c>
      <c r="U1010" t="s">
        <v>151</v>
      </c>
      <c r="V1010" t="s">
        <v>76</v>
      </c>
      <c r="W1010" s="58">
        <v>43336</v>
      </c>
      <c r="X1010" s="59">
        <v>0.41666666666666669</v>
      </c>
      <c r="Y1010" s="59">
        <v>0.45833333333333331</v>
      </c>
      <c r="Z1010" s="59">
        <v>4.1666666666666664E-2</v>
      </c>
      <c r="AA1010">
        <v>0</v>
      </c>
      <c r="AB1010">
        <v>3.8033999999999999</v>
      </c>
      <c r="AC1010">
        <v>20</v>
      </c>
      <c r="AD1010">
        <v>9.5</v>
      </c>
      <c r="AE1010" s="59">
        <v>0.41666666666666669</v>
      </c>
      <c r="AF1010" s="59">
        <v>0.45763888888888887</v>
      </c>
      <c r="AG1010">
        <v>30</v>
      </c>
    </row>
    <row r="1011" spans="1:33" x14ac:dyDescent="0.25">
      <c r="A1011" t="s">
        <v>274</v>
      </c>
      <c r="B1011" t="s">
        <v>328</v>
      </c>
      <c r="C1011" t="s">
        <v>329</v>
      </c>
      <c r="D1011">
        <v>5</v>
      </c>
      <c r="E1011" t="s">
        <v>330</v>
      </c>
      <c r="F1011" t="s">
        <v>134</v>
      </c>
      <c r="G1011" t="s">
        <v>218</v>
      </c>
      <c r="H1011" t="s">
        <v>188</v>
      </c>
      <c r="I1011" t="s">
        <v>189</v>
      </c>
      <c r="J1011" t="s">
        <v>266</v>
      </c>
      <c r="K1011" t="s">
        <v>394</v>
      </c>
      <c r="L1011" t="s">
        <v>395</v>
      </c>
      <c r="N1011" t="s">
        <v>359</v>
      </c>
      <c r="O1011" t="s">
        <v>134</v>
      </c>
      <c r="Q1011" t="s">
        <v>207</v>
      </c>
      <c r="R1011" t="s">
        <v>190</v>
      </c>
      <c r="S1011" t="s">
        <v>128</v>
      </c>
      <c r="T1011" t="s">
        <v>181</v>
      </c>
      <c r="U1011" t="s">
        <v>151</v>
      </c>
      <c r="V1011" t="s">
        <v>76</v>
      </c>
      <c r="W1011" s="58">
        <v>43336</v>
      </c>
      <c r="X1011" s="59">
        <v>0.5</v>
      </c>
      <c r="Y1011" s="59">
        <v>0.75</v>
      </c>
      <c r="Z1011" s="59">
        <v>0.25</v>
      </c>
      <c r="AA1011">
        <v>0</v>
      </c>
      <c r="AB1011">
        <v>1.9068000000000001</v>
      </c>
      <c r="AC1011">
        <v>120</v>
      </c>
      <c r="AD1011">
        <v>57</v>
      </c>
      <c r="AE1011" s="59">
        <v>0.5</v>
      </c>
      <c r="AF1011" s="59">
        <v>0.74930555555555556</v>
      </c>
      <c r="AG1011">
        <v>30</v>
      </c>
    </row>
    <row r="1012" spans="1:33" x14ac:dyDescent="0.25">
      <c r="A1012" t="s">
        <v>258</v>
      </c>
      <c r="B1012" t="s">
        <v>299</v>
      </c>
      <c r="C1012" t="s">
        <v>300</v>
      </c>
      <c r="D1012" t="s">
        <v>301</v>
      </c>
      <c r="E1012" t="s">
        <v>302</v>
      </c>
      <c r="F1012" t="s">
        <v>303</v>
      </c>
      <c r="H1012" t="s">
        <v>166</v>
      </c>
      <c r="I1012" t="s">
        <v>142</v>
      </c>
      <c r="J1012" t="s">
        <v>266</v>
      </c>
      <c r="K1012" t="s">
        <v>394</v>
      </c>
      <c r="L1012" t="s">
        <v>395</v>
      </c>
      <c r="N1012" t="s">
        <v>359</v>
      </c>
      <c r="O1012" t="s">
        <v>134</v>
      </c>
      <c r="Q1012" t="s">
        <v>207</v>
      </c>
      <c r="R1012" t="s">
        <v>167</v>
      </c>
      <c r="S1012" t="s">
        <v>128</v>
      </c>
      <c r="T1012" t="s">
        <v>181</v>
      </c>
      <c r="U1012" t="s">
        <v>129</v>
      </c>
      <c r="V1012" t="s">
        <v>77</v>
      </c>
      <c r="W1012" s="58">
        <v>43337</v>
      </c>
      <c r="X1012" s="59">
        <v>0.3125</v>
      </c>
      <c r="Y1012" s="59">
        <v>0.35416666666666669</v>
      </c>
      <c r="Z1012" s="59">
        <v>4.1666666666666664E-2</v>
      </c>
      <c r="AA1012">
        <v>0</v>
      </c>
      <c r="AC1012">
        <v>23</v>
      </c>
      <c r="AD1012">
        <v>10.5</v>
      </c>
      <c r="AE1012" s="59">
        <v>0.3125</v>
      </c>
      <c r="AF1012" s="59">
        <v>0.35347222222222219</v>
      </c>
      <c r="AG1012">
        <v>30</v>
      </c>
    </row>
    <row r="1013" spans="1:33" x14ac:dyDescent="0.25">
      <c r="A1013" t="s">
        <v>274</v>
      </c>
      <c r="B1013" t="s">
        <v>336</v>
      </c>
      <c r="C1013" t="s">
        <v>337</v>
      </c>
      <c r="E1013" t="s">
        <v>338</v>
      </c>
      <c r="F1013" t="s">
        <v>134</v>
      </c>
      <c r="H1013" t="s">
        <v>186</v>
      </c>
      <c r="I1013" t="s">
        <v>147</v>
      </c>
      <c r="J1013" t="s">
        <v>266</v>
      </c>
      <c r="K1013" t="s">
        <v>394</v>
      </c>
      <c r="L1013" t="s">
        <v>395</v>
      </c>
      <c r="N1013" t="s">
        <v>359</v>
      </c>
      <c r="O1013" t="s">
        <v>134</v>
      </c>
      <c r="Q1013" t="s">
        <v>207</v>
      </c>
      <c r="R1013" t="s">
        <v>187</v>
      </c>
      <c r="S1013" t="s">
        <v>128</v>
      </c>
      <c r="T1013" t="s">
        <v>181</v>
      </c>
      <c r="U1013" t="s">
        <v>151</v>
      </c>
      <c r="V1013" t="s">
        <v>77</v>
      </c>
      <c r="W1013" s="58">
        <v>43337</v>
      </c>
      <c r="X1013" s="59">
        <v>0.38194444444444442</v>
      </c>
      <c r="Y1013" s="59">
        <v>0.4236111111111111</v>
      </c>
      <c r="Z1013" s="59">
        <v>4.1666666666666664E-2</v>
      </c>
      <c r="AA1013">
        <v>0</v>
      </c>
      <c r="AB1013">
        <v>9.4499999999999993</v>
      </c>
      <c r="AC1013">
        <v>20</v>
      </c>
      <c r="AD1013">
        <v>10.5</v>
      </c>
      <c r="AE1013" s="59">
        <v>0.38194444444444442</v>
      </c>
      <c r="AF1013" s="59">
        <v>0.42291666666666666</v>
      </c>
      <c r="AG1013">
        <v>30</v>
      </c>
    </row>
    <row r="1014" spans="1:33" x14ac:dyDescent="0.25">
      <c r="A1014" t="s">
        <v>258</v>
      </c>
      <c r="B1014" t="s">
        <v>281</v>
      </c>
      <c r="C1014" t="s">
        <v>282</v>
      </c>
      <c r="E1014" t="s">
        <v>283</v>
      </c>
      <c r="F1014" t="s">
        <v>134</v>
      </c>
      <c r="G1014" t="s">
        <v>218</v>
      </c>
      <c r="H1014" t="s">
        <v>146</v>
      </c>
      <c r="I1014" t="s">
        <v>147</v>
      </c>
      <c r="J1014" t="s">
        <v>266</v>
      </c>
      <c r="K1014" t="s">
        <v>394</v>
      </c>
      <c r="L1014" t="s">
        <v>395</v>
      </c>
      <c r="N1014" t="s">
        <v>359</v>
      </c>
      <c r="O1014" t="s">
        <v>134</v>
      </c>
      <c r="Q1014" t="s">
        <v>207</v>
      </c>
      <c r="R1014" t="s">
        <v>148</v>
      </c>
      <c r="S1014" t="s">
        <v>128</v>
      </c>
      <c r="T1014" t="s">
        <v>181</v>
      </c>
      <c r="U1014" t="s">
        <v>129</v>
      </c>
      <c r="V1014" t="s">
        <v>71</v>
      </c>
      <c r="W1014" s="58">
        <v>43338</v>
      </c>
      <c r="X1014" s="59">
        <v>0.30208333333333331</v>
      </c>
      <c r="Y1014" s="59">
        <v>0.35416666666666669</v>
      </c>
      <c r="Z1014" s="59">
        <v>5.2083333333333336E-2</v>
      </c>
      <c r="AA1014">
        <v>0</v>
      </c>
      <c r="AC1014">
        <v>28.75</v>
      </c>
      <c r="AD1014">
        <v>13.125</v>
      </c>
      <c r="AE1014" s="59">
        <v>0.30208333333333331</v>
      </c>
      <c r="AF1014" s="59">
        <v>0.35347222222222219</v>
      </c>
      <c r="AG1014">
        <v>30</v>
      </c>
    </row>
    <row r="1015" spans="1:33" x14ac:dyDescent="0.25">
      <c r="A1015" t="s">
        <v>258</v>
      </c>
      <c r="B1015" t="s">
        <v>325</v>
      </c>
      <c r="C1015" t="s">
        <v>326</v>
      </c>
      <c r="E1015" t="s">
        <v>327</v>
      </c>
      <c r="F1015" t="s">
        <v>134</v>
      </c>
      <c r="H1015" t="s">
        <v>182</v>
      </c>
      <c r="I1015" t="s">
        <v>147</v>
      </c>
      <c r="J1015" t="s">
        <v>266</v>
      </c>
      <c r="K1015" t="s">
        <v>394</v>
      </c>
      <c r="L1015" t="s">
        <v>395</v>
      </c>
      <c r="N1015" t="s">
        <v>359</v>
      </c>
      <c r="O1015" t="s">
        <v>134</v>
      </c>
      <c r="Q1015" t="s">
        <v>207</v>
      </c>
      <c r="R1015" t="s">
        <v>183</v>
      </c>
      <c r="S1015" t="s">
        <v>128</v>
      </c>
      <c r="T1015" t="s">
        <v>181</v>
      </c>
      <c r="U1015" t="s">
        <v>129</v>
      </c>
      <c r="V1015" t="s">
        <v>71</v>
      </c>
      <c r="W1015" s="58">
        <v>43338</v>
      </c>
      <c r="X1015" s="59">
        <v>0.36458333333333331</v>
      </c>
      <c r="Y1015" s="59">
        <v>0.40625</v>
      </c>
      <c r="Z1015" s="59">
        <v>4.1666666666666664E-2</v>
      </c>
      <c r="AA1015">
        <v>0</v>
      </c>
      <c r="AB1015">
        <v>1.2704</v>
      </c>
      <c r="AC1015">
        <v>23</v>
      </c>
      <c r="AD1015">
        <v>10.5</v>
      </c>
      <c r="AE1015" s="59">
        <v>0.36458333333333331</v>
      </c>
      <c r="AF1015" s="59">
        <v>0.4055555555555555</v>
      </c>
      <c r="AG1015">
        <v>30</v>
      </c>
    </row>
    <row r="1016" spans="1:33" x14ac:dyDescent="0.25">
      <c r="A1016" t="s">
        <v>274</v>
      </c>
      <c r="B1016" t="s">
        <v>321</v>
      </c>
      <c r="C1016" t="s">
        <v>322</v>
      </c>
      <c r="D1016" t="s">
        <v>323</v>
      </c>
      <c r="E1016" t="s">
        <v>324</v>
      </c>
      <c r="F1016" t="s">
        <v>134</v>
      </c>
      <c r="H1016" t="s">
        <v>184</v>
      </c>
      <c r="I1016" t="s">
        <v>147</v>
      </c>
      <c r="J1016" t="s">
        <v>266</v>
      </c>
      <c r="K1016" t="s">
        <v>394</v>
      </c>
      <c r="L1016" t="s">
        <v>395</v>
      </c>
      <c r="N1016" t="s">
        <v>359</v>
      </c>
      <c r="O1016" t="s">
        <v>134</v>
      </c>
      <c r="Q1016" t="s">
        <v>207</v>
      </c>
      <c r="R1016" t="s">
        <v>185</v>
      </c>
      <c r="S1016" t="s">
        <v>128</v>
      </c>
      <c r="T1016" t="s">
        <v>181</v>
      </c>
      <c r="U1016" t="s">
        <v>151</v>
      </c>
      <c r="V1016" t="s">
        <v>71</v>
      </c>
      <c r="W1016" s="58">
        <v>43338</v>
      </c>
      <c r="X1016" s="59">
        <v>0.41666666666666669</v>
      </c>
      <c r="Y1016" s="59">
        <v>0.45833333333333331</v>
      </c>
      <c r="Z1016" s="59">
        <v>4.1666666666666664E-2</v>
      </c>
      <c r="AA1016">
        <v>0</v>
      </c>
      <c r="AB1016">
        <v>2.2181999999999999</v>
      </c>
      <c r="AC1016">
        <v>20</v>
      </c>
      <c r="AD1016">
        <v>10.5</v>
      </c>
      <c r="AE1016" s="59">
        <v>0.41666666666666669</v>
      </c>
      <c r="AF1016" s="59">
        <v>0.45763888888888887</v>
      </c>
      <c r="AG1016">
        <v>30</v>
      </c>
    </row>
    <row r="1017" spans="1:33" x14ac:dyDescent="0.25">
      <c r="A1017" t="s">
        <v>258</v>
      </c>
      <c r="B1017" t="s">
        <v>281</v>
      </c>
      <c r="C1017" t="s">
        <v>282</v>
      </c>
      <c r="E1017" t="s">
        <v>283</v>
      </c>
      <c r="F1017" t="s">
        <v>134</v>
      </c>
      <c r="G1017" t="s">
        <v>218</v>
      </c>
      <c r="H1017" t="s">
        <v>146</v>
      </c>
      <c r="I1017" t="s">
        <v>147</v>
      </c>
      <c r="J1017" t="s">
        <v>266</v>
      </c>
      <c r="K1017" t="s">
        <v>394</v>
      </c>
      <c r="L1017" t="s">
        <v>395</v>
      </c>
      <c r="N1017" t="s">
        <v>359</v>
      </c>
      <c r="O1017" t="s">
        <v>134</v>
      </c>
      <c r="Q1017" t="s">
        <v>207</v>
      </c>
      <c r="R1017" t="s">
        <v>148</v>
      </c>
      <c r="S1017" t="s">
        <v>128</v>
      </c>
      <c r="T1017" t="s">
        <v>181</v>
      </c>
      <c r="U1017" t="s">
        <v>129</v>
      </c>
      <c r="V1017" t="s">
        <v>71</v>
      </c>
      <c r="W1017" s="58">
        <v>43338</v>
      </c>
      <c r="X1017" s="59">
        <v>0.47916666666666669</v>
      </c>
      <c r="Y1017" s="59">
        <v>0.52083333333333337</v>
      </c>
      <c r="Z1017" s="59">
        <v>4.1666666666666664E-2</v>
      </c>
      <c r="AA1017">
        <v>0</v>
      </c>
      <c r="AB1017">
        <v>1.9228000000000001</v>
      </c>
      <c r="AC1017">
        <v>23</v>
      </c>
      <c r="AD1017">
        <v>10.5</v>
      </c>
      <c r="AE1017" s="59">
        <v>0.47916666666666669</v>
      </c>
      <c r="AF1017" s="59">
        <v>0.52013888888888882</v>
      </c>
      <c r="AG1017">
        <v>30</v>
      </c>
    </row>
    <row r="1018" spans="1:33" x14ac:dyDescent="0.25">
      <c r="A1018" t="s">
        <v>258</v>
      </c>
      <c r="B1018" t="s">
        <v>325</v>
      </c>
      <c r="C1018" t="s">
        <v>326</v>
      </c>
      <c r="E1018" t="s">
        <v>327</v>
      </c>
      <c r="F1018" t="s">
        <v>134</v>
      </c>
      <c r="H1018" t="s">
        <v>182</v>
      </c>
      <c r="I1018" t="s">
        <v>147</v>
      </c>
      <c r="J1018" t="s">
        <v>266</v>
      </c>
      <c r="K1018" t="s">
        <v>394</v>
      </c>
      <c r="L1018" t="s">
        <v>395</v>
      </c>
      <c r="N1018" t="s">
        <v>359</v>
      </c>
      <c r="O1018" t="s">
        <v>134</v>
      </c>
      <c r="Q1018" t="s">
        <v>207</v>
      </c>
      <c r="R1018" t="s">
        <v>183</v>
      </c>
      <c r="S1018" t="s">
        <v>128</v>
      </c>
      <c r="T1018" t="s">
        <v>181</v>
      </c>
      <c r="U1018" t="s">
        <v>129</v>
      </c>
      <c r="V1018" t="s">
        <v>73</v>
      </c>
      <c r="W1018" s="58">
        <v>43340</v>
      </c>
      <c r="X1018" s="59">
        <v>0.36458333333333331</v>
      </c>
      <c r="Y1018" s="59">
        <v>0.40625</v>
      </c>
      <c r="Z1018" s="59">
        <v>4.1666666666666664E-2</v>
      </c>
      <c r="AA1018">
        <v>0</v>
      </c>
      <c r="AC1018">
        <v>23</v>
      </c>
      <c r="AD1018">
        <v>9.5</v>
      </c>
      <c r="AE1018" s="59">
        <v>0.36458333333333331</v>
      </c>
      <c r="AF1018" s="59">
        <v>0.4055555555555555</v>
      </c>
      <c r="AG1018">
        <v>30</v>
      </c>
    </row>
    <row r="1019" spans="1:33" x14ac:dyDescent="0.25">
      <c r="A1019" t="s">
        <v>274</v>
      </c>
      <c r="B1019" t="s">
        <v>321</v>
      </c>
      <c r="C1019" t="s">
        <v>322</v>
      </c>
      <c r="D1019" t="s">
        <v>323</v>
      </c>
      <c r="E1019" t="s">
        <v>324</v>
      </c>
      <c r="F1019" t="s">
        <v>134</v>
      </c>
      <c r="H1019" t="s">
        <v>184</v>
      </c>
      <c r="I1019" t="s">
        <v>147</v>
      </c>
      <c r="J1019" t="s">
        <v>266</v>
      </c>
      <c r="K1019" t="s">
        <v>394</v>
      </c>
      <c r="L1019" t="s">
        <v>395</v>
      </c>
      <c r="N1019" t="s">
        <v>359</v>
      </c>
      <c r="O1019" t="s">
        <v>134</v>
      </c>
      <c r="Q1019" t="s">
        <v>207</v>
      </c>
      <c r="R1019" t="s">
        <v>185</v>
      </c>
      <c r="S1019" t="s">
        <v>128</v>
      </c>
      <c r="T1019" t="s">
        <v>181</v>
      </c>
      <c r="U1019" t="s">
        <v>151</v>
      </c>
      <c r="V1019" t="s">
        <v>73</v>
      </c>
      <c r="W1019" s="58">
        <v>43340</v>
      </c>
      <c r="X1019" s="59">
        <v>0.41666666666666669</v>
      </c>
      <c r="Y1019" s="59">
        <v>0.45833333333333331</v>
      </c>
      <c r="Z1019" s="59">
        <v>4.1666666666666664E-2</v>
      </c>
      <c r="AA1019">
        <v>4</v>
      </c>
      <c r="AB1019">
        <v>2.2181999999999999</v>
      </c>
      <c r="AC1019">
        <v>20</v>
      </c>
      <c r="AD1019">
        <v>9.5</v>
      </c>
      <c r="AE1019" s="59">
        <v>0.41666666666666669</v>
      </c>
      <c r="AF1019" s="59">
        <v>0.45763888888888887</v>
      </c>
      <c r="AG1019">
        <v>30</v>
      </c>
    </row>
    <row r="1020" spans="1:33" x14ac:dyDescent="0.25">
      <c r="A1020" t="s">
        <v>266</v>
      </c>
      <c r="B1020" t="s">
        <v>293</v>
      </c>
      <c r="C1020" t="s">
        <v>294</v>
      </c>
      <c r="E1020" t="s">
        <v>295</v>
      </c>
      <c r="F1020" t="s">
        <v>134</v>
      </c>
      <c r="H1020" t="s">
        <v>157</v>
      </c>
      <c r="I1020" t="s">
        <v>158</v>
      </c>
      <c r="J1020" t="s">
        <v>266</v>
      </c>
      <c r="K1020" t="s">
        <v>394</v>
      </c>
      <c r="L1020" t="s">
        <v>395</v>
      </c>
      <c r="N1020" t="s">
        <v>359</v>
      </c>
      <c r="O1020" t="s">
        <v>134</v>
      </c>
      <c r="Q1020" t="s">
        <v>207</v>
      </c>
      <c r="R1020" t="s">
        <v>161</v>
      </c>
      <c r="S1020" t="s">
        <v>128</v>
      </c>
      <c r="T1020" t="s">
        <v>181</v>
      </c>
      <c r="U1020" t="s">
        <v>163</v>
      </c>
      <c r="V1020" t="s">
        <v>73</v>
      </c>
      <c r="W1020" s="58">
        <v>43340</v>
      </c>
      <c r="X1020" s="59">
        <v>0.6875</v>
      </c>
      <c r="Y1020" s="59">
        <v>0.85416666666666663</v>
      </c>
      <c r="Z1020" s="59">
        <v>0.16666666666666666</v>
      </c>
      <c r="AA1020">
        <v>0</v>
      </c>
      <c r="AC1020">
        <v>72</v>
      </c>
      <c r="AD1020">
        <v>38</v>
      </c>
      <c r="AE1020" s="59">
        <v>0.6875</v>
      </c>
      <c r="AF1020" s="59">
        <v>0.8534722222222223</v>
      </c>
      <c r="AG1020">
        <v>30</v>
      </c>
    </row>
    <row r="1021" spans="1:33" x14ac:dyDescent="0.25">
      <c r="A1021" t="s">
        <v>258</v>
      </c>
      <c r="B1021" t="s">
        <v>325</v>
      </c>
      <c r="C1021" t="s">
        <v>326</v>
      </c>
      <c r="E1021" t="s">
        <v>327</v>
      </c>
      <c r="F1021" t="s">
        <v>134</v>
      </c>
      <c r="H1021" t="s">
        <v>182</v>
      </c>
      <c r="I1021" t="s">
        <v>147</v>
      </c>
      <c r="J1021" t="s">
        <v>266</v>
      </c>
      <c r="K1021" t="s">
        <v>394</v>
      </c>
      <c r="L1021" t="s">
        <v>395</v>
      </c>
      <c r="N1021" t="s">
        <v>359</v>
      </c>
      <c r="O1021" t="s">
        <v>134</v>
      </c>
      <c r="Q1021" t="s">
        <v>207</v>
      </c>
      <c r="R1021" t="s">
        <v>183</v>
      </c>
      <c r="S1021" t="s">
        <v>128</v>
      </c>
      <c r="T1021" t="s">
        <v>181</v>
      </c>
      <c r="U1021" t="s">
        <v>129</v>
      </c>
      <c r="V1021" t="s">
        <v>74</v>
      </c>
      <c r="W1021" s="58">
        <v>43341</v>
      </c>
      <c r="X1021" s="59">
        <v>0.36458333333333331</v>
      </c>
      <c r="Y1021" s="59">
        <v>0.40625</v>
      </c>
      <c r="Z1021" s="59">
        <v>4.1666666666666664E-2</v>
      </c>
      <c r="AA1021">
        <v>0</v>
      </c>
      <c r="AC1021">
        <v>23</v>
      </c>
      <c r="AD1021">
        <v>9.5</v>
      </c>
      <c r="AE1021" s="59">
        <v>0.36458333333333331</v>
      </c>
      <c r="AF1021" s="59">
        <v>0.4055555555555555</v>
      </c>
      <c r="AG1021">
        <v>30</v>
      </c>
    </row>
    <row r="1022" spans="1:33" x14ac:dyDescent="0.25">
      <c r="A1022" t="s">
        <v>274</v>
      </c>
      <c r="B1022" t="s">
        <v>321</v>
      </c>
      <c r="C1022" t="s">
        <v>322</v>
      </c>
      <c r="D1022" t="s">
        <v>323</v>
      </c>
      <c r="E1022" t="s">
        <v>324</v>
      </c>
      <c r="F1022" t="s">
        <v>134</v>
      </c>
      <c r="H1022" t="s">
        <v>184</v>
      </c>
      <c r="I1022" t="s">
        <v>147</v>
      </c>
      <c r="J1022" t="s">
        <v>266</v>
      </c>
      <c r="K1022" t="s">
        <v>394</v>
      </c>
      <c r="L1022" t="s">
        <v>395</v>
      </c>
      <c r="N1022" t="s">
        <v>359</v>
      </c>
      <c r="O1022" t="s">
        <v>134</v>
      </c>
      <c r="Q1022" t="s">
        <v>207</v>
      </c>
      <c r="R1022" t="s">
        <v>185</v>
      </c>
      <c r="S1022" t="s">
        <v>128</v>
      </c>
      <c r="T1022" t="s">
        <v>181</v>
      </c>
      <c r="U1022" t="s">
        <v>151</v>
      </c>
      <c r="V1022" t="s">
        <v>74</v>
      </c>
      <c r="W1022" s="58">
        <v>43341</v>
      </c>
      <c r="X1022" s="59">
        <v>0.41666666666666669</v>
      </c>
      <c r="Y1022" s="59">
        <v>0.45833333333333331</v>
      </c>
      <c r="Z1022" s="59">
        <v>4.1666666666666664E-2</v>
      </c>
      <c r="AA1022">
        <v>4</v>
      </c>
      <c r="AB1022">
        <v>2.2181999999999999</v>
      </c>
      <c r="AC1022">
        <v>20</v>
      </c>
      <c r="AD1022">
        <v>9.5</v>
      </c>
      <c r="AE1022" s="59">
        <v>0.41666666666666669</v>
      </c>
      <c r="AF1022" s="59">
        <v>0.45763888888888887</v>
      </c>
      <c r="AG1022">
        <v>30</v>
      </c>
    </row>
    <row r="1023" spans="1:33" x14ac:dyDescent="0.25">
      <c r="A1023" t="s">
        <v>258</v>
      </c>
      <c r="B1023" t="s">
        <v>325</v>
      </c>
      <c r="C1023" t="s">
        <v>326</v>
      </c>
      <c r="E1023" t="s">
        <v>327</v>
      </c>
      <c r="F1023" t="s">
        <v>134</v>
      </c>
      <c r="H1023" t="s">
        <v>182</v>
      </c>
      <c r="I1023" t="s">
        <v>147</v>
      </c>
      <c r="J1023" t="s">
        <v>266</v>
      </c>
      <c r="K1023" t="s">
        <v>394</v>
      </c>
      <c r="L1023" t="s">
        <v>395</v>
      </c>
      <c r="N1023" t="s">
        <v>359</v>
      </c>
      <c r="O1023" t="s">
        <v>134</v>
      </c>
      <c r="Q1023" t="s">
        <v>207</v>
      </c>
      <c r="R1023" t="s">
        <v>183</v>
      </c>
      <c r="S1023" t="s">
        <v>128</v>
      </c>
      <c r="T1023" t="s">
        <v>181</v>
      </c>
      <c r="U1023" t="s">
        <v>129</v>
      </c>
      <c r="V1023" t="s">
        <v>74</v>
      </c>
      <c r="W1023" s="58">
        <v>43341</v>
      </c>
      <c r="X1023" s="59">
        <v>0.5</v>
      </c>
      <c r="Y1023" s="59">
        <v>0.54166666666666663</v>
      </c>
      <c r="Z1023" s="59">
        <v>4.1666666666666664E-2</v>
      </c>
      <c r="AA1023">
        <v>0</v>
      </c>
      <c r="AB1023">
        <v>2.2181999999999999</v>
      </c>
      <c r="AC1023">
        <v>23</v>
      </c>
      <c r="AD1023">
        <v>9.5</v>
      </c>
      <c r="AE1023" s="59">
        <v>0.5</v>
      </c>
      <c r="AF1023" s="59">
        <v>0.54097222222222219</v>
      </c>
      <c r="AG1023">
        <v>30</v>
      </c>
    </row>
    <row r="1024" spans="1:33" x14ac:dyDescent="0.25">
      <c r="A1024" t="s">
        <v>258</v>
      </c>
      <c r="B1024" t="s">
        <v>278</v>
      </c>
      <c r="C1024" t="s">
        <v>279</v>
      </c>
      <c r="E1024" t="s">
        <v>280</v>
      </c>
      <c r="F1024" t="s">
        <v>134</v>
      </c>
      <c r="H1024" t="s">
        <v>144</v>
      </c>
      <c r="I1024" t="s">
        <v>133</v>
      </c>
      <c r="J1024" t="s">
        <v>266</v>
      </c>
      <c r="K1024" t="s">
        <v>394</v>
      </c>
      <c r="L1024" t="s">
        <v>395</v>
      </c>
      <c r="N1024" t="s">
        <v>359</v>
      </c>
      <c r="O1024" t="s">
        <v>134</v>
      </c>
      <c r="Q1024" t="s">
        <v>207</v>
      </c>
      <c r="R1024" t="s">
        <v>145</v>
      </c>
      <c r="S1024" t="s">
        <v>128</v>
      </c>
      <c r="T1024" t="s">
        <v>181</v>
      </c>
      <c r="U1024" t="s">
        <v>129</v>
      </c>
      <c r="V1024" t="s">
        <v>74</v>
      </c>
      <c r="W1024" s="58">
        <v>43341</v>
      </c>
      <c r="X1024" s="59">
        <v>0.70833333333333337</v>
      </c>
      <c r="Y1024" s="59">
        <v>0.75</v>
      </c>
      <c r="Z1024" s="59">
        <v>4.1666666666666664E-2</v>
      </c>
      <c r="AA1024">
        <v>0</v>
      </c>
      <c r="AC1024">
        <v>23</v>
      </c>
      <c r="AD1024">
        <v>9.5</v>
      </c>
      <c r="AE1024" s="59">
        <v>0.70833333333333337</v>
      </c>
      <c r="AF1024" s="59">
        <v>0.74930555555555556</v>
      </c>
      <c r="AG1024">
        <v>30</v>
      </c>
    </row>
    <row r="1025" spans="1:33" x14ac:dyDescent="0.25">
      <c r="A1025" t="s">
        <v>258</v>
      </c>
      <c r="B1025" t="s">
        <v>270</v>
      </c>
      <c r="C1025" t="s">
        <v>271</v>
      </c>
      <c r="D1025" t="s">
        <v>272</v>
      </c>
      <c r="E1025" t="s">
        <v>273</v>
      </c>
      <c r="F1025" t="s">
        <v>134</v>
      </c>
      <c r="H1025" t="s">
        <v>138</v>
      </c>
      <c r="I1025" t="s">
        <v>139</v>
      </c>
      <c r="J1025" t="s">
        <v>266</v>
      </c>
      <c r="K1025" t="s">
        <v>394</v>
      </c>
      <c r="L1025" t="s">
        <v>395</v>
      </c>
      <c r="N1025" t="s">
        <v>359</v>
      </c>
      <c r="O1025" t="s">
        <v>134</v>
      </c>
      <c r="Q1025" t="s">
        <v>207</v>
      </c>
      <c r="R1025" t="s">
        <v>140</v>
      </c>
      <c r="S1025" t="s">
        <v>128</v>
      </c>
      <c r="T1025" t="s">
        <v>181</v>
      </c>
      <c r="U1025" t="s">
        <v>129</v>
      </c>
      <c r="V1025" t="s">
        <v>74</v>
      </c>
      <c r="W1025" s="58">
        <v>43341</v>
      </c>
      <c r="X1025" s="59">
        <v>0.76041666666666663</v>
      </c>
      <c r="Y1025" s="59">
        <v>0.79166666666666663</v>
      </c>
      <c r="Z1025" s="59">
        <v>3.125E-2</v>
      </c>
      <c r="AA1025">
        <v>0</v>
      </c>
      <c r="AB1025">
        <v>2.2465999999999999</v>
      </c>
      <c r="AC1025">
        <v>17.25</v>
      </c>
      <c r="AD1025">
        <v>7.125</v>
      </c>
      <c r="AE1025" s="59">
        <v>0.76041666666666663</v>
      </c>
      <c r="AF1025" s="59">
        <v>0.7909722222222223</v>
      </c>
      <c r="AG1025">
        <v>30</v>
      </c>
    </row>
    <row r="1026" spans="1:33" x14ac:dyDescent="0.25">
      <c r="A1026" t="s">
        <v>258</v>
      </c>
      <c r="B1026" t="s">
        <v>325</v>
      </c>
      <c r="C1026" t="s">
        <v>326</v>
      </c>
      <c r="E1026" t="s">
        <v>327</v>
      </c>
      <c r="F1026" t="s">
        <v>134</v>
      </c>
      <c r="H1026" t="s">
        <v>182</v>
      </c>
      <c r="I1026" t="s">
        <v>147</v>
      </c>
      <c r="J1026" t="s">
        <v>266</v>
      </c>
      <c r="K1026" t="s">
        <v>394</v>
      </c>
      <c r="L1026" t="s">
        <v>395</v>
      </c>
      <c r="N1026" t="s">
        <v>359</v>
      </c>
      <c r="O1026" t="s">
        <v>134</v>
      </c>
      <c r="Q1026" t="s">
        <v>207</v>
      </c>
      <c r="R1026" t="s">
        <v>183</v>
      </c>
      <c r="S1026" t="s">
        <v>128</v>
      </c>
      <c r="T1026" t="s">
        <v>181</v>
      </c>
      <c r="U1026" t="s">
        <v>129</v>
      </c>
      <c r="V1026" t="s">
        <v>75</v>
      </c>
      <c r="W1026" s="58">
        <v>43342</v>
      </c>
      <c r="X1026" s="59">
        <v>0.36458333333333331</v>
      </c>
      <c r="Y1026" s="59">
        <v>0.40625</v>
      </c>
      <c r="Z1026" s="59">
        <v>4.1666666666666664E-2</v>
      </c>
      <c r="AA1026">
        <v>0</v>
      </c>
      <c r="AC1026">
        <v>23</v>
      </c>
      <c r="AD1026">
        <v>9.5</v>
      </c>
      <c r="AE1026" s="59">
        <v>0.36458333333333331</v>
      </c>
      <c r="AF1026" s="59">
        <v>0.4055555555555555</v>
      </c>
      <c r="AG1026">
        <v>30</v>
      </c>
    </row>
    <row r="1027" spans="1:33" x14ac:dyDescent="0.25">
      <c r="A1027" t="s">
        <v>274</v>
      </c>
      <c r="B1027" t="s">
        <v>321</v>
      </c>
      <c r="C1027" t="s">
        <v>322</v>
      </c>
      <c r="D1027" t="s">
        <v>323</v>
      </c>
      <c r="E1027" t="s">
        <v>324</v>
      </c>
      <c r="F1027" t="s">
        <v>134</v>
      </c>
      <c r="H1027" t="s">
        <v>184</v>
      </c>
      <c r="I1027" t="s">
        <v>147</v>
      </c>
      <c r="J1027" t="s">
        <v>266</v>
      </c>
      <c r="K1027" t="s">
        <v>394</v>
      </c>
      <c r="L1027" t="s">
        <v>395</v>
      </c>
      <c r="N1027" t="s">
        <v>359</v>
      </c>
      <c r="O1027" t="s">
        <v>134</v>
      </c>
      <c r="Q1027" t="s">
        <v>207</v>
      </c>
      <c r="R1027" t="s">
        <v>185</v>
      </c>
      <c r="S1027" t="s">
        <v>128</v>
      </c>
      <c r="T1027" t="s">
        <v>181</v>
      </c>
      <c r="U1027" t="s">
        <v>151</v>
      </c>
      <c r="V1027" t="s">
        <v>75</v>
      </c>
      <c r="W1027" s="58">
        <v>43342</v>
      </c>
      <c r="X1027" s="59">
        <v>0.41666666666666669</v>
      </c>
      <c r="Y1027" s="59">
        <v>0.45833333333333331</v>
      </c>
      <c r="Z1027" s="59">
        <v>4.1666666666666664E-2</v>
      </c>
      <c r="AA1027">
        <v>4</v>
      </c>
      <c r="AB1027">
        <v>2.2181999999999999</v>
      </c>
      <c r="AC1027">
        <v>20</v>
      </c>
      <c r="AD1027">
        <v>9.5</v>
      </c>
      <c r="AE1027" s="59">
        <v>0.41666666666666669</v>
      </c>
      <c r="AF1027" s="59">
        <v>0.45763888888888887</v>
      </c>
      <c r="AG1027">
        <v>30</v>
      </c>
    </row>
    <row r="1028" spans="1:33" x14ac:dyDescent="0.25">
      <c r="A1028" t="s">
        <v>274</v>
      </c>
      <c r="B1028" t="s">
        <v>328</v>
      </c>
      <c r="C1028" t="s">
        <v>329</v>
      </c>
      <c r="D1028">
        <v>5</v>
      </c>
      <c r="E1028" t="s">
        <v>330</v>
      </c>
      <c r="F1028" t="s">
        <v>134</v>
      </c>
      <c r="G1028" t="s">
        <v>218</v>
      </c>
      <c r="H1028" t="s">
        <v>188</v>
      </c>
      <c r="I1028" t="s">
        <v>189</v>
      </c>
      <c r="J1028" t="s">
        <v>266</v>
      </c>
      <c r="K1028" t="s">
        <v>394</v>
      </c>
      <c r="L1028" t="s">
        <v>395</v>
      </c>
      <c r="N1028" t="s">
        <v>359</v>
      </c>
      <c r="O1028" t="s">
        <v>134</v>
      </c>
      <c r="Q1028" t="s">
        <v>207</v>
      </c>
      <c r="R1028" t="s">
        <v>190</v>
      </c>
      <c r="S1028" t="s">
        <v>128</v>
      </c>
      <c r="T1028" t="s">
        <v>181</v>
      </c>
      <c r="U1028" t="s">
        <v>151</v>
      </c>
      <c r="V1028" t="s">
        <v>76</v>
      </c>
      <c r="W1028" s="58">
        <v>43343</v>
      </c>
      <c r="X1028" s="59">
        <v>0.33333333333333331</v>
      </c>
      <c r="Y1028" s="59">
        <v>0.5</v>
      </c>
      <c r="Z1028" s="59">
        <v>0.16666666666666666</v>
      </c>
      <c r="AA1028">
        <v>0</v>
      </c>
      <c r="AC1028">
        <v>70</v>
      </c>
      <c r="AD1028">
        <v>38</v>
      </c>
      <c r="AE1028" s="59">
        <v>0.33333333333333331</v>
      </c>
      <c r="AF1028" s="59">
        <v>0.4993055555555555</v>
      </c>
      <c r="AG1028">
        <v>30</v>
      </c>
    </row>
    <row r="1029" spans="1:33" x14ac:dyDescent="0.25">
      <c r="A1029" t="s">
        <v>258</v>
      </c>
      <c r="B1029" t="s">
        <v>325</v>
      </c>
      <c r="C1029" t="s">
        <v>326</v>
      </c>
      <c r="E1029" t="s">
        <v>327</v>
      </c>
      <c r="F1029" t="s">
        <v>134</v>
      </c>
      <c r="H1029" t="s">
        <v>182</v>
      </c>
      <c r="I1029" t="s">
        <v>147</v>
      </c>
      <c r="J1029" t="s">
        <v>266</v>
      </c>
      <c r="K1029" t="s">
        <v>394</v>
      </c>
      <c r="L1029" t="s">
        <v>395</v>
      </c>
      <c r="N1029" t="s">
        <v>359</v>
      </c>
      <c r="O1029" t="s">
        <v>134</v>
      </c>
      <c r="Q1029" t="s">
        <v>207</v>
      </c>
      <c r="R1029" t="s">
        <v>183</v>
      </c>
      <c r="S1029" t="s">
        <v>128</v>
      </c>
      <c r="T1029" t="s">
        <v>181</v>
      </c>
      <c r="U1029" t="s">
        <v>129</v>
      </c>
      <c r="V1029" t="s">
        <v>76</v>
      </c>
      <c r="W1029" s="58">
        <v>43343</v>
      </c>
      <c r="X1029" s="59">
        <v>0.51041666666666663</v>
      </c>
      <c r="Y1029" s="59">
        <v>0.55208333333333337</v>
      </c>
      <c r="Z1029" s="59">
        <v>4.1666666666666664E-2</v>
      </c>
      <c r="AA1029">
        <v>0</v>
      </c>
      <c r="AB1029">
        <v>3.4613999999999998</v>
      </c>
      <c r="AC1029">
        <v>23</v>
      </c>
      <c r="AD1029">
        <v>9.5</v>
      </c>
      <c r="AE1029" s="59">
        <v>0.51041666666666663</v>
      </c>
      <c r="AF1029" s="59">
        <v>0.55138888888888882</v>
      </c>
      <c r="AG1029">
        <v>30</v>
      </c>
    </row>
    <row r="1030" spans="1:33" x14ac:dyDescent="0.25">
      <c r="A1030" t="s">
        <v>258</v>
      </c>
      <c r="B1030" t="s">
        <v>262</v>
      </c>
      <c r="C1030" t="s">
        <v>263</v>
      </c>
      <c r="D1030" t="s">
        <v>264</v>
      </c>
      <c r="E1030" t="s">
        <v>265</v>
      </c>
      <c r="F1030" t="s">
        <v>134</v>
      </c>
      <c r="H1030" t="s">
        <v>132</v>
      </c>
      <c r="I1030" t="s">
        <v>133</v>
      </c>
      <c r="J1030" t="s">
        <v>266</v>
      </c>
      <c r="K1030" t="s">
        <v>394</v>
      </c>
      <c r="L1030" t="s">
        <v>395</v>
      </c>
      <c r="N1030" t="s">
        <v>359</v>
      </c>
      <c r="O1030" t="s">
        <v>134</v>
      </c>
      <c r="Q1030" t="s">
        <v>207</v>
      </c>
      <c r="R1030" t="s">
        <v>136</v>
      </c>
      <c r="S1030" t="s">
        <v>128</v>
      </c>
      <c r="T1030" t="s">
        <v>181</v>
      </c>
      <c r="U1030" t="s">
        <v>129</v>
      </c>
      <c r="V1030" t="s">
        <v>76</v>
      </c>
      <c r="W1030" s="58">
        <v>43343</v>
      </c>
      <c r="X1030" s="59">
        <v>0.70833333333333337</v>
      </c>
      <c r="Y1030" s="59">
        <v>0.75</v>
      </c>
      <c r="Z1030" s="59">
        <v>4.1666666666666664E-2</v>
      </c>
      <c r="AA1030">
        <v>0</v>
      </c>
      <c r="AC1030">
        <v>23</v>
      </c>
      <c r="AD1030">
        <v>9.5</v>
      </c>
      <c r="AE1030" s="59">
        <v>0.70833333333333337</v>
      </c>
      <c r="AF1030" s="59">
        <v>0.74930555555555556</v>
      </c>
      <c r="AG1030">
        <v>30</v>
      </c>
    </row>
    <row r="1031" spans="1:33" x14ac:dyDescent="0.25">
      <c r="A1031" t="s">
        <v>258</v>
      </c>
      <c r="B1031" t="s">
        <v>278</v>
      </c>
      <c r="C1031" t="s">
        <v>279</v>
      </c>
      <c r="E1031" t="s">
        <v>280</v>
      </c>
      <c r="F1031" t="s">
        <v>134</v>
      </c>
      <c r="H1031" t="s">
        <v>144</v>
      </c>
      <c r="I1031" t="s">
        <v>133</v>
      </c>
      <c r="J1031" t="s">
        <v>266</v>
      </c>
      <c r="K1031" t="s">
        <v>394</v>
      </c>
      <c r="L1031" t="s">
        <v>395</v>
      </c>
      <c r="N1031" t="s">
        <v>359</v>
      </c>
      <c r="O1031" t="s">
        <v>134</v>
      </c>
      <c r="Q1031" t="s">
        <v>207</v>
      </c>
      <c r="R1031" t="s">
        <v>145</v>
      </c>
      <c r="S1031" t="s">
        <v>128</v>
      </c>
      <c r="T1031" t="s">
        <v>181</v>
      </c>
      <c r="U1031" t="s">
        <v>129</v>
      </c>
      <c r="V1031" t="s">
        <v>76</v>
      </c>
      <c r="W1031" s="58">
        <v>43343</v>
      </c>
      <c r="X1031" s="59">
        <v>0.84375</v>
      </c>
      <c r="Y1031" s="59">
        <v>0.88541666666666663</v>
      </c>
      <c r="Z1031" s="59">
        <v>4.1666666666666664E-2</v>
      </c>
      <c r="AA1031">
        <v>0</v>
      </c>
      <c r="AB1031">
        <v>4.6159999999999997</v>
      </c>
      <c r="AC1031">
        <v>23</v>
      </c>
      <c r="AD1031">
        <v>9.5</v>
      </c>
      <c r="AE1031" s="59">
        <v>0.84375</v>
      </c>
      <c r="AF1031" s="59">
        <v>0.8847222222222223</v>
      </c>
      <c r="AG1031">
        <v>30</v>
      </c>
    </row>
    <row r="1032" spans="1:33" x14ac:dyDescent="0.25">
      <c r="A1032" t="s">
        <v>258</v>
      </c>
      <c r="B1032" t="s">
        <v>281</v>
      </c>
      <c r="C1032" t="s">
        <v>282</v>
      </c>
      <c r="E1032" t="s">
        <v>283</v>
      </c>
      <c r="F1032" t="s">
        <v>134</v>
      </c>
      <c r="G1032" t="s">
        <v>218</v>
      </c>
      <c r="H1032" t="s">
        <v>146</v>
      </c>
      <c r="I1032" t="s">
        <v>147</v>
      </c>
      <c r="J1032" t="s">
        <v>266</v>
      </c>
      <c r="K1032" t="s">
        <v>394</v>
      </c>
      <c r="L1032" t="s">
        <v>395</v>
      </c>
      <c r="N1032" t="s">
        <v>359</v>
      </c>
      <c r="O1032" t="s">
        <v>134</v>
      </c>
      <c r="Q1032" t="s">
        <v>207</v>
      </c>
      <c r="R1032" t="s">
        <v>148</v>
      </c>
      <c r="S1032" t="s">
        <v>128</v>
      </c>
      <c r="T1032" t="s">
        <v>181</v>
      </c>
      <c r="U1032" t="s">
        <v>129</v>
      </c>
      <c r="V1032" t="s">
        <v>77</v>
      </c>
      <c r="W1032" s="58">
        <v>43344</v>
      </c>
      <c r="X1032" s="59">
        <v>0.3125</v>
      </c>
      <c r="Y1032" s="59">
        <v>0.35416666666666669</v>
      </c>
      <c r="Z1032" s="59">
        <v>4.1666666666666664E-2</v>
      </c>
      <c r="AA1032">
        <v>0</v>
      </c>
      <c r="AC1032">
        <v>23</v>
      </c>
      <c r="AD1032">
        <v>10.5</v>
      </c>
      <c r="AE1032" s="59">
        <v>0.3125</v>
      </c>
      <c r="AF1032" s="59">
        <v>0.35347222222222219</v>
      </c>
      <c r="AG1032">
        <v>30</v>
      </c>
    </row>
    <row r="1033" spans="1:33" x14ac:dyDescent="0.25">
      <c r="A1033" t="s">
        <v>274</v>
      </c>
      <c r="B1033" t="s">
        <v>328</v>
      </c>
      <c r="C1033" t="s">
        <v>329</v>
      </c>
      <c r="D1033">
        <v>5</v>
      </c>
      <c r="E1033" t="s">
        <v>330</v>
      </c>
      <c r="F1033" t="s">
        <v>134</v>
      </c>
      <c r="G1033" t="s">
        <v>218</v>
      </c>
      <c r="H1033" t="s">
        <v>188</v>
      </c>
      <c r="I1033" t="s">
        <v>189</v>
      </c>
      <c r="J1033" t="s">
        <v>266</v>
      </c>
      <c r="K1033" t="s">
        <v>394</v>
      </c>
      <c r="L1033" t="s">
        <v>395</v>
      </c>
      <c r="N1033" t="s">
        <v>359</v>
      </c>
      <c r="O1033" t="s">
        <v>134</v>
      </c>
      <c r="Q1033" t="s">
        <v>207</v>
      </c>
      <c r="R1033" t="s">
        <v>190</v>
      </c>
      <c r="S1033" t="s">
        <v>128</v>
      </c>
      <c r="T1033" t="s">
        <v>181</v>
      </c>
      <c r="U1033" t="s">
        <v>151</v>
      </c>
      <c r="V1033" t="s">
        <v>77</v>
      </c>
      <c r="W1033" s="58">
        <v>43344</v>
      </c>
      <c r="X1033" s="59">
        <v>0.375</v>
      </c>
      <c r="Y1033" s="59">
        <v>0.45833333333333331</v>
      </c>
      <c r="Z1033" s="59">
        <v>8.3333333333333329E-2</v>
      </c>
      <c r="AA1033">
        <v>5</v>
      </c>
      <c r="AB1033">
        <v>3.1694</v>
      </c>
      <c r="AC1033">
        <v>40</v>
      </c>
      <c r="AD1033">
        <v>21</v>
      </c>
      <c r="AE1033" s="59">
        <v>0.375</v>
      </c>
      <c r="AF1033" s="59">
        <v>0.45763888888888887</v>
      </c>
      <c r="AG1033">
        <v>30</v>
      </c>
    </row>
    <row r="1034" spans="1:33" x14ac:dyDescent="0.25">
      <c r="A1034" t="s">
        <v>258</v>
      </c>
      <c r="B1034" t="s">
        <v>281</v>
      </c>
      <c r="C1034" t="s">
        <v>282</v>
      </c>
      <c r="E1034" t="s">
        <v>283</v>
      </c>
      <c r="F1034" t="s">
        <v>134</v>
      </c>
      <c r="G1034" t="s">
        <v>218</v>
      </c>
      <c r="H1034" t="s">
        <v>146</v>
      </c>
      <c r="I1034" t="s">
        <v>147</v>
      </c>
      <c r="J1034" t="s">
        <v>266</v>
      </c>
      <c r="K1034" t="s">
        <v>394</v>
      </c>
      <c r="L1034" t="s">
        <v>395</v>
      </c>
      <c r="N1034" t="s">
        <v>359</v>
      </c>
      <c r="O1034" t="s">
        <v>134</v>
      </c>
      <c r="Q1034" t="s">
        <v>207</v>
      </c>
      <c r="R1034" t="s">
        <v>148</v>
      </c>
      <c r="S1034" t="s">
        <v>128</v>
      </c>
      <c r="T1034" t="s">
        <v>181</v>
      </c>
      <c r="U1034" t="s">
        <v>129</v>
      </c>
      <c r="V1034" t="s">
        <v>77</v>
      </c>
      <c r="W1034" s="58">
        <v>43344</v>
      </c>
      <c r="X1034" s="59">
        <v>0.47916666666666669</v>
      </c>
      <c r="Y1034" s="59">
        <v>0.52083333333333337</v>
      </c>
      <c r="Z1034" s="59">
        <v>4.1666666666666664E-2</v>
      </c>
      <c r="AA1034">
        <v>4</v>
      </c>
      <c r="AB1034">
        <v>3.1659999999999999</v>
      </c>
      <c r="AC1034">
        <v>23</v>
      </c>
      <c r="AD1034">
        <v>10.5</v>
      </c>
      <c r="AE1034" s="59">
        <v>0.47916666666666669</v>
      </c>
      <c r="AF1034" s="59">
        <v>0.52013888888888882</v>
      </c>
      <c r="AG1034">
        <v>30</v>
      </c>
    </row>
    <row r="1035" spans="1:33" x14ac:dyDescent="0.25">
      <c r="A1035" t="s">
        <v>258</v>
      </c>
      <c r="B1035" t="s">
        <v>325</v>
      </c>
      <c r="C1035" t="s">
        <v>326</v>
      </c>
      <c r="E1035" t="s">
        <v>327</v>
      </c>
      <c r="F1035" t="s">
        <v>134</v>
      </c>
      <c r="H1035" t="s">
        <v>182</v>
      </c>
      <c r="I1035" t="s">
        <v>147</v>
      </c>
      <c r="J1035" t="s">
        <v>266</v>
      </c>
      <c r="K1035" t="s">
        <v>394</v>
      </c>
      <c r="L1035" t="s">
        <v>395</v>
      </c>
      <c r="N1035" t="s">
        <v>359</v>
      </c>
      <c r="O1035" t="s">
        <v>134</v>
      </c>
      <c r="Q1035" t="s">
        <v>207</v>
      </c>
      <c r="R1035" t="s">
        <v>183</v>
      </c>
      <c r="S1035" t="s">
        <v>128</v>
      </c>
      <c r="T1035" t="s">
        <v>181</v>
      </c>
      <c r="U1035" t="s">
        <v>129</v>
      </c>
      <c r="V1035" t="s">
        <v>77</v>
      </c>
      <c r="W1035" s="58">
        <v>43344</v>
      </c>
      <c r="X1035" s="59">
        <v>0.52430555555555558</v>
      </c>
      <c r="Y1035" s="59">
        <v>0.56597222222222221</v>
      </c>
      <c r="Z1035" s="59">
        <v>4.1666666666666664E-2</v>
      </c>
      <c r="AA1035">
        <v>2</v>
      </c>
      <c r="AB1035">
        <v>1.2704</v>
      </c>
      <c r="AC1035">
        <v>23</v>
      </c>
      <c r="AD1035">
        <v>10.5</v>
      </c>
      <c r="AE1035" s="59">
        <v>0.52430555555555558</v>
      </c>
      <c r="AF1035" s="59">
        <v>0.55833333333333335</v>
      </c>
      <c r="AG1035">
        <v>30</v>
      </c>
    </row>
    <row r="1036" spans="1:33" x14ac:dyDescent="0.25">
      <c r="A1036" t="s">
        <v>258</v>
      </c>
      <c r="B1036" t="s">
        <v>281</v>
      </c>
      <c r="C1036" t="s">
        <v>282</v>
      </c>
      <c r="E1036" t="s">
        <v>283</v>
      </c>
      <c r="F1036" t="s">
        <v>134</v>
      </c>
      <c r="G1036" t="s">
        <v>218</v>
      </c>
      <c r="H1036" t="s">
        <v>146</v>
      </c>
      <c r="I1036" t="s">
        <v>147</v>
      </c>
      <c r="J1036" t="s">
        <v>266</v>
      </c>
      <c r="K1036" t="s">
        <v>394</v>
      </c>
      <c r="L1036" t="s">
        <v>395</v>
      </c>
      <c r="N1036" t="s">
        <v>359</v>
      </c>
      <c r="O1036" t="s">
        <v>134</v>
      </c>
      <c r="Q1036" t="s">
        <v>207</v>
      </c>
      <c r="R1036" t="s">
        <v>148</v>
      </c>
      <c r="S1036" t="s">
        <v>128</v>
      </c>
      <c r="T1036" t="s">
        <v>181</v>
      </c>
      <c r="U1036" t="s">
        <v>129</v>
      </c>
      <c r="V1036" t="s">
        <v>77</v>
      </c>
      <c r="W1036" s="58">
        <v>43344</v>
      </c>
      <c r="X1036" s="59">
        <v>0.75</v>
      </c>
      <c r="Y1036" s="59">
        <v>0.79166666666666663</v>
      </c>
      <c r="Z1036" s="59">
        <v>4.1666666666666664E-2</v>
      </c>
      <c r="AA1036">
        <v>0</v>
      </c>
      <c r="AC1036">
        <v>23</v>
      </c>
      <c r="AD1036">
        <v>10.5</v>
      </c>
      <c r="AE1036" s="59">
        <v>0.75</v>
      </c>
      <c r="AF1036" s="59">
        <v>0.7909722222222223</v>
      </c>
      <c r="AG1036">
        <v>30</v>
      </c>
    </row>
    <row r="1037" spans="1:33" x14ac:dyDescent="0.25">
      <c r="A1037" t="s">
        <v>274</v>
      </c>
      <c r="B1037" t="s">
        <v>321</v>
      </c>
      <c r="C1037" t="s">
        <v>322</v>
      </c>
      <c r="D1037" t="s">
        <v>323</v>
      </c>
      <c r="E1037" t="s">
        <v>324</v>
      </c>
      <c r="F1037" t="s">
        <v>134</v>
      </c>
      <c r="H1037" t="s">
        <v>184</v>
      </c>
      <c r="I1037" t="s">
        <v>147</v>
      </c>
      <c r="J1037" t="s">
        <v>266</v>
      </c>
      <c r="K1037" t="s">
        <v>394</v>
      </c>
      <c r="L1037" t="s">
        <v>395</v>
      </c>
      <c r="N1037" t="s">
        <v>359</v>
      </c>
      <c r="O1037" t="s">
        <v>134</v>
      </c>
      <c r="Q1037" t="s">
        <v>207</v>
      </c>
      <c r="R1037" t="s">
        <v>185</v>
      </c>
      <c r="S1037" t="s">
        <v>128</v>
      </c>
      <c r="T1037" t="s">
        <v>181</v>
      </c>
      <c r="U1037" t="s">
        <v>151</v>
      </c>
      <c r="V1037" t="s">
        <v>77</v>
      </c>
      <c r="W1037" s="58">
        <v>43344</v>
      </c>
      <c r="X1037" s="59">
        <v>0.8125</v>
      </c>
      <c r="Y1037" s="59">
        <v>0.84375</v>
      </c>
      <c r="Z1037" s="59">
        <v>3.125E-2</v>
      </c>
      <c r="AA1037">
        <v>3</v>
      </c>
      <c r="AB1037">
        <v>1.9272</v>
      </c>
      <c r="AC1037">
        <v>15</v>
      </c>
      <c r="AD1037">
        <v>7.875</v>
      </c>
      <c r="AE1037" s="59">
        <v>0.8125</v>
      </c>
      <c r="AF1037" s="59">
        <v>0.84305555555555556</v>
      </c>
      <c r="AG1037">
        <v>30</v>
      </c>
    </row>
    <row r="1038" spans="1:33" x14ac:dyDescent="0.25">
      <c r="A1038" t="s">
        <v>274</v>
      </c>
      <c r="B1038" t="s">
        <v>328</v>
      </c>
      <c r="C1038" t="s">
        <v>329</v>
      </c>
      <c r="D1038">
        <v>5</v>
      </c>
      <c r="E1038" t="s">
        <v>330</v>
      </c>
      <c r="F1038" t="s">
        <v>134</v>
      </c>
      <c r="G1038" t="s">
        <v>218</v>
      </c>
      <c r="H1038" t="s">
        <v>188</v>
      </c>
      <c r="I1038" t="s">
        <v>189</v>
      </c>
      <c r="J1038" t="s">
        <v>266</v>
      </c>
      <c r="K1038" t="s">
        <v>394</v>
      </c>
      <c r="L1038" t="s">
        <v>395</v>
      </c>
      <c r="N1038" t="s">
        <v>359</v>
      </c>
      <c r="O1038" t="s">
        <v>134</v>
      </c>
      <c r="Q1038" t="s">
        <v>207</v>
      </c>
      <c r="R1038" t="s">
        <v>190</v>
      </c>
      <c r="S1038" t="s">
        <v>128</v>
      </c>
      <c r="T1038" t="s">
        <v>181</v>
      </c>
      <c r="U1038" t="s">
        <v>151</v>
      </c>
      <c r="V1038" t="s">
        <v>71</v>
      </c>
      <c r="W1038" s="58">
        <v>43345</v>
      </c>
      <c r="X1038" s="59">
        <v>0.375</v>
      </c>
      <c r="Y1038" s="59">
        <v>0.45833333333333331</v>
      </c>
      <c r="Z1038" s="59">
        <v>8.3333333333333329E-2</v>
      </c>
      <c r="AA1038">
        <v>0</v>
      </c>
      <c r="AC1038">
        <v>40</v>
      </c>
      <c r="AD1038">
        <v>21</v>
      </c>
      <c r="AE1038" s="59">
        <v>0.375</v>
      </c>
      <c r="AF1038" s="59">
        <v>0.45763888888888887</v>
      </c>
      <c r="AG1038">
        <v>30</v>
      </c>
    </row>
    <row r="1039" spans="1:33" x14ac:dyDescent="0.25">
      <c r="A1039" t="s">
        <v>258</v>
      </c>
      <c r="B1039" t="s">
        <v>325</v>
      </c>
      <c r="C1039" t="s">
        <v>326</v>
      </c>
      <c r="E1039" t="s">
        <v>327</v>
      </c>
      <c r="F1039" t="s">
        <v>134</v>
      </c>
      <c r="H1039" t="s">
        <v>182</v>
      </c>
      <c r="I1039" t="s">
        <v>147</v>
      </c>
      <c r="J1039" t="s">
        <v>266</v>
      </c>
      <c r="K1039" t="s">
        <v>394</v>
      </c>
      <c r="L1039" t="s">
        <v>395</v>
      </c>
      <c r="N1039" t="s">
        <v>359</v>
      </c>
      <c r="O1039" t="s">
        <v>134</v>
      </c>
      <c r="Q1039" t="s">
        <v>207</v>
      </c>
      <c r="R1039" t="s">
        <v>183</v>
      </c>
      <c r="S1039" t="s">
        <v>128</v>
      </c>
      <c r="T1039" t="s">
        <v>181</v>
      </c>
      <c r="U1039" t="s">
        <v>129</v>
      </c>
      <c r="V1039" t="s">
        <v>73</v>
      </c>
      <c r="W1039" s="58">
        <v>43347</v>
      </c>
      <c r="X1039" s="59">
        <v>0.36458333333333331</v>
      </c>
      <c r="Y1039" s="59">
        <v>0.40625</v>
      </c>
      <c r="Z1039" s="59">
        <v>4.1666666666666664E-2</v>
      </c>
      <c r="AA1039">
        <v>0</v>
      </c>
      <c r="AC1039">
        <v>23</v>
      </c>
      <c r="AD1039">
        <v>9.5</v>
      </c>
      <c r="AE1039" s="59">
        <v>0.36458333333333331</v>
      </c>
      <c r="AF1039" s="59">
        <v>0.4055555555555555</v>
      </c>
      <c r="AG1039">
        <v>30</v>
      </c>
    </row>
    <row r="1040" spans="1:33" x14ac:dyDescent="0.25">
      <c r="A1040" t="s">
        <v>274</v>
      </c>
      <c r="B1040" t="s">
        <v>321</v>
      </c>
      <c r="C1040" t="s">
        <v>322</v>
      </c>
      <c r="D1040" t="s">
        <v>323</v>
      </c>
      <c r="E1040" t="s">
        <v>324</v>
      </c>
      <c r="F1040" t="s">
        <v>134</v>
      </c>
      <c r="H1040" t="s">
        <v>184</v>
      </c>
      <c r="I1040" t="s">
        <v>147</v>
      </c>
      <c r="J1040" t="s">
        <v>266</v>
      </c>
      <c r="K1040" t="s">
        <v>394</v>
      </c>
      <c r="L1040" t="s">
        <v>395</v>
      </c>
      <c r="N1040" t="s">
        <v>359</v>
      </c>
      <c r="O1040" t="s">
        <v>134</v>
      </c>
      <c r="Q1040" t="s">
        <v>207</v>
      </c>
      <c r="R1040" t="s">
        <v>185</v>
      </c>
      <c r="S1040" t="s">
        <v>128</v>
      </c>
      <c r="T1040" t="s">
        <v>181</v>
      </c>
      <c r="U1040" t="s">
        <v>151</v>
      </c>
      <c r="V1040" t="s">
        <v>73</v>
      </c>
      <c r="W1040" s="58">
        <v>43347</v>
      </c>
      <c r="X1040" s="59">
        <v>0.41666666666666669</v>
      </c>
      <c r="Y1040" s="59">
        <v>0.45833333333333331</v>
      </c>
      <c r="Z1040" s="59">
        <v>4.1666666666666664E-2</v>
      </c>
      <c r="AA1040">
        <v>4</v>
      </c>
      <c r="AB1040">
        <v>2.2181999999999999</v>
      </c>
      <c r="AC1040">
        <v>20</v>
      </c>
      <c r="AD1040">
        <v>9.5</v>
      </c>
      <c r="AE1040" s="59">
        <v>0.41666666666666669</v>
      </c>
      <c r="AF1040" s="59">
        <v>0.45763888888888887</v>
      </c>
      <c r="AG1040">
        <v>30</v>
      </c>
    </row>
    <row r="1041" spans="1:33" x14ac:dyDescent="0.25">
      <c r="A1041" t="s">
        <v>258</v>
      </c>
      <c r="B1041" t="s">
        <v>325</v>
      </c>
      <c r="C1041" t="s">
        <v>326</v>
      </c>
      <c r="E1041" t="s">
        <v>327</v>
      </c>
      <c r="F1041" t="s">
        <v>134</v>
      </c>
      <c r="H1041" t="s">
        <v>182</v>
      </c>
      <c r="I1041" t="s">
        <v>147</v>
      </c>
      <c r="J1041" t="s">
        <v>266</v>
      </c>
      <c r="K1041" t="s">
        <v>394</v>
      </c>
      <c r="L1041" t="s">
        <v>395</v>
      </c>
      <c r="N1041" t="s">
        <v>359</v>
      </c>
      <c r="O1041" t="s">
        <v>134</v>
      </c>
      <c r="Q1041" t="s">
        <v>207</v>
      </c>
      <c r="R1041" t="s">
        <v>183</v>
      </c>
      <c r="S1041" t="s">
        <v>128</v>
      </c>
      <c r="T1041" t="s">
        <v>181</v>
      </c>
      <c r="U1041" t="s">
        <v>129</v>
      </c>
      <c r="V1041" t="s">
        <v>73</v>
      </c>
      <c r="W1041" s="58">
        <v>43347</v>
      </c>
      <c r="X1041" s="59">
        <v>0.5</v>
      </c>
      <c r="Y1041" s="59">
        <v>0.54166666666666663</v>
      </c>
      <c r="Z1041" s="59">
        <v>4.1666666666666664E-2</v>
      </c>
      <c r="AA1041">
        <v>4</v>
      </c>
      <c r="AB1041">
        <v>2.2181999999999999</v>
      </c>
      <c r="AC1041">
        <v>23</v>
      </c>
      <c r="AD1041">
        <v>9.5</v>
      </c>
      <c r="AE1041" s="59">
        <v>0.5</v>
      </c>
      <c r="AF1041" s="59">
        <v>0.54097222222222219</v>
      </c>
      <c r="AG1041">
        <v>30</v>
      </c>
    </row>
    <row r="1042" spans="1:33" x14ac:dyDescent="0.25">
      <c r="A1042" t="s">
        <v>266</v>
      </c>
      <c r="B1042" t="s">
        <v>293</v>
      </c>
      <c r="C1042" t="s">
        <v>294</v>
      </c>
      <c r="E1042" t="s">
        <v>295</v>
      </c>
      <c r="F1042" t="s">
        <v>134</v>
      </c>
      <c r="H1042" t="s">
        <v>157</v>
      </c>
      <c r="I1042" t="s">
        <v>158</v>
      </c>
      <c r="J1042" t="s">
        <v>266</v>
      </c>
      <c r="K1042" t="s">
        <v>394</v>
      </c>
      <c r="L1042" t="s">
        <v>395</v>
      </c>
      <c r="N1042" t="s">
        <v>359</v>
      </c>
      <c r="O1042" t="s">
        <v>134</v>
      </c>
      <c r="Q1042" t="s">
        <v>207</v>
      </c>
      <c r="R1042" t="s">
        <v>161</v>
      </c>
      <c r="S1042" t="s">
        <v>128</v>
      </c>
      <c r="T1042" t="s">
        <v>181</v>
      </c>
      <c r="U1042" t="s">
        <v>163</v>
      </c>
      <c r="V1042" t="s">
        <v>74</v>
      </c>
      <c r="W1042" s="58">
        <v>43348</v>
      </c>
      <c r="X1042" s="59">
        <v>0.41666666666666669</v>
      </c>
      <c r="Y1042" s="59">
        <v>0.66666666666666663</v>
      </c>
      <c r="Z1042" s="59">
        <v>0.25</v>
      </c>
      <c r="AA1042">
        <v>0</v>
      </c>
      <c r="AC1042">
        <v>108</v>
      </c>
      <c r="AD1042">
        <v>57</v>
      </c>
      <c r="AE1042" s="59">
        <v>0.41666666666666669</v>
      </c>
      <c r="AF1042" s="59">
        <v>0.66597222222222219</v>
      </c>
      <c r="AG1042">
        <v>30</v>
      </c>
    </row>
    <row r="1043" spans="1:33" x14ac:dyDescent="0.25">
      <c r="A1043" t="s">
        <v>258</v>
      </c>
      <c r="B1043" t="s">
        <v>278</v>
      </c>
      <c r="C1043" t="s">
        <v>279</v>
      </c>
      <c r="E1043" t="s">
        <v>280</v>
      </c>
      <c r="F1043" t="s">
        <v>134</v>
      </c>
      <c r="H1043" t="s">
        <v>144</v>
      </c>
      <c r="I1043" t="s">
        <v>133</v>
      </c>
      <c r="J1043" t="s">
        <v>266</v>
      </c>
      <c r="K1043" t="s">
        <v>394</v>
      </c>
      <c r="L1043" t="s">
        <v>395</v>
      </c>
      <c r="N1043" t="s">
        <v>359</v>
      </c>
      <c r="O1043" t="s">
        <v>134</v>
      </c>
      <c r="Q1043" t="s">
        <v>207</v>
      </c>
      <c r="R1043" t="s">
        <v>145</v>
      </c>
      <c r="S1043" t="s">
        <v>128</v>
      </c>
      <c r="T1043" t="s">
        <v>181</v>
      </c>
      <c r="U1043" t="s">
        <v>129</v>
      </c>
      <c r="V1043" t="s">
        <v>74</v>
      </c>
      <c r="W1043" s="58">
        <v>43348</v>
      </c>
      <c r="X1043" s="59">
        <v>0.70833333333333337</v>
      </c>
      <c r="Y1043" s="59">
        <v>0.75</v>
      </c>
      <c r="Z1043" s="59">
        <v>4.1666666666666664E-2</v>
      </c>
      <c r="AA1043">
        <v>8</v>
      </c>
      <c r="AB1043">
        <v>3.7669999999999999</v>
      </c>
      <c r="AC1043">
        <v>23</v>
      </c>
      <c r="AD1043">
        <v>9.5</v>
      </c>
      <c r="AE1043" s="59">
        <v>0.70833333333333337</v>
      </c>
      <c r="AF1043" s="59">
        <v>0.74930555555555556</v>
      </c>
      <c r="AG1043">
        <v>30</v>
      </c>
    </row>
    <row r="1044" spans="1:33" x14ac:dyDescent="0.25">
      <c r="A1044" t="s">
        <v>258</v>
      </c>
      <c r="B1044" t="s">
        <v>314</v>
      </c>
      <c r="C1044" t="s">
        <v>315</v>
      </c>
      <c r="D1044">
        <v>72</v>
      </c>
      <c r="E1044" t="s">
        <v>316</v>
      </c>
      <c r="F1044" t="s">
        <v>317</v>
      </c>
      <c r="G1044" t="s">
        <v>218</v>
      </c>
      <c r="H1044" t="s">
        <v>168</v>
      </c>
      <c r="I1044" t="s">
        <v>169</v>
      </c>
      <c r="J1044" t="s">
        <v>266</v>
      </c>
      <c r="K1044" t="s">
        <v>394</v>
      </c>
      <c r="L1044" t="s">
        <v>395</v>
      </c>
      <c r="N1044" t="s">
        <v>359</v>
      </c>
      <c r="O1044" t="s">
        <v>134</v>
      </c>
      <c r="Q1044" t="s">
        <v>207</v>
      </c>
      <c r="R1044" t="s">
        <v>170</v>
      </c>
      <c r="S1044" t="s">
        <v>128</v>
      </c>
      <c r="T1044" t="s">
        <v>181</v>
      </c>
      <c r="U1044" t="s">
        <v>129</v>
      </c>
      <c r="V1044" t="s">
        <v>75</v>
      </c>
      <c r="W1044" s="58">
        <v>43349</v>
      </c>
      <c r="X1044" s="59">
        <v>0.33333333333333331</v>
      </c>
      <c r="Y1044" s="59">
        <v>0.35416666666666669</v>
      </c>
      <c r="Z1044" s="59">
        <v>2.0833333333333332E-2</v>
      </c>
      <c r="AA1044">
        <v>0</v>
      </c>
      <c r="AC1044">
        <v>11.5</v>
      </c>
      <c r="AD1044">
        <v>4.75</v>
      </c>
      <c r="AE1044" s="59">
        <v>0.33333333333333331</v>
      </c>
      <c r="AF1044" s="59">
        <v>0.35347222222222219</v>
      </c>
      <c r="AG1044">
        <v>30</v>
      </c>
    </row>
    <row r="1045" spans="1:33" x14ac:dyDescent="0.25">
      <c r="B1045" t="s">
        <v>307</v>
      </c>
      <c r="C1045" t="s">
        <v>308</v>
      </c>
      <c r="D1045" t="s">
        <v>309</v>
      </c>
      <c r="E1045" t="s">
        <v>134</v>
      </c>
      <c r="H1045" t="s">
        <v>171</v>
      </c>
      <c r="I1045" t="s">
        <v>169</v>
      </c>
      <c r="J1045" t="s">
        <v>266</v>
      </c>
      <c r="K1045" t="s">
        <v>394</v>
      </c>
      <c r="L1045" t="s">
        <v>395</v>
      </c>
      <c r="N1045" t="s">
        <v>359</v>
      </c>
      <c r="O1045" t="s">
        <v>134</v>
      </c>
      <c r="Q1045" t="s">
        <v>207</v>
      </c>
      <c r="R1045" t="s">
        <v>172</v>
      </c>
      <c r="S1045" t="s">
        <v>128</v>
      </c>
      <c r="T1045" t="s">
        <v>181</v>
      </c>
      <c r="U1045" t="s">
        <v>129</v>
      </c>
      <c r="V1045" t="s">
        <v>75</v>
      </c>
      <c r="W1045" s="58">
        <v>43349</v>
      </c>
      <c r="X1045" s="59">
        <v>0.3576388888888889</v>
      </c>
      <c r="Y1045" s="59">
        <v>0.40972222222222227</v>
      </c>
      <c r="Z1045" s="59">
        <v>5.2083333333333336E-2</v>
      </c>
      <c r="AA1045">
        <v>2</v>
      </c>
      <c r="AB1045">
        <v>0.62839999999999996</v>
      </c>
      <c r="AC1045">
        <v>28.75</v>
      </c>
      <c r="AD1045">
        <v>11.875</v>
      </c>
      <c r="AE1045" s="59">
        <v>0.3576388888888889</v>
      </c>
      <c r="AF1045" s="59">
        <v>0.40902777777777777</v>
      </c>
      <c r="AG1045">
        <v>30</v>
      </c>
    </row>
    <row r="1046" spans="1:33" x14ac:dyDescent="0.25">
      <c r="A1046" t="s">
        <v>266</v>
      </c>
      <c r="B1046" t="s">
        <v>293</v>
      </c>
      <c r="C1046" t="s">
        <v>294</v>
      </c>
      <c r="E1046" t="s">
        <v>295</v>
      </c>
      <c r="F1046" t="s">
        <v>134</v>
      </c>
      <c r="H1046" t="s">
        <v>157</v>
      </c>
      <c r="I1046" t="s">
        <v>158</v>
      </c>
      <c r="J1046" t="s">
        <v>266</v>
      </c>
      <c r="K1046" t="s">
        <v>394</v>
      </c>
      <c r="L1046" t="s">
        <v>395</v>
      </c>
      <c r="N1046" t="s">
        <v>359</v>
      </c>
      <c r="O1046" t="s">
        <v>134</v>
      </c>
      <c r="Q1046" t="s">
        <v>207</v>
      </c>
      <c r="R1046" t="s">
        <v>161</v>
      </c>
      <c r="S1046" t="s">
        <v>128</v>
      </c>
      <c r="T1046" t="s">
        <v>181</v>
      </c>
      <c r="U1046" t="s">
        <v>163</v>
      </c>
      <c r="V1046" t="s">
        <v>75</v>
      </c>
      <c r="W1046" s="58">
        <v>43349</v>
      </c>
      <c r="X1046" s="59">
        <v>0.4375</v>
      </c>
      <c r="Y1046" s="59">
        <v>0.47916666666666669</v>
      </c>
      <c r="Z1046" s="59">
        <v>4.1666666666666664E-2</v>
      </c>
      <c r="AA1046">
        <v>14</v>
      </c>
      <c r="AB1046">
        <v>9.0114000000000001</v>
      </c>
      <c r="AC1046">
        <v>18</v>
      </c>
      <c r="AD1046">
        <v>9.5</v>
      </c>
      <c r="AE1046" s="59">
        <v>0.4375</v>
      </c>
      <c r="AF1046" s="59">
        <v>0.47847222222222219</v>
      </c>
      <c r="AG1046">
        <v>30</v>
      </c>
    </row>
    <row r="1047" spans="1:33" x14ac:dyDescent="0.25">
      <c r="A1047" t="s">
        <v>258</v>
      </c>
      <c r="B1047" t="s">
        <v>314</v>
      </c>
      <c r="C1047" t="s">
        <v>315</v>
      </c>
      <c r="D1047">
        <v>72</v>
      </c>
      <c r="E1047" t="s">
        <v>316</v>
      </c>
      <c r="F1047" t="s">
        <v>317</v>
      </c>
      <c r="G1047" t="s">
        <v>218</v>
      </c>
      <c r="H1047" t="s">
        <v>168</v>
      </c>
      <c r="I1047" t="s">
        <v>169</v>
      </c>
      <c r="J1047" t="s">
        <v>266</v>
      </c>
      <c r="K1047" t="s">
        <v>394</v>
      </c>
      <c r="L1047" t="s">
        <v>395</v>
      </c>
      <c r="N1047" t="s">
        <v>359</v>
      </c>
      <c r="O1047" t="s">
        <v>134</v>
      </c>
      <c r="Q1047" t="s">
        <v>207</v>
      </c>
      <c r="R1047" t="s">
        <v>170</v>
      </c>
      <c r="S1047" t="s">
        <v>128</v>
      </c>
      <c r="T1047" t="s">
        <v>181</v>
      </c>
      <c r="U1047" t="s">
        <v>129</v>
      </c>
      <c r="V1047" t="s">
        <v>75</v>
      </c>
      <c r="W1047" s="58">
        <v>43349</v>
      </c>
      <c r="X1047" s="59">
        <v>0.70416666666666661</v>
      </c>
      <c r="Y1047" s="59">
        <v>0.74583333333333324</v>
      </c>
      <c r="Z1047" s="59">
        <v>4.1666666666666664E-2</v>
      </c>
      <c r="AA1047">
        <v>0</v>
      </c>
      <c r="AC1047">
        <v>23</v>
      </c>
      <c r="AD1047">
        <v>9.5</v>
      </c>
      <c r="AE1047" s="59">
        <v>0.70416666666666661</v>
      </c>
      <c r="AF1047" s="59">
        <v>0.74513888888888891</v>
      </c>
      <c r="AG1047">
        <v>30</v>
      </c>
    </row>
    <row r="1048" spans="1:33" x14ac:dyDescent="0.25">
      <c r="A1048" t="s">
        <v>258</v>
      </c>
      <c r="B1048" t="s">
        <v>270</v>
      </c>
      <c r="C1048" t="s">
        <v>271</v>
      </c>
      <c r="D1048" t="s">
        <v>272</v>
      </c>
      <c r="E1048" t="s">
        <v>273</v>
      </c>
      <c r="F1048" t="s">
        <v>134</v>
      </c>
      <c r="H1048" t="s">
        <v>138</v>
      </c>
      <c r="I1048" t="s">
        <v>139</v>
      </c>
      <c r="J1048" t="s">
        <v>266</v>
      </c>
      <c r="K1048" t="s">
        <v>394</v>
      </c>
      <c r="L1048" t="s">
        <v>395</v>
      </c>
      <c r="N1048" t="s">
        <v>359</v>
      </c>
      <c r="O1048" t="s">
        <v>134</v>
      </c>
      <c r="Q1048" t="s">
        <v>207</v>
      </c>
      <c r="R1048" t="s">
        <v>140</v>
      </c>
      <c r="S1048" t="s">
        <v>128</v>
      </c>
      <c r="T1048" t="s">
        <v>181</v>
      </c>
      <c r="U1048" t="s">
        <v>129</v>
      </c>
      <c r="V1048" t="s">
        <v>75</v>
      </c>
      <c r="W1048" s="58">
        <v>43349</v>
      </c>
      <c r="X1048" s="59">
        <v>0.76041666666666663</v>
      </c>
      <c r="Y1048" s="59">
        <v>0.80208333333333337</v>
      </c>
      <c r="Z1048" s="59">
        <v>4.1666666666666664E-2</v>
      </c>
      <c r="AA1048">
        <v>10</v>
      </c>
      <c r="AB1048">
        <v>6.5953999999999997</v>
      </c>
      <c r="AC1048">
        <v>23</v>
      </c>
      <c r="AD1048">
        <v>9.5</v>
      </c>
      <c r="AE1048" s="59">
        <v>0.76041666666666663</v>
      </c>
      <c r="AF1048" s="59">
        <v>0.80138888888888893</v>
      </c>
      <c r="AG1048">
        <v>30</v>
      </c>
    </row>
    <row r="1049" spans="1:33" x14ac:dyDescent="0.25">
      <c r="A1049" t="s">
        <v>258</v>
      </c>
      <c r="B1049" t="s">
        <v>278</v>
      </c>
      <c r="C1049" t="s">
        <v>279</v>
      </c>
      <c r="E1049" t="s">
        <v>280</v>
      </c>
      <c r="F1049" t="s">
        <v>134</v>
      </c>
      <c r="H1049" t="s">
        <v>144</v>
      </c>
      <c r="I1049" t="s">
        <v>133</v>
      </c>
      <c r="J1049" t="s">
        <v>266</v>
      </c>
      <c r="K1049" t="s">
        <v>394</v>
      </c>
      <c r="L1049" t="s">
        <v>395</v>
      </c>
      <c r="N1049" t="s">
        <v>359</v>
      </c>
      <c r="O1049" t="s">
        <v>134</v>
      </c>
      <c r="Q1049" t="s">
        <v>207</v>
      </c>
      <c r="R1049" t="s">
        <v>145</v>
      </c>
      <c r="S1049" t="s">
        <v>128</v>
      </c>
      <c r="T1049" t="s">
        <v>181</v>
      </c>
      <c r="U1049" t="s">
        <v>129</v>
      </c>
      <c r="V1049" t="s">
        <v>75</v>
      </c>
      <c r="W1049" s="58">
        <v>43349</v>
      </c>
      <c r="X1049" s="59">
        <v>0.875</v>
      </c>
      <c r="Y1049" s="59">
        <v>0.91666666666666663</v>
      </c>
      <c r="Z1049" s="59">
        <v>4.1666666666666664E-2</v>
      </c>
      <c r="AA1049">
        <v>5</v>
      </c>
      <c r="AB1049">
        <v>2.2488000000000001</v>
      </c>
      <c r="AC1049">
        <v>23</v>
      </c>
      <c r="AD1049">
        <v>9.5</v>
      </c>
      <c r="AE1049" s="59">
        <v>0.875</v>
      </c>
      <c r="AF1049" s="59">
        <v>0.9159722222222223</v>
      </c>
      <c r="AG1049">
        <v>30</v>
      </c>
    </row>
    <row r="1050" spans="1:33" x14ac:dyDescent="0.25">
      <c r="A1050" t="s">
        <v>274</v>
      </c>
      <c r="B1050" t="s">
        <v>328</v>
      </c>
      <c r="C1050" t="s">
        <v>329</v>
      </c>
      <c r="D1050">
        <v>5</v>
      </c>
      <c r="E1050" t="s">
        <v>330</v>
      </c>
      <c r="F1050" t="s">
        <v>134</v>
      </c>
      <c r="G1050" t="s">
        <v>218</v>
      </c>
      <c r="H1050" t="s">
        <v>188</v>
      </c>
      <c r="I1050" t="s">
        <v>189</v>
      </c>
      <c r="J1050" t="s">
        <v>266</v>
      </c>
      <c r="K1050" t="s">
        <v>394</v>
      </c>
      <c r="L1050" t="s">
        <v>395</v>
      </c>
      <c r="N1050" t="s">
        <v>359</v>
      </c>
      <c r="O1050" t="s">
        <v>134</v>
      </c>
      <c r="Q1050" t="s">
        <v>207</v>
      </c>
      <c r="R1050" t="s">
        <v>190</v>
      </c>
      <c r="S1050" t="s">
        <v>128</v>
      </c>
      <c r="T1050" t="s">
        <v>181</v>
      </c>
      <c r="U1050" t="s">
        <v>151</v>
      </c>
      <c r="V1050" t="s">
        <v>76</v>
      </c>
      <c r="W1050" s="58">
        <v>43350</v>
      </c>
      <c r="X1050" s="59">
        <v>0.33333333333333331</v>
      </c>
      <c r="Y1050" s="59">
        <v>0.5</v>
      </c>
      <c r="Z1050" s="59">
        <v>0.16666666666666666</v>
      </c>
      <c r="AA1050">
        <v>0</v>
      </c>
      <c r="AC1050">
        <v>80</v>
      </c>
      <c r="AD1050">
        <v>38</v>
      </c>
      <c r="AE1050" s="59">
        <v>0.33333333333333331</v>
      </c>
      <c r="AF1050" s="59">
        <v>0.4993055555555555</v>
      </c>
      <c r="AG1050">
        <v>30</v>
      </c>
    </row>
    <row r="1051" spans="1:33" x14ac:dyDescent="0.25">
      <c r="A1051" t="s">
        <v>258</v>
      </c>
      <c r="B1051" t="s">
        <v>278</v>
      </c>
      <c r="C1051" t="s">
        <v>279</v>
      </c>
      <c r="E1051" t="s">
        <v>280</v>
      </c>
      <c r="F1051" t="s">
        <v>134</v>
      </c>
      <c r="H1051" t="s">
        <v>144</v>
      </c>
      <c r="I1051" t="s">
        <v>133</v>
      </c>
      <c r="J1051" t="s">
        <v>266</v>
      </c>
      <c r="K1051" t="s">
        <v>394</v>
      </c>
      <c r="L1051" t="s">
        <v>395</v>
      </c>
      <c r="N1051" t="s">
        <v>359</v>
      </c>
      <c r="O1051" t="s">
        <v>134</v>
      </c>
      <c r="Q1051" t="s">
        <v>207</v>
      </c>
      <c r="R1051" t="s">
        <v>145</v>
      </c>
      <c r="S1051" t="s">
        <v>128</v>
      </c>
      <c r="T1051" t="s">
        <v>181</v>
      </c>
      <c r="U1051" t="s">
        <v>129</v>
      </c>
      <c r="V1051" t="s">
        <v>76</v>
      </c>
      <c r="W1051" s="58">
        <v>43350</v>
      </c>
      <c r="X1051" s="59">
        <v>0.54166666666666663</v>
      </c>
      <c r="Y1051" s="59">
        <v>0.58333333333333337</v>
      </c>
      <c r="Z1051" s="59">
        <v>4.1666666666666664E-2</v>
      </c>
      <c r="AA1051">
        <v>14</v>
      </c>
      <c r="AB1051">
        <v>9.016</v>
      </c>
      <c r="AC1051">
        <v>23</v>
      </c>
      <c r="AD1051">
        <v>9.5</v>
      </c>
      <c r="AE1051" s="59">
        <v>0.54166666666666663</v>
      </c>
      <c r="AF1051" s="59">
        <v>0.58263888888888882</v>
      </c>
      <c r="AG1051">
        <v>30</v>
      </c>
    </row>
    <row r="1052" spans="1:33" x14ac:dyDescent="0.25">
      <c r="A1052" t="s">
        <v>258</v>
      </c>
      <c r="B1052" t="s">
        <v>278</v>
      </c>
      <c r="C1052" t="s">
        <v>279</v>
      </c>
      <c r="E1052" t="s">
        <v>280</v>
      </c>
      <c r="F1052" t="s">
        <v>134</v>
      </c>
      <c r="H1052" t="s">
        <v>144</v>
      </c>
      <c r="I1052" t="s">
        <v>133</v>
      </c>
      <c r="J1052" t="s">
        <v>266</v>
      </c>
      <c r="K1052" t="s">
        <v>394</v>
      </c>
      <c r="L1052" t="s">
        <v>395</v>
      </c>
      <c r="N1052" t="s">
        <v>359</v>
      </c>
      <c r="O1052" t="s">
        <v>134</v>
      </c>
      <c r="Q1052" t="s">
        <v>207</v>
      </c>
      <c r="R1052" t="s">
        <v>145</v>
      </c>
      <c r="S1052" t="s">
        <v>128</v>
      </c>
      <c r="T1052" t="s">
        <v>181</v>
      </c>
      <c r="U1052" t="s">
        <v>129</v>
      </c>
      <c r="V1052" t="s">
        <v>76</v>
      </c>
      <c r="W1052" s="58">
        <v>43350</v>
      </c>
      <c r="X1052" s="59">
        <v>0.875</v>
      </c>
      <c r="Y1052" s="59">
        <v>0.91666666666666663</v>
      </c>
      <c r="Z1052" s="59">
        <v>4.1666666666666664E-2</v>
      </c>
      <c r="AA1052">
        <v>0</v>
      </c>
      <c r="AC1052">
        <v>23</v>
      </c>
      <c r="AD1052">
        <v>9.5</v>
      </c>
      <c r="AE1052" s="59">
        <v>0.875</v>
      </c>
      <c r="AF1052" s="59">
        <v>0.9159722222222223</v>
      </c>
      <c r="AG1052">
        <v>30</v>
      </c>
    </row>
    <row r="1053" spans="1:33" x14ac:dyDescent="0.25">
      <c r="A1053" t="s">
        <v>258</v>
      </c>
      <c r="B1053" t="s">
        <v>281</v>
      </c>
      <c r="C1053" t="s">
        <v>282</v>
      </c>
      <c r="E1053" t="s">
        <v>283</v>
      </c>
      <c r="F1053" t="s">
        <v>134</v>
      </c>
      <c r="G1053" t="s">
        <v>218</v>
      </c>
      <c r="H1053" t="s">
        <v>146</v>
      </c>
      <c r="I1053" t="s">
        <v>147</v>
      </c>
      <c r="J1053" t="s">
        <v>266</v>
      </c>
      <c r="K1053" t="s">
        <v>394</v>
      </c>
      <c r="L1053" t="s">
        <v>395</v>
      </c>
      <c r="N1053" t="s">
        <v>359</v>
      </c>
      <c r="O1053" t="s">
        <v>134</v>
      </c>
      <c r="Q1053" t="s">
        <v>207</v>
      </c>
      <c r="R1053" t="s">
        <v>148</v>
      </c>
      <c r="S1053" t="s">
        <v>128</v>
      </c>
      <c r="T1053" t="s">
        <v>181</v>
      </c>
      <c r="U1053" t="s">
        <v>129</v>
      </c>
      <c r="V1053" t="s">
        <v>71</v>
      </c>
      <c r="W1053" s="58">
        <v>43352</v>
      </c>
      <c r="X1053" s="59">
        <v>0.31944444444444448</v>
      </c>
      <c r="Y1053" s="59">
        <v>0.3611111111111111</v>
      </c>
      <c r="Z1053" s="59">
        <v>4.1666666666666664E-2</v>
      </c>
      <c r="AA1053">
        <v>0</v>
      </c>
      <c r="AC1053">
        <v>23</v>
      </c>
      <c r="AD1053">
        <v>10.5</v>
      </c>
      <c r="AE1053" s="59">
        <v>0.31944444444444448</v>
      </c>
      <c r="AF1053" s="59">
        <v>0.36041666666666666</v>
      </c>
      <c r="AG1053">
        <v>30</v>
      </c>
    </row>
    <row r="1054" spans="1:33" x14ac:dyDescent="0.25">
      <c r="A1054" t="s">
        <v>258</v>
      </c>
      <c r="B1054" t="s">
        <v>325</v>
      </c>
      <c r="C1054" t="s">
        <v>326</v>
      </c>
      <c r="E1054" t="s">
        <v>327</v>
      </c>
      <c r="F1054" t="s">
        <v>134</v>
      </c>
      <c r="H1054" t="s">
        <v>182</v>
      </c>
      <c r="I1054" t="s">
        <v>147</v>
      </c>
      <c r="J1054" t="s">
        <v>266</v>
      </c>
      <c r="K1054" t="s">
        <v>394</v>
      </c>
      <c r="L1054" t="s">
        <v>395</v>
      </c>
      <c r="N1054" t="s">
        <v>359</v>
      </c>
      <c r="O1054" t="s">
        <v>134</v>
      </c>
      <c r="Q1054" t="s">
        <v>207</v>
      </c>
      <c r="R1054" t="s">
        <v>183</v>
      </c>
      <c r="S1054" t="s">
        <v>128</v>
      </c>
      <c r="T1054" t="s">
        <v>181</v>
      </c>
      <c r="U1054" t="s">
        <v>129</v>
      </c>
      <c r="V1054" t="s">
        <v>71</v>
      </c>
      <c r="W1054" s="58">
        <v>43352</v>
      </c>
      <c r="X1054" s="59">
        <v>0.36458333333333331</v>
      </c>
      <c r="Y1054" s="59">
        <v>0.40625</v>
      </c>
      <c r="Z1054" s="59">
        <v>4.1666666666666664E-2</v>
      </c>
      <c r="AA1054">
        <v>2</v>
      </c>
      <c r="AB1054">
        <v>1.2704</v>
      </c>
      <c r="AC1054">
        <v>23</v>
      </c>
      <c r="AD1054">
        <v>10.5</v>
      </c>
      <c r="AE1054" s="59">
        <v>0.36458333333333331</v>
      </c>
      <c r="AF1054" s="59">
        <v>0.4055555555555555</v>
      </c>
      <c r="AG1054">
        <v>30</v>
      </c>
    </row>
    <row r="1055" spans="1:33" x14ac:dyDescent="0.25">
      <c r="A1055" t="s">
        <v>274</v>
      </c>
      <c r="B1055" t="s">
        <v>321</v>
      </c>
      <c r="C1055" t="s">
        <v>322</v>
      </c>
      <c r="D1055" t="s">
        <v>323</v>
      </c>
      <c r="E1055" t="s">
        <v>324</v>
      </c>
      <c r="F1055" t="s">
        <v>134</v>
      </c>
      <c r="H1055" t="s">
        <v>184</v>
      </c>
      <c r="I1055" t="s">
        <v>147</v>
      </c>
      <c r="J1055" t="s">
        <v>266</v>
      </c>
      <c r="K1055" t="s">
        <v>394</v>
      </c>
      <c r="L1055" t="s">
        <v>395</v>
      </c>
      <c r="N1055" t="s">
        <v>359</v>
      </c>
      <c r="O1055" t="s">
        <v>134</v>
      </c>
      <c r="Q1055" t="s">
        <v>207</v>
      </c>
      <c r="R1055" t="s">
        <v>185</v>
      </c>
      <c r="S1055" t="s">
        <v>128</v>
      </c>
      <c r="T1055" t="s">
        <v>181</v>
      </c>
      <c r="U1055" t="s">
        <v>151</v>
      </c>
      <c r="V1055" t="s">
        <v>71</v>
      </c>
      <c r="W1055" s="58">
        <v>43352</v>
      </c>
      <c r="X1055" s="59">
        <v>0.41666666666666669</v>
      </c>
      <c r="Y1055" s="59">
        <v>0.45833333333333331</v>
      </c>
      <c r="Z1055" s="59">
        <v>4.1666666666666664E-2</v>
      </c>
      <c r="AA1055">
        <v>4</v>
      </c>
      <c r="AB1055">
        <v>2.2181999999999999</v>
      </c>
      <c r="AC1055">
        <v>20</v>
      </c>
      <c r="AD1055">
        <v>10.5</v>
      </c>
      <c r="AE1055" s="59">
        <v>0.41666666666666669</v>
      </c>
      <c r="AF1055" s="59">
        <v>0.45763888888888887</v>
      </c>
      <c r="AG1055">
        <v>30</v>
      </c>
    </row>
    <row r="1056" spans="1:33" x14ac:dyDescent="0.25">
      <c r="A1056" t="s">
        <v>258</v>
      </c>
      <c r="B1056" t="s">
        <v>325</v>
      </c>
      <c r="C1056" t="s">
        <v>326</v>
      </c>
      <c r="E1056" t="s">
        <v>327</v>
      </c>
      <c r="F1056" t="s">
        <v>134</v>
      </c>
      <c r="H1056" t="s">
        <v>182</v>
      </c>
      <c r="I1056" t="s">
        <v>147</v>
      </c>
      <c r="J1056" t="s">
        <v>266</v>
      </c>
      <c r="K1056" t="s">
        <v>394</v>
      </c>
      <c r="L1056" t="s">
        <v>395</v>
      </c>
      <c r="N1056" t="s">
        <v>359</v>
      </c>
      <c r="O1056" t="s">
        <v>134</v>
      </c>
      <c r="Q1056" t="s">
        <v>207</v>
      </c>
      <c r="R1056" t="s">
        <v>183</v>
      </c>
      <c r="S1056" t="s">
        <v>128</v>
      </c>
      <c r="T1056" t="s">
        <v>181</v>
      </c>
      <c r="U1056" t="s">
        <v>129</v>
      </c>
      <c r="V1056" t="s">
        <v>71</v>
      </c>
      <c r="W1056" s="58">
        <v>43352</v>
      </c>
      <c r="X1056" s="59">
        <v>0.47916666666666669</v>
      </c>
      <c r="Y1056" s="59">
        <v>0.52083333333333337</v>
      </c>
      <c r="Z1056" s="59">
        <v>4.1666666666666664E-2</v>
      </c>
      <c r="AA1056">
        <v>4</v>
      </c>
      <c r="AB1056">
        <v>2.2181999999999999</v>
      </c>
      <c r="AC1056">
        <v>23</v>
      </c>
      <c r="AD1056">
        <v>10.5</v>
      </c>
      <c r="AE1056" s="59">
        <v>0.47916666666666669</v>
      </c>
      <c r="AF1056" s="59">
        <v>0.52013888888888882</v>
      </c>
      <c r="AG1056">
        <v>30</v>
      </c>
    </row>
    <row r="1057" spans="1:33" x14ac:dyDescent="0.25">
      <c r="A1057" t="s">
        <v>258</v>
      </c>
      <c r="B1057" t="s">
        <v>278</v>
      </c>
      <c r="C1057" t="s">
        <v>279</v>
      </c>
      <c r="E1057" t="s">
        <v>280</v>
      </c>
      <c r="F1057" t="s">
        <v>134</v>
      </c>
      <c r="H1057" t="s">
        <v>144</v>
      </c>
      <c r="I1057" t="s">
        <v>133</v>
      </c>
      <c r="J1057" t="s">
        <v>266</v>
      </c>
      <c r="K1057" t="s">
        <v>394</v>
      </c>
      <c r="L1057" t="s">
        <v>395</v>
      </c>
      <c r="N1057" t="s">
        <v>359</v>
      </c>
      <c r="O1057" t="s">
        <v>134</v>
      </c>
      <c r="Q1057" t="s">
        <v>207</v>
      </c>
      <c r="R1057" t="s">
        <v>145</v>
      </c>
      <c r="S1057" t="s">
        <v>128</v>
      </c>
      <c r="T1057" t="s">
        <v>181</v>
      </c>
      <c r="U1057" t="s">
        <v>129</v>
      </c>
      <c r="V1057" t="s">
        <v>71</v>
      </c>
      <c r="W1057" s="58">
        <v>43352</v>
      </c>
      <c r="X1057" s="59">
        <v>0.55208333333333337</v>
      </c>
      <c r="Y1057" s="59">
        <v>0.59375</v>
      </c>
      <c r="Z1057" s="59">
        <v>4.1666666666666664E-2</v>
      </c>
      <c r="AA1057">
        <v>12</v>
      </c>
      <c r="AB1057">
        <v>9.1999999999999993</v>
      </c>
      <c r="AC1057">
        <v>23</v>
      </c>
      <c r="AD1057">
        <v>10.5</v>
      </c>
      <c r="AE1057" s="59">
        <v>0.55208333333333337</v>
      </c>
      <c r="AF1057" s="59">
        <v>0.59305555555555556</v>
      </c>
      <c r="AG1057">
        <v>30</v>
      </c>
    </row>
    <row r="1058" spans="1:33" x14ac:dyDescent="0.25">
      <c r="A1058" t="s">
        <v>258</v>
      </c>
      <c r="B1058" t="s">
        <v>281</v>
      </c>
      <c r="C1058" t="s">
        <v>282</v>
      </c>
      <c r="E1058" t="s">
        <v>283</v>
      </c>
      <c r="F1058" t="s">
        <v>134</v>
      </c>
      <c r="G1058" t="s">
        <v>218</v>
      </c>
      <c r="H1058" t="s">
        <v>146</v>
      </c>
      <c r="I1058" t="s">
        <v>147</v>
      </c>
      <c r="J1058" t="s">
        <v>266</v>
      </c>
      <c r="K1058" t="s">
        <v>394</v>
      </c>
      <c r="L1058" t="s">
        <v>395</v>
      </c>
      <c r="N1058" t="s">
        <v>359</v>
      </c>
      <c r="O1058" t="s">
        <v>134</v>
      </c>
      <c r="Q1058" t="s">
        <v>207</v>
      </c>
      <c r="R1058" t="s">
        <v>148</v>
      </c>
      <c r="S1058" t="s">
        <v>128</v>
      </c>
      <c r="T1058" t="s">
        <v>181</v>
      </c>
      <c r="U1058" t="s">
        <v>129</v>
      </c>
      <c r="V1058" t="s">
        <v>71</v>
      </c>
      <c r="W1058" s="58">
        <v>43352</v>
      </c>
      <c r="X1058" s="59">
        <v>0.75</v>
      </c>
      <c r="Y1058" s="59">
        <v>0.79166666666666663</v>
      </c>
      <c r="Z1058" s="59">
        <v>4.1666666666666664E-2</v>
      </c>
      <c r="AA1058">
        <v>0</v>
      </c>
      <c r="AC1058">
        <v>23</v>
      </c>
      <c r="AD1058">
        <v>10.5</v>
      </c>
      <c r="AE1058" s="59">
        <v>0.75</v>
      </c>
      <c r="AF1058" s="59">
        <v>0.7909722222222223</v>
      </c>
      <c r="AG1058">
        <v>30</v>
      </c>
    </row>
    <row r="1059" spans="1:33" x14ac:dyDescent="0.25">
      <c r="A1059" t="s">
        <v>274</v>
      </c>
      <c r="B1059" t="s">
        <v>321</v>
      </c>
      <c r="C1059" t="s">
        <v>322</v>
      </c>
      <c r="D1059" t="s">
        <v>323</v>
      </c>
      <c r="E1059" t="s">
        <v>324</v>
      </c>
      <c r="F1059" t="s">
        <v>134</v>
      </c>
      <c r="H1059" t="s">
        <v>184</v>
      </c>
      <c r="I1059" t="s">
        <v>147</v>
      </c>
      <c r="J1059" t="s">
        <v>266</v>
      </c>
      <c r="K1059" t="s">
        <v>394</v>
      </c>
      <c r="L1059" t="s">
        <v>395</v>
      </c>
      <c r="N1059" t="s">
        <v>359</v>
      </c>
      <c r="O1059" t="s">
        <v>134</v>
      </c>
      <c r="Q1059" t="s">
        <v>207</v>
      </c>
      <c r="R1059" t="s">
        <v>185</v>
      </c>
      <c r="S1059" t="s">
        <v>128</v>
      </c>
      <c r="T1059" t="s">
        <v>181</v>
      </c>
      <c r="U1059" t="s">
        <v>151</v>
      </c>
      <c r="V1059" t="s">
        <v>71</v>
      </c>
      <c r="W1059" s="58">
        <v>43352</v>
      </c>
      <c r="X1059" s="59">
        <v>0.8125</v>
      </c>
      <c r="Y1059" s="59">
        <v>0.84375</v>
      </c>
      <c r="Z1059" s="59">
        <v>3.125E-2</v>
      </c>
      <c r="AA1059">
        <v>3</v>
      </c>
      <c r="AB1059">
        <v>1.9272</v>
      </c>
      <c r="AC1059">
        <v>15</v>
      </c>
      <c r="AD1059">
        <v>7.875</v>
      </c>
      <c r="AE1059" s="59">
        <v>0.8125</v>
      </c>
      <c r="AF1059" s="59">
        <v>0.84305555555555556</v>
      </c>
      <c r="AG1059">
        <v>30</v>
      </c>
    </row>
    <row r="1060" spans="1:33" x14ac:dyDescent="0.25">
      <c r="A1060" t="s">
        <v>274</v>
      </c>
      <c r="B1060" t="s">
        <v>275</v>
      </c>
      <c r="C1060" t="s">
        <v>276</v>
      </c>
      <c r="E1060" t="s">
        <v>277</v>
      </c>
      <c r="F1060" t="s">
        <v>134</v>
      </c>
      <c r="H1060" t="s">
        <v>141</v>
      </c>
      <c r="I1060" t="s">
        <v>142</v>
      </c>
      <c r="J1060" t="s">
        <v>266</v>
      </c>
      <c r="K1060" t="s">
        <v>394</v>
      </c>
      <c r="L1060" t="s">
        <v>395</v>
      </c>
      <c r="N1060" t="s">
        <v>359</v>
      </c>
      <c r="O1060" t="s">
        <v>134</v>
      </c>
      <c r="Q1060" t="s">
        <v>207</v>
      </c>
      <c r="R1060" t="s">
        <v>143</v>
      </c>
      <c r="S1060" t="s">
        <v>128</v>
      </c>
      <c r="T1060" t="s">
        <v>181</v>
      </c>
      <c r="U1060" t="s">
        <v>129</v>
      </c>
      <c r="V1060" t="s">
        <v>72</v>
      </c>
      <c r="W1060" s="58">
        <v>43353</v>
      </c>
      <c r="X1060" s="59">
        <v>0.3888888888888889</v>
      </c>
      <c r="Y1060" s="59">
        <v>0.43055555555555558</v>
      </c>
      <c r="Z1060" s="59">
        <v>4.1666666666666664E-2</v>
      </c>
      <c r="AA1060">
        <v>0</v>
      </c>
      <c r="AC1060">
        <v>23</v>
      </c>
      <c r="AD1060">
        <v>9.5</v>
      </c>
      <c r="AE1060" s="59">
        <v>0.3888888888888889</v>
      </c>
      <c r="AF1060" s="59">
        <v>0.42986111111111108</v>
      </c>
      <c r="AG1060">
        <v>30</v>
      </c>
    </row>
    <row r="1061" spans="1:33" x14ac:dyDescent="0.25">
      <c r="A1061" t="s">
        <v>258</v>
      </c>
      <c r="B1061" t="s">
        <v>325</v>
      </c>
      <c r="C1061" t="s">
        <v>326</v>
      </c>
      <c r="E1061" t="s">
        <v>327</v>
      </c>
      <c r="F1061" t="s">
        <v>134</v>
      </c>
      <c r="H1061" t="s">
        <v>182</v>
      </c>
      <c r="I1061" t="s">
        <v>147</v>
      </c>
      <c r="J1061" t="s">
        <v>266</v>
      </c>
      <c r="K1061" t="s">
        <v>394</v>
      </c>
      <c r="L1061" t="s">
        <v>395</v>
      </c>
      <c r="N1061" t="s">
        <v>359</v>
      </c>
      <c r="O1061" t="s">
        <v>134</v>
      </c>
      <c r="Q1061" t="s">
        <v>207</v>
      </c>
      <c r="R1061" t="s">
        <v>183</v>
      </c>
      <c r="S1061" t="s">
        <v>128</v>
      </c>
      <c r="T1061" t="s">
        <v>181</v>
      </c>
      <c r="U1061" t="s">
        <v>129</v>
      </c>
      <c r="V1061" t="s">
        <v>73</v>
      </c>
      <c r="W1061" s="58">
        <v>43354</v>
      </c>
      <c r="X1061" s="59">
        <v>0.36458333333333331</v>
      </c>
      <c r="Y1061" s="59">
        <v>0.40625</v>
      </c>
      <c r="Z1061" s="59">
        <v>4.1666666666666664E-2</v>
      </c>
      <c r="AA1061">
        <v>0</v>
      </c>
      <c r="AC1061">
        <v>23</v>
      </c>
      <c r="AD1061">
        <v>9.5</v>
      </c>
      <c r="AE1061" s="59">
        <v>0.36458333333333331</v>
      </c>
      <c r="AF1061" s="59">
        <v>0.4055555555555555</v>
      </c>
      <c r="AG1061">
        <v>30</v>
      </c>
    </row>
    <row r="1062" spans="1:33" x14ac:dyDescent="0.25">
      <c r="A1062" t="s">
        <v>274</v>
      </c>
      <c r="B1062" t="s">
        <v>321</v>
      </c>
      <c r="C1062" t="s">
        <v>322</v>
      </c>
      <c r="D1062" t="s">
        <v>323</v>
      </c>
      <c r="E1062" t="s">
        <v>324</v>
      </c>
      <c r="F1062" t="s">
        <v>134</v>
      </c>
      <c r="H1062" t="s">
        <v>184</v>
      </c>
      <c r="I1062" t="s">
        <v>147</v>
      </c>
      <c r="J1062" t="s">
        <v>266</v>
      </c>
      <c r="K1062" t="s">
        <v>394</v>
      </c>
      <c r="L1062" t="s">
        <v>395</v>
      </c>
      <c r="N1062" t="s">
        <v>359</v>
      </c>
      <c r="O1062" t="s">
        <v>134</v>
      </c>
      <c r="Q1062" t="s">
        <v>207</v>
      </c>
      <c r="R1062" t="s">
        <v>185</v>
      </c>
      <c r="S1062" t="s">
        <v>128</v>
      </c>
      <c r="T1062" t="s">
        <v>181</v>
      </c>
      <c r="U1062" t="s">
        <v>151</v>
      </c>
      <c r="V1062" t="s">
        <v>73</v>
      </c>
      <c r="W1062" s="58">
        <v>43354</v>
      </c>
      <c r="X1062" s="59">
        <v>0.41666666666666669</v>
      </c>
      <c r="Y1062" s="59">
        <v>0.45833333333333331</v>
      </c>
      <c r="Z1062" s="59">
        <v>4.1666666666666664E-2</v>
      </c>
      <c r="AA1062">
        <v>4</v>
      </c>
      <c r="AB1062">
        <v>2.2181999999999999</v>
      </c>
      <c r="AC1062">
        <v>20</v>
      </c>
      <c r="AD1062">
        <v>9.5</v>
      </c>
      <c r="AE1062" s="59">
        <v>0.41666666666666669</v>
      </c>
      <c r="AF1062" s="59">
        <v>0.45763888888888887</v>
      </c>
      <c r="AG1062">
        <v>30</v>
      </c>
    </row>
    <row r="1063" spans="1:33" x14ac:dyDescent="0.25">
      <c r="A1063" t="s">
        <v>258</v>
      </c>
      <c r="B1063" t="s">
        <v>325</v>
      </c>
      <c r="C1063" t="s">
        <v>326</v>
      </c>
      <c r="E1063" t="s">
        <v>327</v>
      </c>
      <c r="F1063" t="s">
        <v>134</v>
      </c>
      <c r="H1063" t="s">
        <v>182</v>
      </c>
      <c r="I1063" t="s">
        <v>147</v>
      </c>
      <c r="J1063" t="s">
        <v>266</v>
      </c>
      <c r="K1063" t="s">
        <v>394</v>
      </c>
      <c r="L1063" t="s">
        <v>395</v>
      </c>
      <c r="N1063" t="s">
        <v>359</v>
      </c>
      <c r="O1063" t="s">
        <v>134</v>
      </c>
      <c r="Q1063" t="s">
        <v>207</v>
      </c>
      <c r="R1063" t="s">
        <v>183</v>
      </c>
      <c r="S1063" t="s">
        <v>128</v>
      </c>
      <c r="T1063" t="s">
        <v>181</v>
      </c>
      <c r="U1063" t="s">
        <v>129</v>
      </c>
      <c r="V1063" t="s">
        <v>73</v>
      </c>
      <c r="W1063" s="58">
        <v>43354</v>
      </c>
      <c r="X1063" s="59">
        <v>0.5</v>
      </c>
      <c r="Y1063" s="59">
        <v>0.54166666666666663</v>
      </c>
      <c r="Z1063" s="59">
        <v>4.1666666666666664E-2</v>
      </c>
      <c r="AA1063">
        <v>4</v>
      </c>
      <c r="AB1063">
        <v>2.2181999999999999</v>
      </c>
      <c r="AC1063">
        <v>23</v>
      </c>
      <c r="AD1063">
        <v>9.5</v>
      </c>
      <c r="AE1063" s="59">
        <v>0.5</v>
      </c>
      <c r="AF1063" s="59">
        <v>0.54097222222222219</v>
      </c>
      <c r="AG1063">
        <v>30</v>
      </c>
    </row>
    <row r="1064" spans="1:33" x14ac:dyDescent="0.25">
      <c r="A1064" t="s">
        <v>274</v>
      </c>
      <c r="B1064" t="s">
        <v>328</v>
      </c>
      <c r="C1064" t="s">
        <v>329</v>
      </c>
      <c r="D1064">
        <v>5</v>
      </c>
      <c r="E1064" t="s">
        <v>330</v>
      </c>
      <c r="F1064" t="s">
        <v>134</v>
      </c>
      <c r="G1064" t="s">
        <v>218</v>
      </c>
      <c r="H1064" t="s">
        <v>188</v>
      </c>
      <c r="I1064" t="s">
        <v>189</v>
      </c>
      <c r="J1064" t="s">
        <v>266</v>
      </c>
      <c r="K1064" t="s">
        <v>394</v>
      </c>
      <c r="L1064" t="s">
        <v>395</v>
      </c>
      <c r="N1064" t="s">
        <v>359</v>
      </c>
      <c r="O1064" t="s">
        <v>134</v>
      </c>
      <c r="Q1064" t="s">
        <v>207</v>
      </c>
      <c r="R1064" t="s">
        <v>190</v>
      </c>
      <c r="S1064" t="s">
        <v>128</v>
      </c>
      <c r="T1064" t="s">
        <v>181</v>
      </c>
      <c r="U1064" t="s">
        <v>151</v>
      </c>
      <c r="V1064" t="s">
        <v>74</v>
      </c>
      <c r="W1064" s="58">
        <v>43355</v>
      </c>
      <c r="X1064" s="59">
        <v>0.33333333333333331</v>
      </c>
      <c r="Y1064" s="59">
        <v>0.5</v>
      </c>
      <c r="Z1064" s="59">
        <v>0.16666666666666666</v>
      </c>
      <c r="AA1064">
        <v>0</v>
      </c>
      <c r="AC1064">
        <v>80</v>
      </c>
      <c r="AD1064">
        <v>38</v>
      </c>
      <c r="AE1064" s="59">
        <v>0.33333333333333331</v>
      </c>
      <c r="AF1064" s="59">
        <v>0.4993055555555555</v>
      </c>
      <c r="AG1064">
        <v>30</v>
      </c>
    </row>
    <row r="1065" spans="1:33" x14ac:dyDescent="0.25">
      <c r="A1065" t="s">
        <v>274</v>
      </c>
      <c r="B1065" t="s">
        <v>275</v>
      </c>
      <c r="C1065" t="s">
        <v>276</v>
      </c>
      <c r="E1065" t="s">
        <v>277</v>
      </c>
      <c r="F1065" t="s">
        <v>134</v>
      </c>
      <c r="H1065" t="s">
        <v>141</v>
      </c>
      <c r="I1065" t="s">
        <v>142</v>
      </c>
      <c r="J1065" t="s">
        <v>266</v>
      </c>
      <c r="K1065" t="s">
        <v>394</v>
      </c>
      <c r="L1065" t="s">
        <v>395</v>
      </c>
      <c r="N1065" t="s">
        <v>359</v>
      </c>
      <c r="O1065" t="s">
        <v>134</v>
      </c>
      <c r="Q1065" t="s">
        <v>207</v>
      </c>
      <c r="R1065" t="s">
        <v>143</v>
      </c>
      <c r="S1065" t="s">
        <v>128</v>
      </c>
      <c r="T1065" t="s">
        <v>181</v>
      </c>
      <c r="U1065" t="s">
        <v>129</v>
      </c>
      <c r="V1065" t="s">
        <v>74</v>
      </c>
      <c r="W1065" s="58">
        <v>43355</v>
      </c>
      <c r="X1065" s="59">
        <v>0.65625</v>
      </c>
      <c r="Y1065" s="59">
        <v>0.73958333333333337</v>
      </c>
      <c r="Z1065" s="59">
        <v>8.3333333333333329E-2</v>
      </c>
      <c r="AA1065">
        <v>0</v>
      </c>
      <c r="AC1065">
        <v>46</v>
      </c>
      <c r="AD1065">
        <v>19</v>
      </c>
      <c r="AE1065" s="59">
        <v>0.65625</v>
      </c>
      <c r="AF1065" s="59">
        <v>0.73888888888888893</v>
      </c>
      <c r="AG1065">
        <v>30</v>
      </c>
    </row>
    <row r="1066" spans="1:33" x14ac:dyDescent="0.25">
      <c r="A1066" t="s">
        <v>274</v>
      </c>
      <c r="B1066" t="s">
        <v>321</v>
      </c>
      <c r="C1066" t="s">
        <v>322</v>
      </c>
      <c r="D1066" t="s">
        <v>323</v>
      </c>
      <c r="E1066" t="s">
        <v>324</v>
      </c>
      <c r="F1066" t="s">
        <v>134</v>
      </c>
      <c r="H1066" t="s">
        <v>184</v>
      </c>
      <c r="I1066" t="s">
        <v>147</v>
      </c>
      <c r="J1066" t="s">
        <v>266</v>
      </c>
      <c r="K1066" t="s">
        <v>394</v>
      </c>
      <c r="L1066" t="s">
        <v>395</v>
      </c>
      <c r="N1066" t="s">
        <v>359</v>
      </c>
      <c r="O1066" t="s">
        <v>134</v>
      </c>
      <c r="Q1066" t="s">
        <v>207</v>
      </c>
      <c r="R1066" t="s">
        <v>185</v>
      </c>
      <c r="S1066" t="s">
        <v>128</v>
      </c>
      <c r="T1066" t="s">
        <v>181</v>
      </c>
      <c r="U1066" t="s">
        <v>151</v>
      </c>
      <c r="V1066" t="s">
        <v>74</v>
      </c>
      <c r="W1066" s="58">
        <v>43355</v>
      </c>
      <c r="X1066" s="59">
        <v>0.84236111111111101</v>
      </c>
      <c r="Y1066" s="59">
        <v>0.87361111111111101</v>
      </c>
      <c r="Z1066" s="59">
        <v>3.125E-2</v>
      </c>
      <c r="AA1066">
        <v>11</v>
      </c>
      <c r="AB1066">
        <v>9.7805999999999997</v>
      </c>
      <c r="AC1066">
        <v>15</v>
      </c>
      <c r="AD1066">
        <v>7.125</v>
      </c>
      <c r="AE1066" s="59">
        <v>0.84236111111111101</v>
      </c>
      <c r="AF1066" s="59">
        <v>0.87291666666666667</v>
      </c>
      <c r="AG1066">
        <v>30</v>
      </c>
    </row>
    <row r="1067" spans="1:33" x14ac:dyDescent="0.25">
      <c r="A1067" t="s">
        <v>258</v>
      </c>
      <c r="B1067" t="s">
        <v>314</v>
      </c>
      <c r="C1067" t="s">
        <v>315</v>
      </c>
      <c r="D1067">
        <v>72</v>
      </c>
      <c r="E1067" t="s">
        <v>316</v>
      </c>
      <c r="F1067" t="s">
        <v>317</v>
      </c>
      <c r="G1067" t="s">
        <v>218</v>
      </c>
      <c r="H1067" t="s">
        <v>168</v>
      </c>
      <c r="I1067" t="s">
        <v>169</v>
      </c>
      <c r="J1067" t="s">
        <v>266</v>
      </c>
      <c r="K1067" t="s">
        <v>394</v>
      </c>
      <c r="L1067" t="s">
        <v>395</v>
      </c>
      <c r="N1067" t="s">
        <v>359</v>
      </c>
      <c r="O1067" t="s">
        <v>134</v>
      </c>
      <c r="Q1067" t="s">
        <v>207</v>
      </c>
      <c r="R1067" t="s">
        <v>170</v>
      </c>
      <c r="S1067" t="s">
        <v>128</v>
      </c>
      <c r="T1067" t="s">
        <v>181</v>
      </c>
      <c r="U1067" t="s">
        <v>129</v>
      </c>
      <c r="V1067" t="s">
        <v>75</v>
      </c>
      <c r="W1067" s="58">
        <v>43356</v>
      </c>
      <c r="X1067" s="59">
        <v>0.33333333333333331</v>
      </c>
      <c r="Y1067" s="59">
        <v>0.35416666666666669</v>
      </c>
      <c r="Z1067" s="59">
        <v>2.0833333333333332E-2</v>
      </c>
      <c r="AA1067">
        <v>0</v>
      </c>
      <c r="AC1067">
        <v>11.5</v>
      </c>
      <c r="AD1067">
        <v>4.75</v>
      </c>
      <c r="AE1067" s="59">
        <v>0.33333333333333331</v>
      </c>
      <c r="AF1067" s="59">
        <v>0.35347222222222219</v>
      </c>
      <c r="AG1067">
        <v>30</v>
      </c>
    </row>
    <row r="1068" spans="1:33" x14ac:dyDescent="0.25">
      <c r="B1068" t="s">
        <v>307</v>
      </c>
      <c r="C1068" t="s">
        <v>308</v>
      </c>
      <c r="D1068" t="s">
        <v>309</v>
      </c>
      <c r="E1068" t="s">
        <v>134</v>
      </c>
      <c r="H1068" t="s">
        <v>171</v>
      </c>
      <c r="I1068" t="s">
        <v>169</v>
      </c>
      <c r="J1068" t="s">
        <v>266</v>
      </c>
      <c r="K1068" t="s">
        <v>394</v>
      </c>
      <c r="L1068" t="s">
        <v>395</v>
      </c>
      <c r="N1068" t="s">
        <v>359</v>
      </c>
      <c r="O1068" t="s">
        <v>134</v>
      </c>
      <c r="Q1068" t="s">
        <v>207</v>
      </c>
      <c r="R1068" t="s">
        <v>172</v>
      </c>
      <c r="S1068" t="s">
        <v>128</v>
      </c>
      <c r="T1068" t="s">
        <v>181</v>
      </c>
      <c r="U1068" t="s">
        <v>129</v>
      </c>
      <c r="V1068" t="s">
        <v>75</v>
      </c>
      <c r="W1068" s="58">
        <v>43356</v>
      </c>
      <c r="X1068" s="59">
        <v>0.36805555555555558</v>
      </c>
      <c r="Y1068" s="59">
        <v>0.4201388888888889</v>
      </c>
      <c r="Z1068" s="59">
        <v>5.2083333333333336E-2</v>
      </c>
      <c r="AA1068">
        <v>2</v>
      </c>
      <c r="AB1068">
        <v>0.62839999999999996</v>
      </c>
      <c r="AC1068">
        <v>28.75</v>
      </c>
      <c r="AD1068">
        <v>11.875</v>
      </c>
      <c r="AE1068" s="59">
        <v>0.36805555555555558</v>
      </c>
      <c r="AF1068" s="59">
        <v>0.41944444444444445</v>
      </c>
      <c r="AG1068">
        <v>30</v>
      </c>
    </row>
    <row r="1069" spans="1:33" x14ac:dyDescent="0.25">
      <c r="B1069" t="s">
        <v>331</v>
      </c>
      <c r="C1069" t="s">
        <v>332</v>
      </c>
      <c r="E1069" t="s">
        <v>333</v>
      </c>
      <c r="F1069" t="s">
        <v>134</v>
      </c>
      <c r="G1069" t="s">
        <v>218</v>
      </c>
      <c r="H1069" t="s">
        <v>177</v>
      </c>
      <c r="I1069" t="s">
        <v>158</v>
      </c>
      <c r="J1069" t="s">
        <v>266</v>
      </c>
      <c r="K1069" t="s">
        <v>394</v>
      </c>
      <c r="L1069" t="s">
        <v>395</v>
      </c>
      <c r="N1069" t="s">
        <v>359</v>
      </c>
      <c r="O1069" t="s">
        <v>134</v>
      </c>
      <c r="Q1069" t="s">
        <v>207</v>
      </c>
      <c r="R1069" t="s">
        <v>179</v>
      </c>
      <c r="S1069" t="s">
        <v>128</v>
      </c>
      <c r="T1069" t="s">
        <v>181</v>
      </c>
      <c r="U1069" t="s">
        <v>191</v>
      </c>
      <c r="V1069" t="s">
        <v>75</v>
      </c>
      <c r="W1069" s="58">
        <v>43356</v>
      </c>
      <c r="X1069" s="59">
        <v>0.4236111111111111</v>
      </c>
      <c r="Y1069" s="59">
        <v>0.4861111111111111</v>
      </c>
      <c r="Z1069" s="59">
        <v>6.25E-2</v>
      </c>
      <c r="AA1069">
        <v>13</v>
      </c>
      <c r="AB1069">
        <v>8.8704000000000001</v>
      </c>
      <c r="AC1069">
        <v>0</v>
      </c>
      <c r="AD1069">
        <v>14.25</v>
      </c>
      <c r="AE1069" s="59">
        <v>0.4236111111111111</v>
      </c>
      <c r="AF1069" s="59">
        <v>0.48541666666666666</v>
      </c>
      <c r="AG1069">
        <v>30</v>
      </c>
    </row>
    <row r="1070" spans="1:33" x14ac:dyDescent="0.25">
      <c r="A1070" t="s">
        <v>274</v>
      </c>
      <c r="B1070" t="s">
        <v>328</v>
      </c>
      <c r="C1070" t="s">
        <v>329</v>
      </c>
      <c r="D1070">
        <v>5</v>
      </c>
      <c r="E1070" t="s">
        <v>330</v>
      </c>
      <c r="F1070" t="s">
        <v>134</v>
      </c>
      <c r="G1070" t="s">
        <v>218</v>
      </c>
      <c r="H1070" t="s">
        <v>188</v>
      </c>
      <c r="I1070" t="s">
        <v>189</v>
      </c>
      <c r="J1070" t="s">
        <v>266</v>
      </c>
      <c r="K1070" t="s">
        <v>394</v>
      </c>
      <c r="L1070" t="s">
        <v>395</v>
      </c>
      <c r="N1070" t="s">
        <v>359</v>
      </c>
      <c r="O1070" t="s">
        <v>134</v>
      </c>
      <c r="Q1070" t="s">
        <v>207</v>
      </c>
      <c r="R1070" t="s">
        <v>190</v>
      </c>
      <c r="S1070" t="s">
        <v>128</v>
      </c>
      <c r="T1070" t="s">
        <v>181</v>
      </c>
      <c r="U1070" t="s">
        <v>151</v>
      </c>
      <c r="V1070" t="s">
        <v>76</v>
      </c>
      <c r="W1070" s="58">
        <v>43357</v>
      </c>
      <c r="X1070" s="59">
        <v>0.33333333333333331</v>
      </c>
      <c r="Y1070" s="59">
        <v>0.5</v>
      </c>
      <c r="Z1070" s="59">
        <v>0.16666666666666666</v>
      </c>
      <c r="AA1070">
        <v>13</v>
      </c>
      <c r="AC1070">
        <v>80</v>
      </c>
      <c r="AD1070">
        <v>38</v>
      </c>
      <c r="AE1070" s="59">
        <v>0.33333333333333331</v>
      </c>
      <c r="AF1070" s="59">
        <v>0.4993055555555555</v>
      </c>
      <c r="AG1070">
        <v>30</v>
      </c>
    </row>
    <row r="1071" spans="1:33" x14ac:dyDescent="0.25">
      <c r="A1071" t="s">
        <v>258</v>
      </c>
      <c r="B1071" t="s">
        <v>278</v>
      </c>
      <c r="C1071" t="s">
        <v>279</v>
      </c>
      <c r="E1071" t="s">
        <v>280</v>
      </c>
      <c r="F1071" t="s">
        <v>134</v>
      </c>
      <c r="H1071" t="s">
        <v>144</v>
      </c>
      <c r="I1071" t="s">
        <v>133</v>
      </c>
      <c r="J1071" t="s">
        <v>266</v>
      </c>
      <c r="K1071" t="s">
        <v>394</v>
      </c>
      <c r="L1071" t="s">
        <v>395</v>
      </c>
      <c r="N1071" t="s">
        <v>359</v>
      </c>
      <c r="O1071" t="s">
        <v>134</v>
      </c>
      <c r="Q1071" t="s">
        <v>207</v>
      </c>
      <c r="R1071" t="s">
        <v>145</v>
      </c>
      <c r="S1071" t="s">
        <v>128</v>
      </c>
      <c r="T1071" t="s">
        <v>181</v>
      </c>
      <c r="U1071" t="s">
        <v>129</v>
      </c>
      <c r="V1071" t="s">
        <v>76</v>
      </c>
      <c r="W1071" s="58">
        <v>43357</v>
      </c>
      <c r="X1071" s="59">
        <v>0.53125</v>
      </c>
      <c r="Y1071" s="59">
        <v>0.57291666666666663</v>
      </c>
      <c r="Z1071" s="59">
        <v>4.1666666666666664E-2</v>
      </c>
      <c r="AA1071">
        <v>14</v>
      </c>
      <c r="AB1071">
        <v>9.016</v>
      </c>
      <c r="AC1071">
        <v>23</v>
      </c>
      <c r="AD1071">
        <v>9.5</v>
      </c>
      <c r="AE1071" s="59">
        <v>0.53125</v>
      </c>
      <c r="AF1071" s="59">
        <v>0.57222222222222219</v>
      </c>
      <c r="AG1071">
        <v>30</v>
      </c>
    </row>
    <row r="1072" spans="1:33" x14ac:dyDescent="0.25">
      <c r="A1072" t="s">
        <v>258</v>
      </c>
      <c r="B1072" t="s">
        <v>278</v>
      </c>
      <c r="C1072" t="s">
        <v>279</v>
      </c>
      <c r="E1072" t="s">
        <v>280</v>
      </c>
      <c r="F1072" t="s">
        <v>134</v>
      </c>
      <c r="H1072" t="s">
        <v>144</v>
      </c>
      <c r="I1072" t="s">
        <v>133</v>
      </c>
      <c r="J1072" t="s">
        <v>266</v>
      </c>
      <c r="K1072" t="s">
        <v>394</v>
      </c>
      <c r="L1072" t="s">
        <v>395</v>
      </c>
      <c r="N1072" t="s">
        <v>359</v>
      </c>
      <c r="O1072" t="s">
        <v>134</v>
      </c>
      <c r="Q1072" t="s">
        <v>207</v>
      </c>
      <c r="R1072" t="s">
        <v>145</v>
      </c>
      <c r="S1072" t="s">
        <v>128</v>
      </c>
      <c r="T1072" t="s">
        <v>181</v>
      </c>
      <c r="U1072" t="s">
        <v>129</v>
      </c>
      <c r="V1072" t="s">
        <v>76</v>
      </c>
      <c r="W1072" s="58">
        <v>43357</v>
      </c>
      <c r="X1072" s="59">
        <v>0.70833333333333337</v>
      </c>
      <c r="Y1072" s="59">
        <v>0.75</v>
      </c>
      <c r="Z1072" s="59">
        <v>4.1666666666666664E-2</v>
      </c>
      <c r="AA1072">
        <v>0</v>
      </c>
      <c r="AC1072">
        <v>23</v>
      </c>
      <c r="AD1072">
        <v>9.5</v>
      </c>
      <c r="AE1072" s="59">
        <v>0.70833333333333337</v>
      </c>
      <c r="AF1072" s="59">
        <v>0.74930555555555556</v>
      </c>
      <c r="AG1072">
        <v>30</v>
      </c>
    </row>
    <row r="1073" spans="1:33" x14ac:dyDescent="0.25">
      <c r="A1073" t="s">
        <v>274</v>
      </c>
      <c r="B1073" t="s">
        <v>321</v>
      </c>
      <c r="C1073" t="s">
        <v>322</v>
      </c>
      <c r="D1073" t="s">
        <v>323</v>
      </c>
      <c r="E1073" t="s">
        <v>324</v>
      </c>
      <c r="F1073" t="s">
        <v>134</v>
      </c>
      <c r="H1073" t="s">
        <v>184</v>
      </c>
      <c r="I1073" t="s">
        <v>147</v>
      </c>
      <c r="J1073" t="s">
        <v>266</v>
      </c>
      <c r="K1073" t="s">
        <v>394</v>
      </c>
      <c r="L1073" t="s">
        <v>395</v>
      </c>
      <c r="N1073" t="s">
        <v>359</v>
      </c>
      <c r="O1073" t="s">
        <v>134</v>
      </c>
      <c r="Q1073" t="s">
        <v>207</v>
      </c>
      <c r="R1073" t="s">
        <v>185</v>
      </c>
      <c r="S1073" t="s">
        <v>128</v>
      </c>
      <c r="T1073" t="s">
        <v>181</v>
      </c>
      <c r="U1073" t="s">
        <v>151</v>
      </c>
      <c r="V1073" t="s">
        <v>76</v>
      </c>
      <c r="W1073" s="58">
        <v>43357</v>
      </c>
      <c r="X1073" s="59">
        <v>0.85416666666666663</v>
      </c>
      <c r="Y1073" s="59">
        <v>0.88541666666666663</v>
      </c>
      <c r="Z1073" s="59">
        <v>3.125E-2</v>
      </c>
      <c r="AA1073">
        <v>14</v>
      </c>
      <c r="AB1073">
        <v>10.998799999999999</v>
      </c>
      <c r="AC1073">
        <v>15</v>
      </c>
      <c r="AD1073">
        <v>7.125</v>
      </c>
      <c r="AE1073" s="59">
        <v>0.85416666666666663</v>
      </c>
      <c r="AF1073" s="59">
        <v>0.8847222222222223</v>
      </c>
      <c r="AG1073">
        <v>30</v>
      </c>
    </row>
    <row r="1074" spans="1:33" x14ac:dyDescent="0.25">
      <c r="A1074" t="s">
        <v>258</v>
      </c>
      <c r="B1074" t="s">
        <v>314</v>
      </c>
      <c r="C1074" t="s">
        <v>315</v>
      </c>
      <c r="D1074">
        <v>72</v>
      </c>
      <c r="E1074" t="s">
        <v>316</v>
      </c>
      <c r="F1074" t="s">
        <v>317</v>
      </c>
      <c r="G1074" t="s">
        <v>218</v>
      </c>
      <c r="H1074" t="s">
        <v>168</v>
      </c>
      <c r="I1074" t="s">
        <v>169</v>
      </c>
      <c r="J1074" t="s">
        <v>258</v>
      </c>
      <c r="K1074" t="s">
        <v>396</v>
      </c>
      <c r="L1074" t="s">
        <v>397</v>
      </c>
      <c r="N1074" t="s">
        <v>398</v>
      </c>
      <c r="O1074" t="s">
        <v>226</v>
      </c>
      <c r="Q1074" t="s">
        <v>227</v>
      </c>
      <c r="R1074" t="s">
        <v>170</v>
      </c>
      <c r="S1074" t="s">
        <v>128</v>
      </c>
      <c r="T1074" t="s">
        <v>220</v>
      </c>
      <c r="U1074" t="s">
        <v>129</v>
      </c>
      <c r="V1074" t="s">
        <v>77</v>
      </c>
      <c r="W1074" s="58">
        <v>43309</v>
      </c>
      <c r="X1074" s="59">
        <v>0.33333333333333331</v>
      </c>
      <c r="Y1074" s="59">
        <v>0.35416666666666669</v>
      </c>
      <c r="Z1074" s="59">
        <v>2.0833333333333332E-2</v>
      </c>
      <c r="AA1074">
        <v>0</v>
      </c>
      <c r="AC1074">
        <v>11.5</v>
      </c>
      <c r="AD1074">
        <v>5.5</v>
      </c>
      <c r="AE1074" s="59">
        <v>0.33333333333333331</v>
      </c>
      <c r="AF1074" s="59">
        <v>0.35347222222222219</v>
      </c>
      <c r="AG1074">
        <v>16</v>
      </c>
    </row>
    <row r="1075" spans="1:33" x14ac:dyDescent="0.25">
      <c r="A1075" t="s">
        <v>274</v>
      </c>
      <c r="B1075" t="s">
        <v>336</v>
      </c>
      <c r="C1075" t="s">
        <v>337</v>
      </c>
      <c r="E1075" t="s">
        <v>338</v>
      </c>
      <c r="F1075" t="s">
        <v>134</v>
      </c>
      <c r="H1075" t="s">
        <v>186</v>
      </c>
      <c r="I1075" t="s">
        <v>147</v>
      </c>
      <c r="J1075" t="s">
        <v>258</v>
      </c>
      <c r="K1075" t="s">
        <v>396</v>
      </c>
      <c r="L1075" t="s">
        <v>397</v>
      </c>
      <c r="N1075" t="s">
        <v>398</v>
      </c>
      <c r="O1075" t="s">
        <v>226</v>
      </c>
      <c r="Q1075" t="s">
        <v>227</v>
      </c>
      <c r="R1075" t="s">
        <v>187</v>
      </c>
      <c r="S1075" t="s">
        <v>128</v>
      </c>
      <c r="T1075" t="s">
        <v>220</v>
      </c>
      <c r="U1075" t="s">
        <v>151</v>
      </c>
      <c r="V1075" t="s">
        <v>77</v>
      </c>
      <c r="W1075" s="58">
        <v>43309</v>
      </c>
      <c r="X1075" s="59">
        <v>0.36805555555555558</v>
      </c>
      <c r="Y1075" s="59">
        <v>0.40972222222222227</v>
      </c>
      <c r="Z1075" s="59">
        <v>4.1666666666666664E-2</v>
      </c>
      <c r="AA1075">
        <v>0</v>
      </c>
      <c r="AB1075">
        <v>3.8</v>
      </c>
      <c r="AC1075">
        <v>20</v>
      </c>
      <c r="AD1075">
        <v>11</v>
      </c>
      <c r="AE1075" s="59">
        <v>0.36805555555555558</v>
      </c>
      <c r="AF1075" s="59">
        <v>0.40902777777777777</v>
      </c>
      <c r="AG1075">
        <v>16</v>
      </c>
    </row>
    <row r="1076" spans="1:33" x14ac:dyDescent="0.25">
      <c r="A1076" t="s">
        <v>274</v>
      </c>
      <c r="B1076" t="s">
        <v>321</v>
      </c>
      <c r="C1076" t="s">
        <v>322</v>
      </c>
      <c r="D1076" t="s">
        <v>323</v>
      </c>
      <c r="E1076" t="s">
        <v>324</v>
      </c>
      <c r="F1076" t="s">
        <v>134</v>
      </c>
      <c r="H1076" t="s">
        <v>184</v>
      </c>
      <c r="I1076" t="s">
        <v>147</v>
      </c>
      <c r="J1076" t="s">
        <v>258</v>
      </c>
      <c r="K1076" t="s">
        <v>396</v>
      </c>
      <c r="L1076" t="s">
        <v>397</v>
      </c>
      <c r="N1076" t="s">
        <v>398</v>
      </c>
      <c r="O1076" t="s">
        <v>226</v>
      </c>
      <c r="Q1076" t="s">
        <v>227</v>
      </c>
      <c r="R1076" t="s">
        <v>185</v>
      </c>
      <c r="S1076" t="s">
        <v>128</v>
      </c>
      <c r="T1076" t="s">
        <v>220</v>
      </c>
      <c r="U1076" t="s">
        <v>151</v>
      </c>
      <c r="V1076" t="s">
        <v>77</v>
      </c>
      <c r="W1076" s="58">
        <v>43309</v>
      </c>
      <c r="X1076" s="59">
        <v>0.41666666666666669</v>
      </c>
      <c r="Y1076" s="59">
        <v>0.45833333333333331</v>
      </c>
      <c r="Z1076" s="59">
        <v>4.1666666666666664E-2</v>
      </c>
      <c r="AA1076">
        <v>0</v>
      </c>
      <c r="AB1076">
        <v>0.79659999999999997</v>
      </c>
      <c r="AC1076">
        <v>20</v>
      </c>
      <c r="AD1076">
        <v>11</v>
      </c>
      <c r="AE1076" s="59">
        <v>0.41666666666666669</v>
      </c>
      <c r="AF1076" s="59">
        <v>0.45763888888888887</v>
      </c>
      <c r="AG1076">
        <v>16</v>
      </c>
    </row>
    <row r="1077" spans="1:33" x14ac:dyDescent="0.25">
      <c r="A1077" t="s">
        <v>258</v>
      </c>
      <c r="B1077" t="s">
        <v>325</v>
      </c>
      <c r="C1077" t="s">
        <v>326</v>
      </c>
      <c r="E1077" t="s">
        <v>327</v>
      </c>
      <c r="F1077" t="s">
        <v>134</v>
      </c>
      <c r="H1077" t="s">
        <v>182</v>
      </c>
      <c r="I1077" t="s">
        <v>147</v>
      </c>
      <c r="J1077" t="s">
        <v>258</v>
      </c>
      <c r="K1077" t="s">
        <v>396</v>
      </c>
      <c r="L1077" t="s">
        <v>397</v>
      </c>
      <c r="N1077" t="s">
        <v>398</v>
      </c>
      <c r="O1077" t="s">
        <v>226</v>
      </c>
      <c r="Q1077" t="s">
        <v>227</v>
      </c>
      <c r="R1077" t="s">
        <v>183</v>
      </c>
      <c r="S1077" t="s">
        <v>128</v>
      </c>
      <c r="T1077" t="s">
        <v>220</v>
      </c>
      <c r="U1077" t="s">
        <v>129</v>
      </c>
      <c r="V1077" t="s">
        <v>77</v>
      </c>
      <c r="W1077" s="58">
        <v>43309</v>
      </c>
      <c r="X1077" s="59">
        <v>0.5</v>
      </c>
      <c r="Y1077" s="59">
        <v>0.54166666666666663</v>
      </c>
      <c r="Z1077" s="59">
        <v>4.1666666666666664E-2</v>
      </c>
      <c r="AA1077">
        <v>0</v>
      </c>
      <c r="AB1077">
        <v>2.2181999999999999</v>
      </c>
      <c r="AC1077">
        <v>23</v>
      </c>
      <c r="AD1077">
        <v>11</v>
      </c>
      <c r="AE1077" s="59">
        <v>0.5</v>
      </c>
      <c r="AF1077" s="59">
        <v>0.54097222222222219</v>
      </c>
      <c r="AG1077">
        <v>16</v>
      </c>
    </row>
    <row r="1078" spans="1:33" x14ac:dyDescent="0.25">
      <c r="A1078" t="s">
        <v>258</v>
      </c>
      <c r="B1078" t="s">
        <v>314</v>
      </c>
      <c r="C1078" t="s">
        <v>315</v>
      </c>
      <c r="D1078">
        <v>72</v>
      </c>
      <c r="E1078" t="s">
        <v>316</v>
      </c>
      <c r="F1078" t="s">
        <v>317</v>
      </c>
      <c r="G1078" t="s">
        <v>218</v>
      </c>
      <c r="H1078" t="s">
        <v>168</v>
      </c>
      <c r="I1078" t="s">
        <v>169</v>
      </c>
      <c r="J1078" t="s">
        <v>258</v>
      </c>
      <c r="K1078" t="s">
        <v>396</v>
      </c>
      <c r="L1078" t="s">
        <v>397</v>
      </c>
      <c r="N1078" t="s">
        <v>398</v>
      </c>
      <c r="O1078" t="s">
        <v>226</v>
      </c>
      <c r="Q1078" t="s">
        <v>227</v>
      </c>
      <c r="R1078" t="s">
        <v>170</v>
      </c>
      <c r="S1078" t="s">
        <v>128</v>
      </c>
      <c r="T1078" t="s">
        <v>220</v>
      </c>
      <c r="U1078" t="s">
        <v>129</v>
      </c>
      <c r="V1078" t="s">
        <v>71</v>
      </c>
      <c r="W1078" s="58">
        <v>43310</v>
      </c>
      <c r="X1078" s="59">
        <v>0.33333333333333331</v>
      </c>
      <c r="Y1078" s="59">
        <v>0.35416666666666669</v>
      </c>
      <c r="Z1078" s="59">
        <v>2.0833333333333332E-2</v>
      </c>
      <c r="AA1078">
        <v>0</v>
      </c>
      <c r="AC1078">
        <v>11.5</v>
      </c>
      <c r="AD1078">
        <v>5.5</v>
      </c>
      <c r="AE1078" s="59">
        <v>0.33333333333333331</v>
      </c>
      <c r="AF1078" s="59">
        <v>0.35347222222222219</v>
      </c>
      <c r="AG1078">
        <v>16</v>
      </c>
    </row>
    <row r="1079" spans="1:33" x14ac:dyDescent="0.25">
      <c r="A1079" t="s">
        <v>258</v>
      </c>
      <c r="B1079" t="s">
        <v>325</v>
      </c>
      <c r="C1079" t="s">
        <v>326</v>
      </c>
      <c r="E1079" t="s">
        <v>327</v>
      </c>
      <c r="F1079" t="s">
        <v>134</v>
      </c>
      <c r="H1079" t="s">
        <v>182</v>
      </c>
      <c r="I1079" t="s">
        <v>147</v>
      </c>
      <c r="J1079" t="s">
        <v>258</v>
      </c>
      <c r="K1079" t="s">
        <v>396</v>
      </c>
      <c r="L1079" t="s">
        <v>397</v>
      </c>
      <c r="N1079" t="s">
        <v>398</v>
      </c>
      <c r="O1079" t="s">
        <v>226</v>
      </c>
      <c r="Q1079" t="s">
        <v>227</v>
      </c>
      <c r="R1079" t="s">
        <v>183</v>
      </c>
      <c r="S1079" t="s">
        <v>128</v>
      </c>
      <c r="T1079" t="s">
        <v>220</v>
      </c>
      <c r="U1079" t="s">
        <v>129</v>
      </c>
      <c r="V1079" t="s">
        <v>71</v>
      </c>
      <c r="W1079" s="58">
        <v>43310</v>
      </c>
      <c r="X1079" s="59">
        <v>0.36458333333333331</v>
      </c>
      <c r="Y1079" s="59">
        <v>0.40625</v>
      </c>
      <c r="Z1079" s="59">
        <v>4.1666666666666664E-2</v>
      </c>
      <c r="AA1079">
        <v>0</v>
      </c>
      <c r="AB1079">
        <v>3.7126000000000001</v>
      </c>
      <c r="AC1079">
        <v>23</v>
      </c>
      <c r="AD1079">
        <v>11</v>
      </c>
      <c r="AE1079" s="59">
        <v>0.36458333333333331</v>
      </c>
      <c r="AF1079" s="59">
        <v>0.4055555555555555</v>
      </c>
      <c r="AG1079">
        <v>16</v>
      </c>
    </row>
    <row r="1080" spans="1:33" x14ac:dyDescent="0.25">
      <c r="A1080" t="s">
        <v>274</v>
      </c>
      <c r="B1080" t="s">
        <v>321</v>
      </c>
      <c r="C1080" t="s">
        <v>322</v>
      </c>
      <c r="D1080" t="s">
        <v>323</v>
      </c>
      <c r="E1080" t="s">
        <v>324</v>
      </c>
      <c r="F1080" t="s">
        <v>134</v>
      </c>
      <c r="H1080" t="s">
        <v>184</v>
      </c>
      <c r="I1080" t="s">
        <v>147</v>
      </c>
      <c r="J1080" t="s">
        <v>258</v>
      </c>
      <c r="K1080" t="s">
        <v>396</v>
      </c>
      <c r="L1080" t="s">
        <v>397</v>
      </c>
      <c r="N1080" t="s">
        <v>398</v>
      </c>
      <c r="O1080" t="s">
        <v>226</v>
      </c>
      <c r="Q1080" t="s">
        <v>227</v>
      </c>
      <c r="R1080" t="s">
        <v>185</v>
      </c>
      <c r="S1080" t="s">
        <v>128</v>
      </c>
      <c r="T1080" t="s">
        <v>220</v>
      </c>
      <c r="U1080" t="s">
        <v>151</v>
      </c>
      <c r="V1080" t="s">
        <v>71</v>
      </c>
      <c r="W1080" s="58">
        <v>43310</v>
      </c>
      <c r="X1080" s="59">
        <v>0.41666666666666669</v>
      </c>
      <c r="Y1080" s="59">
        <v>0.45833333333333331</v>
      </c>
      <c r="Z1080" s="59">
        <v>4.1666666666666664E-2</v>
      </c>
      <c r="AA1080">
        <v>0</v>
      </c>
      <c r="AB1080">
        <v>2.2181999999999999</v>
      </c>
      <c r="AC1080">
        <v>20</v>
      </c>
      <c r="AD1080">
        <v>11</v>
      </c>
      <c r="AE1080" s="59">
        <v>0.41666666666666669</v>
      </c>
      <c r="AF1080" s="59">
        <v>0.45763888888888887</v>
      </c>
      <c r="AG1080">
        <v>16</v>
      </c>
    </row>
    <row r="1081" spans="1:33" x14ac:dyDescent="0.25">
      <c r="A1081" t="s">
        <v>274</v>
      </c>
      <c r="B1081" t="s">
        <v>321</v>
      </c>
      <c r="C1081" t="s">
        <v>322</v>
      </c>
      <c r="D1081" t="s">
        <v>323</v>
      </c>
      <c r="E1081" t="s">
        <v>324</v>
      </c>
      <c r="F1081" t="s">
        <v>134</v>
      </c>
      <c r="H1081" t="s">
        <v>184</v>
      </c>
      <c r="I1081" t="s">
        <v>147</v>
      </c>
      <c r="J1081" t="s">
        <v>258</v>
      </c>
      <c r="K1081" t="s">
        <v>396</v>
      </c>
      <c r="L1081" t="s">
        <v>397</v>
      </c>
      <c r="N1081" t="s">
        <v>398</v>
      </c>
      <c r="O1081" t="s">
        <v>226</v>
      </c>
      <c r="Q1081" t="s">
        <v>227</v>
      </c>
      <c r="R1081" t="s">
        <v>185</v>
      </c>
      <c r="S1081" t="s">
        <v>128</v>
      </c>
      <c r="T1081" t="s">
        <v>220</v>
      </c>
      <c r="U1081" t="s">
        <v>151</v>
      </c>
      <c r="V1081" t="s">
        <v>72</v>
      </c>
      <c r="W1081" s="58">
        <v>43311</v>
      </c>
      <c r="X1081" s="59">
        <v>0.8125</v>
      </c>
      <c r="Y1081" s="59">
        <v>0.84375</v>
      </c>
      <c r="Z1081" s="59">
        <v>3.125E-2</v>
      </c>
      <c r="AA1081">
        <v>0</v>
      </c>
      <c r="AC1081">
        <v>15</v>
      </c>
      <c r="AD1081">
        <v>7.5</v>
      </c>
      <c r="AE1081" s="59">
        <v>0.8125</v>
      </c>
      <c r="AF1081" s="59">
        <v>0.84305555555555556</v>
      </c>
      <c r="AG1081">
        <v>16</v>
      </c>
    </row>
    <row r="1082" spans="1:33" x14ac:dyDescent="0.25">
      <c r="A1082" t="s">
        <v>258</v>
      </c>
      <c r="B1082" t="s">
        <v>310</v>
      </c>
      <c r="C1082" t="s">
        <v>311</v>
      </c>
      <c r="D1082" t="s">
        <v>312</v>
      </c>
      <c r="E1082" t="s">
        <v>313</v>
      </c>
      <c r="F1082" t="s">
        <v>134</v>
      </c>
      <c r="H1082" t="s">
        <v>175</v>
      </c>
      <c r="I1082" t="s">
        <v>127</v>
      </c>
      <c r="J1082" t="s">
        <v>258</v>
      </c>
      <c r="K1082" t="s">
        <v>396</v>
      </c>
      <c r="L1082" t="s">
        <v>397</v>
      </c>
      <c r="N1082" t="s">
        <v>398</v>
      </c>
      <c r="O1082" t="s">
        <v>226</v>
      </c>
      <c r="Q1082" t="s">
        <v>227</v>
      </c>
      <c r="R1082" t="s">
        <v>176</v>
      </c>
      <c r="S1082" t="s">
        <v>128</v>
      </c>
      <c r="T1082" t="s">
        <v>220</v>
      </c>
      <c r="U1082" t="s">
        <v>174</v>
      </c>
      <c r="V1082" t="s">
        <v>72</v>
      </c>
      <c r="W1082" s="58">
        <v>43311</v>
      </c>
      <c r="X1082" s="59">
        <v>0.86458333333333337</v>
      </c>
      <c r="Y1082" s="59">
        <v>0.88541666666666663</v>
      </c>
      <c r="Z1082" s="59">
        <v>2.0833333333333332E-2</v>
      </c>
      <c r="AA1082">
        <v>0</v>
      </c>
      <c r="AB1082">
        <v>4.8944000000000001</v>
      </c>
      <c r="AD1082">
        <v>5</v>
      </c>
      <c r="AE1082" s="59">
        <v>0.86458333333333337</v>
      </c>
      <c r="AF1082" s="59">
        <v>0.8847222222222223</v>
      </c>
      <c r="AG1082">
        <v>16</v>
      </c>
    </row>
    <row r="1083" spans="1:33" x14ac:dyDescent="0.25">
      <c r="A1083" t="s">
        <v>258</v>
      </c>
      <c r="B1083" t="s">
        <v>314</v>
      </c>
      <c r="C1083" t="s">
        <v>315</v>
      </c>
      <c r="D1083">
        <v>72</v>
      </c>
      <c r="E1083" t="s">
        <v>316</v>
      </c>
      <c r="F1083" t="s">
        <v>317</v>
      </c>
      <c r="G1083" t="s">
        <v>218</v>
      </c>
      <c r="H1083" t="s">
        <v>168</v>
      </c>
      <c r="I1083" t="s">
        <v>169</v>
      </c>
      <c r="J1083" t="s">
        <v>258</v>
      </c>
      <c r="K1083" t="s">
        <v>396</v>
      </c>
      <c r="L1083" t="s">
        <v>397</v>
      </c>
      <c r="N1083" t="s">
        <v>398</v>
      </c>
      <c r="O1083" t="s">
        <v>226</v>
      </c>
      <c r="Q1083" t="s">
        <v>227</v>
      </c>
      <c r="R1083" t="s">
        <v>170</v>
      </c>
      <c r="S1083" t="s">
        <v>128</v>
      </c>
      <c r="T1083" t="s">
        <v>220</v>
      </c>
      <c r="U1083" t="s">
        <v>129</v>
      </c>
      <c r="V1083" t="s">
        <v>73</v>
      </c>
      <c r="W1083" s="58">
        <v>43312</v>
      </c>
      <c r="X1083" s="59">
        <v>0.69791666666666663</v>
      </c>
      <c r="Y1083" s="59">
        <v>0.73958333333333337</v>
      </c>
      <c r="Z1083" s="59">
        <v>4.1666666666666664E-2</v>
      </c>
      <c r="AA1083">
        <v>0</v>
      </c>
      <c r="AC1083">
        <v>23</v>
      </c>
      <c r="AD1083">
        <v>10</v>
      </c>
      <c r="AE1083" s="59">
        <v>0.69791666666666663</v>
      </c>
      <c r="AF1083" s="59">
        <v>0.73888888888888893</v>
      </c>
      <c r="AG1083">
        <v>16</v>
      </c>
    </row>
    <row r="1084" spans="1:33" x14ac:dyDescent="0.25">
      <c r="A1084" t="s">
        <v>274</v>
      </c>
      <c r="B1084" t="s">
        <v>334</v>
      </c>
      <c r="C1084" t="s">
        <v>285</v>
      </c>
      <c r="E1084" t="s">
        <v>335</v>
      </c>
      <c r="F1084" t="s">
        <v>134</v>
      </c>
      <c r="H1084" t="s">
        <v>192</v>
      </c>
      <c r="I1084" t="s">
        <v>155</v>
      </c>
      <c r="J1084" t="s">
        <v>258</v>
      </c>
      <c r="K1084" t="s">
        <v>396</v>
      </c>
      <c r="L1084" t="s">
        <v>397</v>
      </c>
      <c r="N1084" t="s">
        <v>398</v>
      </c>
      <c r="O1084" t="s">
        <v>226</v>
      </c>
      <c r="Q1084" t="s">
        <v>227</v>
      </c>
      <c r="R1084" t="s">
        <v>193</v>
      </c>
      <c r="S1084" t="s">
        <v>128</v>
      </c>
      <c r="T1084" t="s">
        <v>220</v>
      </c>
      <c r="U1084" t="s">
        <v>129</v>
      </c>
      <c r="V1084" t="s">
        <v>73</v>
      </c>
      <c r="W1084" s="58">
        <v>43312</v>
      </c>
      <c r="X1084" s="59">
        <v>0.76041666666666663</v>
      </c>
      <c r="Y1084" s="59">
        <v>0.80208333333333337</v>
      </c>
      <c r="Z1084" s="59">
        <v>4.1666666666666664E-2</v>
      </c>
      <c r="AA1084">
        <v>0</v>
      </c>
      <c r="AB1084">
        <v>8.1636000000000006</v>
      </c>
      <c r="AC1084">
        <v>23</v>
      </c>
      <c r="AD1084">
        <v>10</v>
      </c>
      <c r="AE1084" s="59">
        <v>0.76041666666666663</v>
      </c>
      <c r="AF1084" s="59">
        <v>0.80138888888888893</v>
      </c>
      <c r="AG1084">
        <v>16</v>
      </c>
    </row>
    <row r="1085" spans="1:33" x14ac:dyDescent="0.25">
      <c r="A1085" t="s">
        <v>258</v>
      </c>
      <c r="B1085" t="s">
        <v>342</v>
      </c>
      <c r="C1085" t="s">
        <v>343</v>
      </c>
      <c r="E1085" t="s">
        <v>344</v>
      </c>
      <c r="F1085" t="s">
        <v>134</v>
      </c>
      <c r="H1085" t="s">
        <v>197</v>
      </c>
      <c r="I1085" t="s">
        <v>198</v>
      </c>
      <c r="J1085" t="s">
        <v>258</v>
      </c>
      <c r="K1085" t="s">
        <v>396</v>
      </c>
      <c r="L1085" t="s">
        <v>397</v>
      </c>
      <c r="N1085" t="s">
        <v>398</v>
      </c>
      <c r="O1085" t="s">
        <v>226</v>
      </c>
      <c r="Q1085" t="s">
        <v>227</v>
      </c>
      <c r="R1085" t="s">
        <v>199</v>
      </c>
      <c r="S1085" t="s">
        <v>128</v>
      </c>
      <c r="T1085" t="s">
        <v>220</v>
      </c>
      <c r="U1085" t="s">
        <v>151</v>
      </c>
      <c r="V1085" t="s">
        <v>73</v>
      </c>
      <c r="W1085" s="58">
        <v>43312</v>
      </c>
      <c r="X1085" s="59">
        <v>0.8125</v>
      </c>
      <c r="Y1085" s="59">
        <v>0.85416666666666663</v>
      </c>
      <c r="Z1085" s="59">
        <v>4.1666666666666664E-2</v>
      </c>
      <c r="AA1085">
        <v>0</v>
      </c>
      <c r="AB1085">
        <v>2.1772</v>
      </c>
      <c r="AC1085">
        <v>20</v>
      </c>
      <c r="AD1085">
        <v>10</v>
      </c>
      <c r="AE1085" s="59">
        <v>0.8125</v>
      </c>
      <c r="AF1085" s="59">
        <v>0.8534722222222223</v>
      </c>
      <c r="AG1085">
        <v>16</v>
      </c>
    </row>
    <row r="1086" spans="1:33" x14ac:dyDescent="0.25">
      <c r="A1086" t="s">
        <v>258</v>
      </c>
      <c r="B1086" t="s">
        <v>310</v>
      </c>
      <c r="C1086" t="s">
        <v>311</v>
      </c>
      <c r="D1086" t="s">
        <v>312</v>
      </c>
      <c r="E1086" t="s">
        <v>313</v>
      </c>
      <c r="F1086" t="s">
        <v>134</v>
      </c>
      <c r="H1086" t="s">
        <v>175</v>
      </c>
      <c r="I1086" t="s">
        <v>127</v>
      </c>
      <c r="J1086" t="s">
        <v>258</v>
      </c>
      <c r="K1086" t="s">
        <v>396</v>
      </c>
      <c r="L1086" t="s">
        <v>397</v>
      </c>
      <c r="N1086" t="s">
        <v>398</v>
      </c>
      <c r="O1086" t="s">
        <v>226</v>
      </c>
      <c r="Q1086" t="s">
        <v>227</v>
      </c>
      <c r="R1086" t="s">
        <v>176</v>
      </c>
      <c r="S1086" t="s">
        <v>128</v>
      </c>
      <c r="T1086" t="s">
        <v>220</v>
      </c>
      <c r="U1086" t="s">
        <v>151</v>
      </c>
      <c r="V1086" t="s">
        <v>73</v>
      </c>
      <c r="W1086" s="58">
        <v>43312</v>
      </c>
      <c r="X1086" s="59">
        <v>0.86458333333333337</v>
      </c>
      <c r="Y1086" s="59">
        <v>0.88541666666666663</v>
      </c>
      <c r="Z1086" s="59">
        <v>2.0833333333333332E-2</v>
      </c>
      <c r="AA1086">
        <v>0</v>
      </c>
      <c r="AB1086">
        <v>5.3818000000000001</v>
      </c>
      <c r="AC1086">
        <v>10</v>
      </c>
      <c r="AD1086">
        <v>5</v>
      </c>
      <c r="AE1086" s="59">
        <v>0.86458333333333337</v>
      </c>
      <c r="AF1086" s="59">
        <v>0.8847222222222223</v>
      </c>
      <c r="AG1086">
        <v>16</v>
      </c>
    </row>
    <row r="1087" spans="1:33" x14ac:dyDescent="0.25">
      <c r="A1087" t="s">
        <v>258</v>
      </c>
      <c r="B1087" t="s">
        <v>325</v>
      </c>
      <c r="C1087" t="s">
        <v>326</v>
      </c>
      <c r="E1087" t="s">
        <v>327</v>
      </c>
      <c r="F1087" t="s">
        <v>134</v>
      </c>
      <c r="H1087" t="s">
        <v>182</v>
      </c>
      <c r="I1087" t="s">
        <v>147</v>
      </c>
      <c r="J1087" t="s">
        <v>258</v>
      </c>
      <c r="K1087" t="s">
        <v>396</v>
      </c>
      <c r="L1087" t="s">
        <v>397</v>
      </c>
      <c r="N1087" t="s">
        <v>398</v>
      </c>
      <c r="O1087" t="s">
        <v>226</v>
      </c>
      <c r="Q1087" t="s">
        <v>227</v>
      </c>
      <c r="R1087" t="s">
        <v>183</v>
      </c>
      <c r="S1087" t="s">
        <v>128</v>
      </c>
      <c r="T1087" t="s">
        <v>220</v>
      </c>
      <c r="U1087" t="s">
        <v>129</v>
      </c>
      <c r="V1087" t="s">
        <v>76</v>
      </c>
      <c r="W1087" s="58">
        <v>43315</v>
      </c>
      <c r="X1087" s="59">
        <v>0.36458333333333331</v>
      </c>
      <c r="Y1087" s="59">
        <v>0.40625</v>
      </c>
      <c r="Z1087" s="59">
        <v>4.1666666666666664E-2</v>
      </c>
      <c r="AA1087">
        <v>0</v>
      </c>
      <c r="AC1087">
        <v>23</v>
      </c>
      <c r="AD1087">
        <v>10</v>
      </c>
      <c r="AE1087" s="59">
        <v>0.36458333333333331</v>
      </c>
      <c r="AF1087" s="59">
        <v>0.4055555555555555</v>
      </c>
      <c r="AG1087">
        <v>16</v>
      </c>
    </row>
    <row r="1088" spans="1:33" x14ac:dyDescent="0.25">
      <c r="A1088" t="s">
        <v>274</v>
      </c>
      <c r="B1088" t="s">
        <v>328</v>
      </c>
      <c r="C1088" t="s">
        <v>329</v>
      </c>
      <c r="D1088">
        <v>5</v>
      </c>
      <c r="E1088" t="s">
        <v>330</v>
      </c>
      <c r="F1088" t="s">
        <v>134</v>
      </c>
      <c r="G1088" t="s">
        <v>218</v>
      </c>
      <c r="H1088" t="s">
        <v>188</v>
      </c>
      <c r="I1088" t="s">
        <v>189</v>
      </c>
      <c r="J1088" t="s">
        <v>258</v>
      </c>
      <c r="K1088" t="s">
        <v>396</v>
      </c>
      <c r="L1088" t="s">
        <v>397</v>
      </c>
      <c r="N1088" t="s">
        <v>398</v>
      </c>
      <c r="O1088" t="s">
        <v>226</v>
      </c>
      <c r="Q1088" t="s">
        <v>227</v>
      </c>
      <c r="R1088" t="s">
        <v>190</v>
      </c>
      <c r="S1088" t="s">
        <v>128</v>
      </c>
      <c r="T1088" t="s">
        <v>220</v>
      </c>
      <c r="U1088" t="s">
        <v>151</v>
      </c>
      <c r="V1088" t="s">
        <v>76</v>
      </c>
      <c r="W1088" s="58">
        <v>43315</v>
      </c>
      <c r="X1088" s="59">
        <v>0.54166666666666663</v>
      </c>
      <c r="Y1088" s="59">
        <v>0.66666666666666663</v>
      </c>
      <c r="Z1088" s="59">
        <v>0.125</v>
      </c>
      <c r="AA1088">
        <v>0</v>
      </c>
      <c r="AC1088">
        <v>60</v>
      </c>
      <c r="AD1088">
        <v>30</v>
      </c>
      <c r="AE1088" s="59">
        <v>0.54166666666666663</v>
      </c>
      <c r="AF1088" s="59">
        <v>0.66597222222222219</v>
      </c>
      <c r="AG1088">
        <v>16</v>
      </c>
    </row>
    <row r="1089" spans="1:33" x14ac:dyDescent="0.25">
      <c r="A1089" t="s">
        <v>258</v>
      </c>
      <c r="B1089" t="s">
        <v>325</v>
      </c>
      <c r="C1089" t="s">
        <v>326</v>
      </c>
      <c r="E1089" t="s">
        <v>327</v>
      </c>
      <c r="F1089" t="s">
        <v>134</v>
      </c>
      <c r="H1089" t="s">
        <v>182</v>
      </c>
      <c r="I1089" t="s">
        <v>147</v>
      </c>
      <c r="J1089" t="s">
        <v>258</v>
      </c>
      <c r="K1089" t="s">
        <v>396</v>
      </c>
      <c r="L1089" t="s">
        <v>397</v>
      </c>
      <c r="N1089" t="s">
        <v>398</v>
      </c>
      <c r="O1089" t="s">
        <v>226</v>
      </c>
      <c r="Q1089" t="s">
        <v>227</v>
      </c>
      <c r="R1089" t="s">
        <v>183</v>
      </c>
      <c r="S1089" t="s">
        <v>128</v>
      </c>
      <c r="T1089" t="s">
        <v>220</v>
      </c>
      <c r="U1089" t="s">
        <v>129</v>
      </c>
      <c r="V1089" t="s">
        <v>77</v>
      </c>
      <c r="W1089" s="58">
        <v>43316</v>
      </c>
      <c r="X1089" s="59">
        <v>0.36458333333333331</v>
      </c>
      <c r="Y1089" s="59">
        <v>0.40625</v>
      </c>
      <c r="Z1089" s="59">
        <v>4.1666666666666664E-2</v>
      </c>
      <c r="AA1089">
        <v>0</v>
      </c>
      <c r="AC1089">
        <v>23</v>
      </c>
      <c r="AD1089">
        <v>11</v>
      </c>
      <c r="AE1089" s="59">
        <v>0.36458333333333331</v>
      </c>
      <c r="AF1089" s="59">
        <v>0.4055555555555555</v>
      </c>
      <c r="AG1089">
        <v>16</v>
      </c>
    </row>
    <row r="1090" spans="1:33" x14ac:dyDescent="0.25">
      <c r="A1090" t="s">
        <v>274</v>
      </c>
      <c r="B1090" t="s">
        <v>321</v>
      </c>
      <c r="C1090" t="s">
        <v>322</v>
      </c>
      <c r="D1090" t="s">
        <v>323</v>
      </c>
      <c r="E1090" t="s">
        <v>324</v>
      </c>
      <c r="F1090" t="s">
        <v>134</v>
      </c>
      <c r="H1090" t="s">
        <v>184</v>
      </c>
      <c r="I1090" t="s">
        <v>147</v>
      </c>
      <c r="J1090" t="s">
        <v>258</v>
      </c>
      <c r="K1090" t="s">
        <v>396</v>
      </c>
      <c r="L1090" t="s">
        <v>397</v>
      </c>
      <c r="N1090" t="s">
        <v>398</v>
      </c>
      <c r="O1090" t="s">
        <v>226</v>
      </c>
      <c r="Q1090" t="s">
        <v>227</v>
      </c>
      <c r="R1090" t="s">
        <v>185</v>
      </c>
      <c r="S1090" t="s">
        <v>128</v>
      </c>
      <c r="T1090" t="s">
        <v>220</v>
      </c>
      <c r="U1090" t="s">
        <v>151</v>
      </c>
      <c r="V1090" t="s">
        <v>77</v>
      </c>
      <c r="W1090" s="58">
        <v>43316</v>
      </c>
      <c r="X1090" s="59">
        <v>0.41666666666666669</v>
      </c>
      <c r="Y1090" s="59">
        <v>0.45833333333333331</v>
      </c>
      <c r="Z1090" s="59">
        <v>4.1666666666666664E-2</v>
      </c>
      <c r="AA1090">
        <v>0</v>
      </c>
      <c r="AB1090">
        <v>2.2181999999999999</v>
      </c>
      <c r="AC1090">
        <v>20</v>
      </c>
      <c r="AD1090">
        <v>11</v>
      </c>
      <c r="AE1090" s="59">
        <v>0.41666666666666669</v>
      </c>
      <c r="AF1090" s="59">
        <v>0.45763888888888887</v>
      </c>
      <c r="AG1090">
        <v>16</v>
      </c>
    </row>
    <row r="1091" spans="1:33" x14ac:dyDescent="0.25">
      <c r="A1091" t="s">
        <v>258</v>
      </c>
      <c r="B1091" t="s">
        <v>325</v>
      </c>
      <c r="C1091" t="s">
        <v>326</v>
      </c>
      <c r="E1091" t="s">
        <v>327</v>
      </c>
      <c r="F1091" t="s">
        <v>134</v>
      </c>
      <c r="H1091" t="s">
        <v>182</v>
      </c>
      <c r="I1091" t="s">
        <v>147</v>
      </c>
      <c r="J1091" t="s">
        <v>258</v>
      </c>
      <c r="K1091" t="s">
        <v>396</v>
      </c>
      <c r="L1091" t="s">
        <v>397</v>
      </c>
      <c r="N1091" t="s">
        <v>398</v>
      </c>
      <c r="O1091" t="s">
        <v>226</v>
      </c>
      <c r="Q1091" t="s">
        <v>227</v>
      </c>
      <c r="R1091" t="s">
        <v>183</v>
      </c>
      <c r="S1091" t="s">
        <v>128</v>
      </c>
      <c r="T1091" t="s">
        <v>220</v>
      </c>
      <c r="U1091" t="s">
        <v>129</v>
      </c>
      <c r="V1091" t="s">
        <v>77</v>
      </c>
      <c r="W1091" s="58">
        <v>43316</v>
      </c>
      <c r="X1091" s="59">
        <v>0.5</v>
      </c>
      <c r="Y1091" s="59">
        <v>0.54166666666666663</v>
      </c>
      <c r="Z1091" s="59">
        <v>4.1666666666666664E-2</v>
      </c>
      <c r="AA1091">
        <v>0</v>
      </c>
      <c r="AB1091">
        <v>2.2181999999999999</v>
      </c>
      <c r="AC1091">
        <v>23</v>
      </c>
      <c r="AD1091">
        <v>11</v>
      </c>
      <c r="AE1091" s="59">
        <v>0.5</v>
      </c>
      <c r="AF1091" s="59">
        <v>0.54097222222222219</v>
      </c>
      <c r="AG1091">
        <v>16</v>
      </c>
    </row>
    <row r="1092" spans="1:33" x14ac:dyDescent="0.25">
      <c r="B1092" t="s">
        <v>307</v>
      </c>
      <c r="C1092" t="s">
        <v>308</v>
      </c>
      <c r="D1092" t="s">
        <v>309</v>
      </c>
      <c r="E1092" t="s">
        <v>134</v>
      </c>
      <c r="H1092" t="s">
        <v>171</v>
      </c>
      <c r="I1092" t="s">
        <v>169</v>
      </c>
      <c r="J1092" t="s">
        <v>258</v>
      </c>
      <c r="K1092" t="s">
        <v>396</v>
      </c>
      <c r="L1092" t="s">
        <v>397</v>
      </c>
      <c r="N1092" t="s">
        <v>398</v>
      </c>
      <c r="O1092" t="s">
        <v>226</v>
      </c>
      <c r="Q1092" t="s">
        <v>227</v>
      </c>
      <c r="R1092" t="s">
        <v>172</v>
      </c>
      <c r="S1092" t="s">
        <v>128</v>
      </c>
      <c r="T1092" t="s">
        <v>220</v>
      </c>
      <c r="U1092" t="s">
        <v>129</v>
      </c>
      <c r="V1092" t="s">
        <v>71</v>
      </c>
      <c r="W1092" s="58">
        <v>43317</v>
      </c>
      <c r="X1092" s="59">
        <v>0.3125</v>
      </c>
      <c r="Y1092" s="59">
        <v>0.35416666666666669</v>
      </c>
      <c r="Z1092" s="59">
        <v>4.1666666666666664E-2</v>
      </c>
      <c r="AA1092">
        <v>0</v>
      </c>
      <c r="AC1092">
        <v>23</v>
      </c>
      <c r="AD1092">
        <v>11</v>
      </c>
      <c r="AE1092" s="59">
        <v>0.3125</v>
      </c>
      <c r="AF1092" s="59">
        <v>0.35347222222222219</v>
      </c>
      <c r="AG1092">
        <v>16</v>
      </c>
    </row>
    <row r="1093" spans="1:33" x14ac:dyDescent="0.25">
      <c r="A1093" t="s">
        <v>258</v>
      </c>
      <c r="B1093" t="s">
        <v>325</v>
      </c>
      <c r="C1093" t="s">
        <v>326</v>
      </c>
      <c r="E1093" t="s">
        <v>327</v>
      </c>
      <c r="F1093" t="s">
        <v>134</v>
      </c>
      <c r="H1093" t="s">
        <v>182</v>
      </c>
      <c r="I1093" t="s">
        <v>147</v>
      </c>
      <c r="J1093" t="s">
        <v>258</v>
      </c>
      <c r="K1093" t="s">
        <v>396</v>
      </c>
      <c r="L1093" t="s">
        <v>397</v>
      </c>
      <c r="N1093" t="s">
        <v>398</v>
      </c>
      <c r="O1093" t="s">
        <v>226</v>
      </c>
      <c r="Q1093" t="s">
        <v>227</v>
      </c>
      <c r="R1093" t="s">
        <v>183</v>
      </c>
      <c r="S1093" t="s">
        <v>128</v>
      </c>
      <c r="T1093" t="s">
        <v>220</v>
      </c>
      <c r="U1093" t="s">
        <v>129</v>
      </c>
      <c r="V1093" t="s">
        <v>71</v>
      </c>
      <c r="W1093" s="58">
        <v>43317</v>
      </c>
      <c r="X1093" s="59">
        <v>0.36458333333333331</v>
      </c>
      <c r="Y1093" s="59">
        <v>0.40625</v>
      </c>
      <c r="Z1093" s="59">
        <v>4.1666666666666664E-2</v>
      </c>
      <c r="AA1093">
        <v>0</v>
      </c>
      <c r="AB1093">
        <v>3.8488000000000002</v>
      </c>
      <c r="AC1093">
        <v>23</v>
      </c>
      <c r="AD1093">
        <v>11</v>
      </c>
      <c r="AE1093" s="59">
        <v>0.36458333333333331</v>
      </c>
      <c r="AF1093" s="59">
        <v>0.4055555555555555</v>
      </c>
      <c r="AG1093">
        <v>16</v>
      </c>
    </row>
    <row r="1094" spans="1:33" x14ac:dyDescent="0.25">
      <c r="A1094" t="s">
        <v>274</v>
      </c>
      <c r="B1094" t="s">
        <v>321</v>
      </c>
      <c r="C1094" t="s">
        <v>322</v>
      </c>
      <c r="D1094" t="s">
        <v>323</v>
      </c>
      <c r="E1094" t="s">
        <v>324</v>
      </c>
      <c r="F1094" t="s">
        <v>134</v>
      </c>
      <c r="H1094" t="s">
        <v>184</v>
      </c>
      <c r="I1094" t="s">
        <v>147</v>
      </c>
      <c r="J1094" t="s">
        <v>258</v>
      </c>
      <c r="K1094" t="s">
        <v>396</v>
      </c>
      <c r="L1094" t="s">
        <v>397</v>
      </c>
      <c r="N1094" t="s">
        <v>398</v>
      </c>
      <c r="O1094" t="s">
        <v>226</v>
      </c>
      <c r="Q1094" t="s">
        <v>227</v>
      </c>
      <c r="R1094" t="s">
        <v>185</v>
      </c>
      <c r="S1094" t="s">
        <v>128</v>
      </c>
      <c r="T1094" t="s">
        <v>220</v>
      </c>
      <c r="U1094" t="s">
        <v>151</v>
      </c>
      <c r="V1094" t="s">
        <v>71</v>
      </c>
      <c r="W1094" s="58">
        <v>43317</v>
      </c>
      <c r="X1094" s="59">
        <v>0.41666666666666669</v>
      </c>
      <c r="Y1094" s="59">
        <v>0.45833333333333331</v>
      </c>
      <c r="Z1094" s="59">
        <v>4.1666666666666664E-2</v>
      </c>
      <c r="AA1094">
        <v>0</v>
      </c>
      <c r="AB1094">
        <v>2.2181999999999999</v>
      </c>
      <c r="AC1094">
        <v>20</v>
      </c>
      <c r="AD1094">
        <v>11</v>
      </c>
      <c r="AE1094" s="59">
        <v>0.41666666666666669</v>
      </c>
      <c r="AF1094" s="59">
        <v>0.45763888888888887</v>
      </c>
      <c r="AG1094">
        <v>16</v>
      </c>
    </row>
    <row r="1095" spans="1:33" x14ac:dyDescent="0.25">
      <c r="A1095" t="s">
        <v>274</v>
      </c>
      <c r="B1095" t="s">
        <v>328</v>
      </c>
      <c r="C1095" t="s">
        <v>329</v>
      </c>
      <c r="D1095">
        <v>5</v>
      </c>
      <c r="E1095" t="s">
        <v>330</v>
      </c>
      <c r="F1095" t="s">
        <v>134</v>
      </c>
      <c r="G1095" t="s">
        <v>218</v>
      </c>
      <c r="H1095" t="s">
        <v>188</v>
      </c>
      <c r="I1095" t="s">
        <v>189</v>
      </c>
      <c r="J1095" t="s">
        <v>258</v>
      </c>
      <c r="K1095" t="s">
        <v>396</v>
      </c>
      <c r="L1095" t="s">
        <v>397</v>
      </c>
      <c r="N1095" t="s">
        <v>398</v>
      </c>
      <c r="O1095" t="s">
        <v>226</v>
      </c>
      <c r="Q1095" t="s">
        <v>227</v>
      </c>
      <c r="R1095" t="s">
        <v>190</v>
      </c>
      <c r="S1095" t="s">
        <v>128</v>
      </c>
      <c r="T1095" t="s">
        <v>220</v>
      </c>
      <c r="U1095" t="s">
        <v>151</v>
      </c>
      <c r="V1095" t="s">
        <v>72</v>
      </c>
      <c r="W1095" s="58">
        <v>43318</v>
      </c>
      <c r="X1095" s="59">
        <v>0.33333333333333331</v>
      </c>
      <c r="Y1095" s="59">
        <v>0.58333333333333337</v>
      </c>
      <c r="Z1095" s="59">
        <v>0.25</v>
      </c>
      <c r="AA1095">
        <v>0</v>
      </c>
      <c r="AC1095">
        <v>120</v>
      </c>
      <c r="AD1095">
        <v>60</v>
      </c>
      <c r="AE1095" s="59">
        <v>0.33333333333333331</v>
      </c>
      <c r="AF1095" s="59">
        <v>0.58263888888888882</v>
      </c>
      <c r="AG1095">
        <v>16</v>
      </c>
    </row>
    <row r="1096" spans="1:33" x14ac:dyDescent="0.25">
      <c r="A1096" t="s">
        <v>258</v>
      </c>
      <c r="B1096" t="s">
        <v>342</v>
      </c>
      <c r="C1096" t="s">
        <v>343</v>
      </c>
      <c r="E1096" t="s">
        <v>344</v>
      </c>
      <c r="F1096" t="s">
        <v>134</v>
      </c>
      <c r="H1096" t="s">
        <v>197</v>
      </c>
      <c r="I1096" t="s">
        <v>198</v>
      </c>
      <c r="J1096" t="s">
        <v>258</v>
      </c>
      <c r="K1096" t="s">
        <v>396</v>
      </c>
      <c r="L1096" t="s">
        <v>397</v>
      </c>
      <c r="N1096" t="s">
        <v>398</v>
      </c>
      <c r="O1096" t="s">
        <v>226</v>
      </c>
      <c r="Q1096" t="s">
        <v>227</v>
      </c>
      <c r="R1096" t="s">
        <v>199</v>
      </c>
      <c r="S1096" t="s">
        <v>128</v>
      </c>
      <c r="T1096" t="s">
        <v>220</v>
      </c>
      <c r="U1096" t="s">
        <v>151</v>
      </c>
      <c r="V1096" t="s">
        <v>73</v>
      </c>
      <c r="W1096" s="58">
        <v>43319</v>
      </c>
      <c r="X1096" s="59">
        <v>0.33333333333333331</v>
      </c>
      <c r="Y1096" s="59">
        <v>0.375</v>
      </c>
      <c r="Z1096" s="59">
        <v>4.1666666666666664E-2</v>
      </c>
      <c r="AA1096">
        <v>14</v>
      </c>
      <c r="AC1096">
        <v>20</v>
      </c>
      <c r="AD1096">
        <v>10</v>
      </c>
      <c r="AE1096" s="59">
        <v>0.33333333333333331</v>
      </c>
      <c r="AF1096" s="59">
        <v>0.3743055555555555</v>
      </c>
      <c r="AG1096">
        <v>16</v>
      </c>
    </row>
    <row r="1097" spans="1:33" x14ac:dyDescent="0.25">
      <c r="A1097" t="s">
        <v>274</v>
      </c>
      <c r="B1097" t="s">
        <v>321</v>
      </c>
      <c r="C1097" t="s">
        <v>322</v>
      </c>
      <c r="D1097" t="s">
        <v>323</v>
      </c>
      <c r="E1097" t="s">
        <v>324</v>
      </c>
      <c r="F1097" t="s">
        <v>134</v>
      </c>
      <c r="H1097" t="s">
        <v>184</v>
      </c>
      <c r="I1097" t="s">
        <v>147</v>
      </c>
      <c r="J1097" t="s">
        <v>258</v>
      </c>
      <c r="K1097" t="s">
        <v>396</v>
      </c>
      <c r="L1097" t="s">
        <v>397</v>
      </c>
      <c r="N1097" t="s">
        <v>398</v>
      </c>
      <c r="O1097" t="s">
        <v>226</v>
      </c>
      <c r="Q1097" t="s">
        <v>227</v>
      </c>
      <c r="R1097" t="s">
        <v>185</v>
      </c>
      <c r="S1097" t="s">
        <v>128</v>
      </c>
      <c r="T1097" t="s">
        <v>220</v>
      </c>
      <c r="U1097" t="s">
        <v>151</v>
      </c>
      <c r="V1097" t="s">
        <v>73</v>
      </c>
      <c r="W1097" s="58">
        <v>43319</v>
      </c>
      <c r="X1097" s="59">
        <v>0.41666666666666669</v>
      </c>
      <c r="Y1097" s="59">
        <v>0.45833333333333331</v>
      </c>
      <c r="Z1097" s="59">
        <v>4.1666666666666664E-2</v>
      </c>
      <c r="AA1097">
        <v>0</v>
      </c>
      <c r="AB1097">
        <v>7.7363999999999997</v>
      </c>
      <c r="AC1097">
        <v>20</v>
      </c>
      <c r="AD1097">
        <v>10</v>
      </c>
      <c r="AE1097" s="59">
        <v>0.41666666666666669</v>
      </c>
      <c r="AF1097" s="59">
        <v>0.45763888888888887</v>
      </c>
      <c r="AG1097">
        <v>16</v>
      </c>
    </row>
    <row r="1098" spans="1:33" x14ac:dyDescent="0.25">
      <c r="A1098" t="s">
        <v>274</v>
      </c>
      <c r="B1098" t="s">
        <v>336</v>
      </c>
      <c r="C1098" t="s">
        <v>337</v>
      </c>
      <c r="E1098" t="s">
        <v>338</v>
      </c>
      <c r="F1098" t="s">
        <v>134</v>
      </c>
      <c r="H1098" t="s">
        <v>186</v>
      </c>
      <c r="I1098" t="s">
        <v>147</v>
      </c>
      <c r="J1098" t="s">
        <v>258</v>
      </c>
      <c r="K1098" t="s">
        <v>396</v>
      </c>
      <c r="L1098" t="s">
        <v>397</v>
      </c>
      <c r="N1098" t="s">
        <v>398</v>
      </c>
      <c r="O1098" t="s">
        <v>226</v>
      </c>
      <c r="Q1098" t="s">
        <v>227</v>
      </c>
      <c r="R1098" t="s">
        <v>187</v>
      </c>
      <c r="S1098" t="s">
        <v>128</v>
      </c>
      <c r="T1098" t="s">
        <v>220</v>
      </c>
      <c r="U1098" t="s">
        <v>151</v>
      </c>
      <c r="V1098" t="s">
        <v>73</v>
      </c>
      <c r="W1098" s="58">
        <v>43319</v>
      </c>
      <c r="X1098" s="59">
        <v>0.46736111111111112</v>
      </c>
      <c r="Y1098" s="59">
        <v>0.55069444444444449</v>
      </c>
      <c r="Z1098" s="59">
        <v>8.3333333333333329E-2</v>
      </c>
      <c r="AA1098">
        <v>0</v>
      </c>
      <c r="AB1098">
        <v>0.79659999999999997</v>
      </c>
      <c r="AC1098">
        <v>40</v>
      </c>
      <c r="AD1098">
        <v>20</v>
      </c>
      <c r="AE1098" s="59">
        <v>0.46736111111111112</v>
      </c>
      <c r="AF1098" s="59">
        <v>0.54999999999999993</v>
      </c>
      <c r="AG1098">
        <v>16</v>
      </c>
    </row>
    <row r="1099" spans="1:33" x14ac:dyDescent="0.25">
      <c r="A1099" t="s">
        <v>258</v>
      </c>
      <c r="B1099" t="s">
        <v>325</v>
      </c>
      <c r="C1099" t="s">
        <v>326</v>
      </c>
      <c r="E1099" t="s">
        <v>327</v>
      </c>
      <c r="F1099" t="s">
        <v>134</v>
      </c>
      <c r="H1099" t="s">
        <v>182</v>
      </c>
      <c r="I1099" t="s">
        <v>147</v>
      </c>
      <c r="J1099" t="s">
        <v>258</v>
      </c>
      <c r="K1099" t="s">
        <v>396</v>
      </c>
      <c r="L1099" t="s">
        <v>397</v>
      </c>
      <c r="N1099" t="s">
        <v>398</v>
      </c>
      <c r="O1099" t="s">
        <v>226</v>
      </c>
      <c r="Q1099" t="s">
        <v>227</v>
      </c>
      <c r="R1099" t="s">
        <v>183</v>
      </c>
      <c r="S1099" t="s">
        <v>128</v>
      </c>
      <c r="T1099" t="s">
        <v>220</v>
      </c>
      <c r="U1099" t="s">
        <v>129</v>
      </c>
      <c r="V1099" t="s">
        <v>74</v>
      </c>
      <c r="W1099" s="58">
        <v>43320</v>
      </c>
      <c r="X1099" s="59">
        <v>0.36458333333333331</v>
      </c>
      <c r="Y1099" s="59">
        <v>0.40625</v>
      </c>
      <c r="Z1099" s="59">
        <v>4.1666666666666664E-2</v>
      </c>
      <c r="AA1099">
        <v>0</v>
      </c>
      <c r="AC1099">
        <v>23</v>
      </c>
      <c r="AD1099">
        <v>10</v>
      </c>
      <c r="AE1099" s="59">
        <v>0.36458333333333331</v>
      </c>
      <c r="AF1099" s="59">
        <v>0.4055555555555555</v>
      </c>
      <c r="AG1099">
        <v>16</v>
      </c>
    </row>
    <row r="1100" spans="1:33" x14ac:dyDescent="0.25">
      <c r="A1100" t="s">
        <v>274</v>
      </c>
      <c r="B1100" t="s">
        <v>321</v>
      </c>
      <c r="C1100" t="s">
        <v>322</v>
      </c>
      <c r="D1100" t="s">
        <v>323</v>
      </c>
      <c r="E1100" t="s">
        <v>324</v>
      </c>
      <c r="F1100" t="s">
        <v>134</v>
      </c>
      <c r="H1100" t="s">
        <v>184</v>
      </c>
      <c r="I1100" t="s">
        <v>147</v>
      </c>
      <c r="J1100" t="s">
        <v>258</v>
      </c>
      <c r="K1100" t="s">
        <v>396</v>
      </c>
      <c r="L1100" t="s">
        <v>397</v>
      </c>
      <c r="N1100" t="s">
        <v>398</v>
      </c>
      <c r="O1100" t="s">
        <v>226</v>
      </c>
      <c r="Q1100" t="s">
        <v>227</v>
      </c>
      <c r="R1100" t="s">
        <v>185</v>
      </c>
      <c r="S1100" t="s">
        <v>128</v>
      </c>
      <c r="T1100" t="s">
        <v>220</v>
      </c>
      <c r="U1100" t="s">
        <v>151</v>
      </c>
      <c r="V1100" t="s">
        <v>74</v>
      </c>
      <c r="W1100" s="58">
        <v>43320</v>
      </c>
      <c r="X1100" s="59">
        <v>0.41666666666666669</v>
      </c>
      <c r="Y1100" s="59">
        <v>0.45833333333333331</v>
      </c>
      <c r="Z1100" s="59">
        <v>4.1666666666666664E-2</v>
      </c>
      <c r="AA1100">
        <v>0</v>
      </c>
      <c r="AB1100">
        <v>2.2181999999999999</v>
      </c>
      <c r="AC1100">
        <v>20</v>
      </c>
      <c r="AD1100">
        <v>10</v>
      </c>
      <c r="AE1100" s="59">
        <v>0.41666666666666669</v>
      </c>
      <c r="AF1100" s="59">
        <v>0.45763888888888887</v>
      </c>
      <c r="AG1100">
        <v>16</v>
      </c>
    </row>
    <row r="1101" spans="1:33" x14ac:dyDescent="0.25">
      <c r="A1101" t="s">
        <v>258</v>
      </c>
      <c r="B1101" t="s">
        <v>325</v>
      </c>
      <c r="C1101" t="s">
        <v>326</v>
      </c>
      <c r="E1101" t="s">
        <v>327</v>
      </c>
      <c r="F1101" t="s">
        <v>134</v>
      </c>
      <c r="H1101" t="s">
        <v>182</v>
      </c>
      <c r="I1101" t="s">
        <v>147</v>
      </c>
      <c r="J1101" t="s">
        <v>258</v>
      </c>
      <c r="K1101" t="s">
        <v>396</v>
      </c>
      <c r="L1101" t="s">
        <v>397</v>
      </c>
      <c r="N1101" t="s">
        <v>398</v>
      </c>
      <c r="O1101" t="s">
        <v>226</v>
      </c>
      <c r="Q1101" t="s">
        <v>227</v>
      </c>
      <c r="R1101" t="s">
        <v>183</v>
      </c>
      <c r="S1101" t="s">
        <v>128</v>
      </c>
      <c r="T1101" t="s">
        <v>220</v>
      </c>
      <c r="U1101" t="s">
        <v>129</v>
      </c>
      <c r="V1101" t="s">
        <v>74</v>
      </c>
      <c r="W1101" s="58">
        <v>43320</v>
      </c>
      <c r="X1101" s="59">
        <v>0.5</v>
      </c>
      <c r="Y1101" s="59">
        <v>0.54166666666666663</v>
      </c>
      <c r="Z1101" s="59">
        <v>4.1666666666666664E-2</v>
      </c>
      <c r="AA1101">
        <v>0</v>
      </c>
      <c r="AB1101">
        <v>2.2181999999999999</v>
      </c>
      <c r="AC1101">
        <v>23</v>
      </c>
      <c r="AD1101">
        <v>10</v>
      </c>
      <c r="AE1101" s="59">
        <v>0.5</v>
      </c>
      <c r="AF1101" s="59">
        <v>0.54097222222222219</v>
      </c>
      <c r="AG1101">
        <v>16</v>
      </c>
    </row>
    <row r="1102" spans="1:33" x14ac:dyDescent="0.25">
      <c r="A1102" t="s">
        <v>258</v>
      </c>
      <c r="B1102" t="s">
        <v>342</v>
      </c>
      <c r="C1102" t="s">
        <v>343</v>
      </c>
      <c r="E1102" t="s">
        <v>344</v>
      </c>
      <c r="F1102" t="s">
        <v>134</v>
      </c>
      <c r="H1102" t="s">
        <v>197</v>
      </c>
      <c r="I1102" t="s">
        <v>198</v>
      </c>
      <c r="J1102" t="s">
        <v>258</v>
      </c>
      <c r="K1102" t="s">
        <v>396</v>
      </c>
      <c r="L1102" t="s">
        <v>397</v>
      </c>
      <c r="N1102" t="s">
        <v>398</v>
      </c>
      <c r="O1102" t="s">
        <v>226</v>
      </c>
      <c r="Q1102" t="s">
        <v>227</v>
      </c>
      <c r="R1102" t="s">
        <v>199</v>
      </c>
      <c r="S1102" t="s">
        <v>128</v>
      </c>
      <c r="T1102" t="s">
        <v>220</v>
      </c>
      <c r="U1102" t="s">
        <v>151</v>
      </c>
      <c r="V1102" t="s">
        <v>75</v>
      </c>
      <c r="W1102" s="58">
        <v>43321</v>
      </c>
      <c r="X1102" s="59">
        <v>0.33333333333333331</v>
      </c>
      <c r="Y1102" s="59">
        <v>0.375</v>
      </c>
      <c r="Z1102" s="59">
        <v>4.1666666666666664E-2</v>
      </c>
      <c r="AA1102">
        <v>14</v>
      </c>
      <c r="AC1102">
        <v>20</v>
      </c>
      <c r="AD1102">
        <v>10</v>
      </c>
      <c r="AE1102" s="59">
        <v>0.33333333333333331</v>
      </c>
      <c r="AF1102" s="59">
        <v>0.3743055555555555</v>
      </c>
      <c r="AG1102">
        <v>16</v>
      </c>
    </row>
    <row r="1103" spans="1:33" x14ac:dyDescent="0.25">
      <c r="A1103" t="s">
        <v>274</v>
      </c>
      <c r="B1103" t="s">
        <v>336</v>
      </c>
      <c r="C1103" t="s">
        <v>337</v>
      </c>
      <c r="E1103" t="s">
        <v>338</v>
      </c>
      <c r="F1103" t="s">
        <v>134</v>
      </c>
      <c r="H1103" t="s">
        <v>186</v>
      </c>
      <c r="I1103" t="s">
        <v>147</v>
      </c>
      <c r="J1103" t="s">
        <v>258</v>
      </c>
      <c r="K1103" t="s">
        <v>396</v>
      </c>
      <c r="L1103" t="s">
        <v>397</v>
      </c>
      <c r="N1103" t="s">
        <v>398</v>
      </c>
      <c r="O1103" t="s">
        <v>226</v>
      </c>
      <c r="Q1103" t="s">
        <v>227</v>
      </c>
      <c r="R1103" t="s">
        <v>187</v>
      </c>
      <c r="S1103" t="s">
        <v>128</v>
      </c>
      <c r="T1103" t="s">
        <v>220</v>
      </c>
      <c r="U1103" t="s">
        <v>151</v>
      </c>
      <c r="V1103" t="s">
        <v>75</v>
      </c>
      <c r="W1103" s="58">
        <v>43321</v>
      </c>
      <c r="X1103" s="59">
        <v>0.38541666666666669</v>
      </c>
      <c r="Y1103" s="59">
        <v>0.42708333333333331</v>
      </c>
      <c r="Z1103" s="59">
        <v>4.1666666666666664E-2</v>
      </c>
      <c r="AA1103">
        <v>0</v>
      </c>
      <c r="AB1103">
        <v>7.0965999999999996</v>
      </c>
      <c r="AC1103">
        <v>20</v>
      </c>
      <c r="AD1103">
        <v>10</v>
      </c>
      <c r="AE1103" s="59">
        <v>0.38541666666666669</v>
      </c>
      <c r="AF1103" s="59">
        <v>0.42638888888888887</v>
      </c>
      <c r="AG1103">
        <v>16</v>
      </c>
    </row>
    <row r="1104" spans="1:33" x14ac:dyDescent="0.25">
      <c r="A1104" t="s">
        <v>258</v>
      </c>
      <c r="B1104" t="s">
        <v>342</v>
      </c>
      <c r="C1104" t="s">
        <v>343</v>
      </c>
      <c r="E1104" t="s">
        <v>344</v>
      </c>
      <c r="F1104" t="s">
        <v>134</v>
      </c>
      <c r="H1104" t="s">
        <v>197</v>
      </c>
      <c r="I1104" t="s">
        <v>198</v>
      </c>
      <c r="J1104" t="s">
        <v>258</v>
      </c>
      <c r="K1104" t="s">
        <v>396</v>
      </c>
      <c r="L1104" t="s">
        <v>397</v>
      </c>
      <c r="N1104" t="s">
        <v>398</v>
      </c>
      <c r="O1104" t="s">
        <v>226</v>
      </c>
      <c r="Q1104" t="s">
        <v>227</v>
      </c>
      <c r="R1104" t="s">
        <v>199</v>
      </c>
      <c r="S1104" t="s">
        <v>128</v>
      </c>
      <c r="T1104" t="s">
        <v>220</v>
      </c>
      <c r="U1104" t="s">
        <v>151</v>
      </c>
      <c r="V1104" t="s">
        <v>71</v>
      </c>
      <c r="W1104" s="58">
        <v>43324</v>
      </c>
      <c r="X1104" s="59">
        <v>0.33333333333333331</v>
      </c>
      <c r="Y1104" s="59">
        <v>0.375</v>
      </c>
      <c r="Z1104" s="59">
        <v>4.1666666666666664E-2</v>
      </c>
      <c r="AA1104">
        <v>0</v>
      </c>
      <c r="AC1104">
        <v>20</v>
      </c>
      <c r="AD1104">
        <v>11</v>
      </c>
      <c r="AE1104" s="59">
        <v>0.33333333333333331</v>
      </c>
      <c r="AF1104" s="59">
        <v>0.3743055555555555</v>
      </c>
      <c r="AG1104">
        <v>16</v>
      </c>
    </row>
    <row r="1105" spans="1:33" x14ac:dyDescent="0.25">
      <c r="A1105" t="s">
        <v>274</v>
      </c>
      <c r="B1105" t="s">
        <v>334</v>
      </c>
      <c r="C1105" t="s">
        <v>285</v>
      </c>
      <c r="E1105" t="s">
        <v>335</v>
      </c>
      <c r="F1105" t="s">
        <v>134</v>
      </c>
      <c r="H1105" t="s">
        <v>192</v>
      </c>
      <c r="I1105" t="s">
        <v>155</v>
      </c>
      <c r="J1105" t="s">
        <v>258</v>
      </c>
      <c r="K1105" t="s">
        <v>396</v>
      </c>
      <c r="L1105" t="s">
        <v>397</v>
      </c>
      <c r="N1105" t="s">
        <v>398</v>
      </c>
      <c r="O1105" t="s">
        <v>226</v>
      </c>
      <c r="Q1105" t="s">
        <v>227</v>
      </c>
      <c r="R1105" t="s">
        <v>193</v>
      </c>
      <c r="S1105" t="s">
        <v>128</v>
      </c>
      <c r="T1105" t="s">
        <v>220</v>
      </c>
      <c r="U1105" t="s">
        <v>129</v>
      </c>
      <c r="V1105" t="s">
        <v>71</v>
      </c>
      <c r="W1105" s="58">
        <v>43324</v>
      </c>
      <c r="X1105" s="59">
        <v>0.39583333333333331</v>
      </c>
      <c r="Y1105" s="59">
        <v>0.4375</v>
      </c>
      <c r="Z1105" s="59">
        <v>4.1666666666666664E-2</v>
      </c>
      <c r="AA1105">
        <v>0</v>
      </c>
      <c r="AB1105">
        <v>2.1818</v>
      </c>
      <c r="AC1105">
        <v>23</v>
      </c>
      <c r="AD1105">
        <v>11</v>
      </c>
      <c r="AE1105" s="59">
        <v>0.39583333333333331</v>
      </c>
      <c r="AF1105" s="59">
        <v>0.4368055555555555</v>
      </c>
      <c r="AG1105">
        <v>16</v>
      </c>
    </row>
    <row r="1106" spans="1:33" x14ac:dyDescent="0.25">
      <c r="A1106" t="s">
        <v>274</v>
      </c>
      <c r="B1106" t="s">
        <v>328</v>
      </c>
      <c r="C1106" t="s">
        <v>329</v>
      </c>
      <c r="D1106">
        <v>5</v>
      </c>
      <c r="E1106" t="s">
        <v>330</v>
      </c>
      <c r="F1106" t="s">
        <v>134</v>
      </c>
      <c r="G1106" t="s">
        <v>218</v>
      </c>
      <c r="H1106" t="s">
        <v>188</v>
      </c>
      <c r="I1106" t="s">
        <v>189</v>
      </c>
      <c r="J1106" t="s">
        <v>258</v>
      </c>
      <c r="K1106" t="s">
        <v>396</v>
      </c>
      <c r="L1106" t="s">
        <v>397</v>
      </c>
      <c r="N1106" t="s">
        <v>398</v>
      </c>
      <c r="O1106" t="s">
        <v>226</v>
      </c>
      <c r="Q1106" t="s">
        <v>227</v>
      </c>
      <c r="R1106" t="s">
        <v>190</v>
      </c>
      <c r="S1106" t="s">
        <v>128</v>
      </c>
      <c r="T1106" t="s">
        <v>220</v>
      </c>
      <c r="U1106" t="s">
        <v>151</v>
      </c>
      <c r="V1106" t="s">
        <v>72</v>
      </c>
      <c r="W1106" s="58">
        <v>43325</v>
      </c>
      <c r="X1106" s="59">
        <v>0.33333333333333331</v>
      </c>
      <c r="Y1106" s="59">
        <v>0.5</v>
      </c>
      <c r="Z1106" s="59">
        <v>0.16666666666666666</v>
      </c>
      <c r="AA1106">
        <v>0</v>
      </c>
      <c r="AC1106">
        <v>80</v>
      </c>
      <c r="AD1106">
        <v>40</v>
      </c>
      <c r="AE1106" s="59">
        <v>0.33333333333333331</v>
      </c>
      <c r="AF1106" s="59">
        <v>0.4993055555555555</v>
      </c>
      <c r="AG1106">
        <v>16</v>
      </c>
    </row>
    <row r="1107" spans="1:33" x14ac:dyDescent="0.25">
      <c r="A1107" t="s">
        <v>258</v>
      </c>
      <c r="B1107" t="s">
        <v>342</v>
      </c>
      <c r="C1107" t="s">
        <v>343</v>
      </c>
      <c r="E1107" t="s">
        <v>344</v>
      </c>
      <c r="F1107" t="s">
        <v>134</v>
      </c>
      <c r="H1107" t="s">
        <v>197</v>
      </c>
      <c r="I1107" t="s">
        <v>198</v>
      </c>
      <c r="J1107" t="s">
        <v>258</v>
      </c>
      <c r="K1107" t="s">
        <v>396</v>
      </c>
      <c r="L1107" t="s">
        <v>397</v>
      </c>
      <c r="N1107" t="s">
        <v>398</v>
      </c>
      <c r="O1107" t="s">
        <v>226</v>
      </c>
      <c r="Q1107" t="s">
        <v>227</v>
      </c>
      <c r="R1107" t="s">
        <v>199</v>
      </c>
      <c r="S1107" t="s">
        <v>128</v>
      </c>
      <c r="T1107" t="s">
        <v>220</v>
      </c>
      <c r="U1107" t="s">
        <v>151</v>
      </c>
      <c r="V1107" t="s">
        <v>73</v>
      </c>
      <c r="W1107" s="58">
        <v>43326</v>
      </c>
      <c r="X1107" s="59">
        <v>0.33333333333333331</v>
      </c>
      <c r="Y1107" s="59">
        <v>0.375</v>
      </c>
      <c r="Z1107" s="59">
        <v>4.1666666666666664E-2</v>
      </c>
      <c r="AA1107">
        <v>0</v>
      </c>
      <c r="AC1107">
        <v>20</v>
      </c>
      <c r="AD1107">
        <v>10</v>
      </c>
      <c r="AE1107" s="59">
        <v>0.33333333333333331</v>
      </c>
      <c r="AF1107" s="59">
        <v>0.3743055555555555</v>
      </c>
      <c r="AG1107">
        <v>16</v>
      </c>
    </row>
    <row r="1108" spans="1:33" x14ac:dyDescent="0.25">
      <c r="A1108" t="s">
        <v>258</v>
      </c>
      <c r="B1108" t="s">
        <v>354</v>
      </c>
      <c r="C1108" t="s">
        <v>355</v>
      </c>
      <c r="E1108" t="s">
        <v>356</v>
      </c>
      <c r="F1108" t="s">
        <v>134</v>
      </c>
      <c r="H1108" t="s">
        <v>205</v>
      </c>
      <c r="I1108" t="s">
        <v>198</v>
      </c>
      <c r="J1108" t="s">
        <v>258</v>
      </c>
      <c r="K1108" t="s">
        <v>396</v>
      </c>
      <c r="L1108" t="s">
        <v>397</v>
      </c>
      <c r="N1108" t="s">
        <v>398</v>
      </c>
      <c r="O1108" t="s">
        <v>226</v>
      </c>
      <c r="Q1108" t="s">
        <v>227</v>
      </c>
      <c r="R1108" t="s">
        <v>206</v>
      </c>
      <c r="S1108" t="s">
        <v>128</v>
      </c>
      <c r="T1108" t="s">
        <v>220</v>
      </c>
      <c r="U1108" t="s">
        <v>129</v>
      </c>
      <c r="V1108" t="s">
        <v>73</v>
      </c>
      <c r="W1108" s="58">
        <v>43326</v>
      </c>
      <c r="X1108" s="59">
        <v>0.3888888888888889</v>
      </c>
      <c r="Y1108" s="59">
        <v>0.43055555555555558</v>
      </c>
      <c r="Z1108" s="59">
        <v>4.1666666666666664E-2</v>
      </c>
      <c r="AA1108">
        <v>0</v>
      </c>
      <c r="AB1108">
        <v>2.1305999999999998</v>
      </c>
      <c r="AC1108">
        <v>23</v>
      </c>
      <c r="AD1108">
        <v>10</v>
      </c>
      <c r="AE1108" s="59">
        <v>0.3888888888888889</v>
      </c>
      <c r="AF1108" s="59">
        <v>0.42986111111111108</v>
      </c>
      <c r="AG1108">
        <v>16</v>
      </c>
    </row>
    <row r="1109" spans="1:33" x14ac:dyDescent="0.25">
      <c r="A1109" t="s">
        <v>274</v>
      </c>
      <c r="B1109" t="s">
        <v>336</v>
      </c>
      <c r="C1109" t="s">
        <v>337</v>
      </c>
      <c r="E1109" t="s">
        <v>338</v>
      </c>
      <c r="F1109" t="s">
        <v>134</v>
      </c>
      <c r="H1109" t="s">
        <v>186</v>
      </c>
      <c r="I1109" t="s">
        <v>147</v>
      </c>
      <c r="J1109" t="s">
        <v>258</v>
      </c>
      <c r="K1109" t="s">
        <v>396</v>
      </c>
      <c r="L1109" t="s">
        <v>397</v>
      </c>
      <c r="N1109" t="s">
        <v>398</v>
      </c>
      <c r="O1109" t="s">
        <v>226</v>
      </c>
      <c r="Q1109" t="s">
        <v>227</v>
      </c>
      <c r="R1109" t="s">
        <v>187</v>
      </c>
      <c r="S1109" t="s">
        <v>128</v>
      </c>
      <c r="T1109" t="s">
        <v>220</v>
      </c>
      <c r="U1109" t="s">
        <v>151</v>
      </c>
      <c r="V1109" t="s">
        <v>73</v>
      </c>
      <c r="W1109" s="58">
        <v>43326</v>
      </c>
      <c r="X1109" s="59">
        <v>0.4513888888888889</v>
      </c>
      <c r="Y1109" s="59">
        <v>0.53472222222222221</v>
      </c>
      <c r="Z1109" s="59">
        <v>8.3333333333333329E-2</v>
      </c>
      <c r="AA1109">
        <v>0</v>
      </c>
      <c r="AB1109">
        <v>7.2148000000000003</v>
      </c>
      <c r="AC1109">
        <v>40</v>
      </c>
      <c r="AD1109">
        <v>20</v>
      </c>
      <c r="AE1109" s="59">
        <v>0.4513888888888889</v>
      </c>
      <c r="AF1109" s="59">
        <v>0.53402777777777777</v>
      </c>
      <c r="AG1109">
        <v>16</v>
      </c>
    </row>
    <row r="1110" spans="1:33" x14ac:dyDescent="0.25">
      <c r="A1110" t="s">
        <v>258</v>
      </c>
      <c r="B1110" t="s">
        <v>342</v>
      </c>
      <c r="C1110" t="s">
        <v>343</v>
      </c>
      <c r="E1110" t="s">
        <v>344</v>
      </c>
      <c r="F1110" t="s">
        <v>134</v>
      </c>
      <c r="H1110" t="s">
        <v>197</v>
      </c>
      <c r="I1110" t="s">
        <v>198</v>
      </c>
      <c r="J1110" t="s">
        <v>258</v>
      </c>
      <c r="K1110" t="s">
        <v>396</v>
      </c>
      <c r="L1110" t="s">
        <v>397</v>
      </c>
      <c r="N1110" t="s">
        <v>398</v>
      </c>
      <c r="O1110" t="s">
        <v>226</v>
      </c>
      <c r="Q1110" t="s">
        <v>227</v>
      </c>
      <c r="R1110" t="s">
        <v>199</v>
      </c>
      <c r="S1110" t="s">
        <v>128</v>
      </c>
      <c r="T1110" t="s">
        <v>220</v>
      </c>
      <c r="U1110" t="s">
        <v>151</v>
      </c>
      <c r="V1110" t="s">
        <v>74</v>
      </c>
      <c r="W1110" s="58">
        <v>43327</v>
      </c>
      <c r="X1110" s="59">
        <v>0.33333333333333331</v>
      </c>
      <c r="Y1110" s="59">
        <v>0.375</v>
      </c>
      <c r="Z1110" s="59">
        <v>4.1666666666666664E-2</v>
      </c>
      <c r="AA1110">
        <v>0</v>
      </c>
      <c r="AC1110">
        <v>20</v>
      </c>
      <c r="AD1110">
        <v>10</v>
      </c>
      <c r="AE1110" s="59">
        <v>0.33333333333333331</v>
      </c>
      <c r="AF1110" s="59">
        <v>0.3743055555555555</v>
      </c>
      <c r="AG1110">
        <v>16</v>
      </c>
    </row>
    <row r="1111" spans="1:33" x14ac:dyDescent="0.25">
      <c r="A1111" t="s">
        <v>258</v>
      </c>
      <c r="B1111" t="s">
        <v>342</v>
      </c>
      <c r="C1111" t="s">
        <v>343</v>
      </c>
      <c r="E1111" t="s">
        <v>344</v>
      </c>
      <c r="F1111" t="s">
        <v>134</v>
      </c>
      <c r="H1111" t="s">
        <v>197</v>
      </c>
      <c r="I1111" t="s">
        <v>198</v>
      </c>
      <c r="J1111" t="s">
        <v>258</v>
      </c>
      <c r="K1111" t="s">
        <v>396</v>
      </c>
      <c r="L1111" t="s">
        <v>397</v>
      </c>
      <c r="N1111" t="s">
        <v>398</v>
      </c>
      <c r="O1111" t="s">
        <v>226</v>
      </c>
      <c r="Q1111" t="s">
        <v>227</v>
      </c>
      <c r="R1111" t="s">
        <v>199</v>
      </c>
      <c r="S1111" t="s">
        <v>128</v>
      </c>
      <c r="T1111" t="s">
        <v>220</v>
      </c>
      <c r="U1111" t="s">
        <v>151</v>
      </c>
      <c r="V1111" t="s">
        <v>75</v>
      </c>
      <c r="W1111" s="58">
        <v>43328</v>
      </c>
      <c r="X1111" s="59">
        <v>0.33333333333333331</v>
      </c>
      <c r="Y1111" s="59">
        <v>0.375</v>
      </c>
      <c r="Z1111" s="59">
        <v>4.1666666666666664E-2</v>
      </c>
      <c r="AA1111">
        <v>0</v>
      </c>
      <c r="AC1111">
        <v>20</v>
      </c>
      <c r="AD1111">
        <v>10</v>
      </c>
      <c r="AE1111" s="59">
        <v>0.33333333333333331</v>
      </c>
      <c r="AF1111" s="59">
        <v>0.3743055555555555</v>
      </c>
      <c r="AG1111">
        <v>16</v>
      </c>
    </row>
    <row r="1112" spans="1:33" x14ac:dyDescent="0.25">
      <c r="A1112" t="s">
        <v>274</v>
      </c>
      <c r="B1112" t="s">
        <v>336</v>
      </c>
      <c r="C1112" t="s">
        <v>337</v>
      </c>
      <c r="E1112" t="s">
        <v>338</v>
      </c>
      <c r="F1112" t="s">
        <v>134</v>
      </c>
      <c r="H1112" t="s">
        <v>186</v>
      </c>
      <c r="I1112" t="s">
        <v>147</v>
      </c>
      <c r="J1112" t="s">
        <v>258</v>
      </c>
      <c r="K1112" t="s">
        <v>396</v>
      </c>
      <c r="L1112" t="s">
        <v>397</v>
      </c>
      <c r="N1112" t="s">
        <v>398</v>
      </c>
      <c r="O1112" t="s">
        <v>226</v>
      </c>
      <c r="Q1112" t="s">
        <v>227</v>
      </c>
      <c r="R1112" t="s">
        <v>187</v>
      </c>
      <c r="S1112" t="s">
        <v>128</v>
      </c>
      <c r="T1112" t="s">
        <v>220</v>
      </c>
      <c r="U1112" t="s">
        <v>151</v>
      </c>
      <c r="V1112" t="s">
        <v>75</v>
      </c>
      <c r="W1112" s="58">
        <v>43328</v>
      </c>
      <c r="X1112" s="59">
        <v>0.38541666666666669</v>
      </c>
      <c r="Y1112" s="59">
        <v>0.42708333333333331</v>
      </c>
      <c r="Z1112" s="59">
        <v>4.1666666666666664E-2</v>
      </c>
      <c r="AA1112">
        <v>0</v>
      </c>
      <c r="AB1112">
        <v>7.0965999999999996</v>
      </c>
      <c r="AC1112">
        <v>20</v>
      </c>
      <c r="AD1112">
        <v>10</v>
      </c>
      <c r="AE1112" s="59">
        <v>0.38541666666666669</v>
      </c>
      <c r="AF1112" s="59">
        <v>0.42638888888888887</v>
      </c>
      <c r="AG1112">
        <v>16</v>
      </c>
    </row>
    <row r="1113" spans="1:33" x14ac:dyDescent="0.25">
      <c r="A1113" t="s">
        <v>258</v>
      </c>
      <c r="B1113" t="s">
        <v>325</v>
      </c>
      <c r="C1113" t="s">
        <v>326</v>
      </c>
      <c r="E1113" t="s">
        <v>327</v>
      </c>
      <c r="F1113" t="s">
        <v>134</v>
      </c>
      <c r="H1113" t="s">
        <v>182</v>
      </c>
      <c r="I1113" t="s">
        <v>147</v>
      </c>
      <c r="J1113" t="s">
        <v>258</v>
      </c>
      <c r="K1113" t="s">
        <v>396</v>
      </c>
      <c r="L1113" t="s">
        <v>397</v>
      </c>
      <c r="N1113" t="s">
        <v>398</v>
      </c>
      <c r="O1113" t="s">
        <v>226</v>
      </c>
      <c r="Q1113" t="s">
        <v>227</v>
      </c>
      <c r="R1113" t="s">
        <v>183</v>
      </c>
      <c r="S1113" t="s">
        <v>128</v>
      </c>
      <c r="T1113" t="s">
        <v>220</v>
      </c>
      <c r="U1113" t="s">
        <v>129</v>
      </c>
      <c r="V1113" t="s">
        <v>76</v>
      </c>
      <c r="W1113" s="58">
        <v>43329</v>
      </c>
      <c r="X1113" s="59">
        <v>0.36458333333333331</v>
      </c>
      <c r="Y1113" s="59">
        <v>0.40625</v>
      </c>
      <c r="Z1113" s="59">
        <v>4.1666666666666664E-2</v>
      </c>
      <c r="AA1113">
        <v>0</v>
      </c>
      <c r="AC1113">
        <v>23</v>
      </c>
      <c r="AD1113">
        <v>10</v>
      </c>
      <c r="AE1113" s="59">
        <v>0.36458333333333331</v>
      </c>
      <c r="AF1113" s="59">
        <v>0.4055555555555555</v>
      </c>
      <c r="AG1113">
        <v>16</v>
      </c>
    </row>
    <row r="1114" spans="1:33" x14ac:dyDescent="0.25">
      <c r="A1114" t="s">
        <v>274</v>
      </c>
      <c r="B1114" t="s">
        <v>321</v>
      </c>
      <c r="C1114" t="s">
        <v>322</v>
      </c>
      <c r="D1114" t="s">
        <v>323</v>
      </c>
      <c r="E1114" t="s">
        <v>324</v>
      </c>
      <c r="F1114" t="s">
        <v>134</v>
      </c>
      <c r="H1114" t="s">
        <v>184</v>
      </c>
      <c r="I1114" t="s">
        <v>147</v>
      </c>
      <c r="J1114" t="s">
        <v>258</v>
      </c>
      <c r="K1114" t="s">
        <v>396</v>
      </c>
      <c r="L1114" t="s">
        <v>397</v>
      </c>
      <c r="N1114" t="s">
        <v>398</v>
      </c>
      <c r="O1114" t="s">
        <v>226</v>
      </c>
      <c r="Q1114" t="s">
        <v>227</v>
      </c>
      <c r="R1114" t="s">
        <v>185</v>
      </c>
      <c r="S1114" t="s">
        <v>128</v>
      </c>
      <c r="T1114" t="s">
        <v>220</v>
      </c>
      <c r="U1114" t="s">
        <v>151</v>
      </c>
      <c r="V1114" t="s">
        <v>76</v>
      </c>
      <c r="W1114" s="58">
        <v>43329</v>
      </c>
      <c r="X1114" s="59">
        <v>0.41666666666666669</v>
      </c>
      <c r="Y1114" s="59">
        <v>0.45833333333333331</v>
      </c>
      <c r="Z1114" s="59">
        <v>4.1666666666666664E-2</v>
      </c>
      <c r="AA1114">
        <v>0</v>
      </c>
      <c r="AB1114">
        <v>2.2181999999999999</v>
      </c>
      <c r="AC1114">
        <v>20</v>
      </c>
      <c r="AD1114">
        <v>10</v>
      </c>
      <c r="AE1114" s="59">
        <v>0.41666666666666669</v>
      </c>
      <c r="AF1114" s="59">
        <v>0.45763888888888887</v>
      </c>
      <c r="AG1114">
        <v>16</v>
      </c>
    </row>
    <row r="1115" spans="1:33" x14ac:dyDescent="0.25">
      <c r="A1115" t="s">
        <v>274</v>
      </c>
      <c r="B1115" t="s">
        <v>336</v>
      </c>
      <c r="C1115" t="s">
        <v>337</v>
      </c>
      <c r="E1115" t="s">
        <v>338</v>
      </c>
      <c r="F1115" t="s">
        <v>134</v>
      </c>
      <c r="H1115" t="s">
        <v>186</v>
      </c>
      <c r="I1115" t="s">
        <v>147</v>
      </c>
      <c r="J1115" t="s">
        <v>258</v>
      </c>
      <c r="K1115" t="s">
        <v>396</v>
      </c>
      <c r="L1115" t="s">
        <v>397</v>
      </c>
      <c r="N1115" t="s">
        <v>398</v>
      </c>
      <c r="O1115" t="s">
        <v>226</v>
      </c>
      <c r="Q1115" t="s">
        <v>227</v>
      </c>
      <c r="R1115" t="s">
        <v>187</v>
      </c>
      <c r="S1115" t="s">
        <v>128</v>
      </c>
      <c r="T1115" t="s">
        <v>220</v>
      </c>
      <c r="U1115" t="s">
        <v>151</v>
      </c>
      <c r="V1115" t="s">
        <v>76</v>
      </c>
      <c r="W1115" s="58">
        <v>43329</v>
      </c>
      <c r="X1115" s="59">
        <v>0.46736111111111112</v>
      </c>
      <c r="Y1115" s="59">
        <v>0.55069444444444449</v>
      </c>
      <c r="Z1115" s="59">
        <v>8.3333333333333329E-2</v>
      </c>
      <c r="AA1115">
        <v>0</v>
      </c>
      <c r="AB1115">
        <v>0.79659999999999997</v>
      </c>
      <c r="AC1115">
        <v>40</v>
      </c>
      <c r="AD1115">
        <v>20</v>
      </c>
      <c r="AE1115" s="59">
        <v>0.46736111111111112</v>
      </c>
      <c r="AF1115" s="59">
        <v>0.54999999999999993</v>
      </c>
      <c r="AG1115">
        <v>16</v>
      </c>
    </row>
    <row r="1116" spans="1:33" x14ac:dyDescent="0.25">
      <c r="A1116" t="s">
        <v>258</v>
      </c>
      <c r="B1116" t="s">
        <v>281</v>
      </c>
      <c r="C1116" t="s">
        <v>282</v>
      </c>
      <c r="E1116" t="s">
        <v>283</v>
      </c>
      <c r="F1116" t="s">
        <v>134</v>
      </c>
      <c r="G1116" t="s">
        <v>218</v>
      </c>
      <c r="H1116" t="s">
        <v>146</v>
      </c>
      <c r="I1116" t="s">
        <v>147</v>
      </c>
      <c r="J1116" t="s">
        <v>258</v>
      </c>
      <c r="K1116" t="s">
        <v>396</v>
      </c>
      <c r="L1116" t="s">
        <v>397</v>
      </c>
      <c r="N1116" t="s">
        <v>398</v>
      </c>
      <c r="O1116" t="s">
        <v>226</v>
      </c>
      <c r="Q1116" t="s">
        <v>227</v>
      </c>
      <c r="R1116" t="s">
        <v>148</v>
      </c>
      <c r="S1116" t="s">
        <v>128</v>
      </c>
      <c r="T1116" t="s">
        <v>220</v>
      </c>
      <c r="U1116" t="s">
        <v>129</v>
      </c>
      <c r="V1116" t="s">
        <v>77</v>
      </c>
      <c r="W1116" s="58">
        <v>43330</v>
      </c>
      <c r="X1116" s="59">
        <v>0.31944444444444448</v>
      </c>
      <c r="Y1116" s="59">
        <v>0.3611111111111111</v>
      </c>
      <c r="Z1116" s="59">
        <v>4.1666666666666664E-2</v>
      </c>
      <c r="AA1116">
        <v>0</v>
      </c>
      <c r="AD1116">
        <v>11</v>
      </c>
      <c r="AE1116" s="59">
        <v>0.31944444444444448</v>
      </c>
      <c r="AF1116" s="59">
        <v>0.36041666666666666</v>
      </c>
      <c r="AG1116">
        <v>16</v>
      </c>
    </row>
    <row r="1117" spans="1:33" x14ac:dyDescent="0.25">
      <c r="A1117" t="s">
        <v>258</v>
      </c>
      <c r="B1117" t="s">
        <v>354</v>
      </c>
      <c r="C1117" t="s">
        <v>355</v>
      </c>
      <c r="E1117" t="s">
        <v>356</v>
      </c>
      <c r="F1117" t="s">
        <v>134</v>
      </c>
      <c r="H1117" t="s">
        <v>205</v>
      </c>
      <c r="I1117" t="s">
        <v>198</v>
      </c>
      <c r="J1117" t="s">
        <v>258</v>
      </c>
      <c r="K1117" t="s">
        <v>396</v>
      </c>
      <c r="L1117" t="s">
        <v>397</v>
      </c>
      <c r="N1117" t="s">
        <v>398</v>
      </c>
      <c r="O1117" t="s">
        <v>226</v>
      </c>
      <c r="Q1117" t="s">
        <v>227</v>
      </c>
      <c r="R1117" t="s">
        <v>206</v>
      </c>
      <c r="S1117" t="s">
        <v>128</v>
      </c>
      <c r="T1117" t="s">
        <v>220</v>
      </c>
      <c r="U1117" t="s">
        <v>129</v>
      </c>
      <c r="V1117" t="s">
        <v>77</v>
      </c>
      <c r="W1117" s="58">
        <v>43330</v>
      </c>
      <c r="X1117" s="59">
        <v>0.3888888888888889</v>
      </c>
      <c r="Y1117" s="59">
        <v>0.43055555555555558</v>
      </c>
      <c r="Z1117" s="59">
        <v>4.1666666666666664E-2</v>
      </c>
      <c r="AA1117">
        <v>0</v>
      </c>
      <c r="AB1117">
        <v>6.0068000000000001</v>
      </c>
      <c r="AC1117">
        <v>23</v>
      </c>
      <c r="AD1117">
        <v>11</v>
      </c>
      <c r="AE1117" s="59">
        <v>0.3888888888888889</v>
      </c>
      <c r="AF1117" s="59">
        <v>0.42986111111111108</v>
      </c>
      <c r="AG1117">
        <v>16</v>
      </c>
    </row>
    <row r="1118" spans="1:33" x14ac:dyDescent="0.25">
      <c r="A1118" t="s">
        <v>258</v>
      </c>
      <c r="B1118" t="s">
        <v>339</v>
      </c>
      <c r="C1118" t="s">
        <v>340</v>
      </c>
      <c r="D1118" t="s">
        <v>341</v>
      </c>
      <c r="E1118" t="s">
        <v>265</v>
      </c>
      <c r="F1118" t="s">
        <v>134</v>
      </c>
      <c r="H1118" t="s">
        <v>195</v>
      </c>
      <c r="I1118" t="s">
        <v>133</v>
      </c>
      <c r="J1118" t="s">
        <v>258</v>
      </c>
      <c r="K1118" t="s">
        <v>396</v>
      </c>
      <c r="L1118" t="s">
        <v>397</v>
      </c>
      <c r="N1118" t="s">
        <v>398</v>
      </c>
      <c r="O1118" t="s">
        <v>226</v>
      </c>
      <c r="Q1118" t="s">
        <v>227</v>
      </c>
      <c r="R1118" t="s">
        <v>196</v>
      </c>
      <c r="S1118" t="s">
        <v>128</v>
      </c>
      <c r="T1118" t="s">
        <v>220</v>
      </c>
      <c r="U1118" t="s">
        <v>129</v>
      </c>
      <c r="V1118" t="s">
        <v>77</v>
      </c>
      <c r="W1118" s="58">
        <v>43330</v>
      </c>
      <c r="X1118" s="59">
        <v>0.47916666666666669</v>
      </c>
      <c r="Y1118" s="59">
        <v>0.52083333333333337</v>
      </c>
      <c r="Z1118" s="59">
        <v>4.1666666666666664E-2</v>
      </c>
      <c r="AA1118">
        <v>0</v>
      </c>
      <c r="AB1118">
        <v>6.2351999999999999</v>
      </c>
      <c r="AC1118">
        <v>23</v>
      </c>
      <c r="AD1118">
        <v>11</v>
      </c>
      <c r="AE1118" s="59">
        <v>0.47916666666666669</v>
      </c>
      <c r="AF1118" s="59">
        <v>0.52013888888888882</v>
      </c>
      <c r="AG1118">
        <v>16</v>
      </c>
    </row>
    <row r="1119" spans="1:33" x14ac:dyDescent="0.25">
      <c r="A1119" t="s">
        <v>258</v>
      </c>
      <c r="B1119" t="s">
        <v>281</v>
      </c>
      <c r="C1119" t="s">
        <v>282</v>
      </c>
      <c r="E1119" t="s">
        <v>283</v>
      </c>
      <c r="F1119" t="s">
        <v>134</v>
      </c>
      <c r="G1119" t="s">
        <v>218</v>
      </c>
      <c r="H1119" t="s">
        <v>146</v>
      </c>
      <c r="I1119" t="s">
        <v>147</v>
      </c>
      <c r="J1119" t="s">
        <v>258</v>
      </c>
      <c r="K1119" t="s">
        <v>396</v>
      </c>
      <c r="L1119" t="s">
        <v>397</v>
      </c>
      <c r="N1119" t="s">
        <v>398</v>
      </c>
      <c r="O1119" t="s">
        <v>226</v>
      </c>
      <c r="Q1119" t="s">
        <v>227</v>
      </c>
      <c r="R1119" t="s">
        <v>148</v>
      </c>
      <c r="S1119" t="s">
        <v>128</v>
      </c>
      <c r="T1119" t="s">
        <v>220</v>
      </c>
      <c r="U1119" t="s">
        <v>129</v>
      </c>
      <c r="V1119" t="s">
        <v>71</v>
      </c>
      <c r="W1119" s="58">
        <v>43331</v>
      </c>
      <c r="X1119" s="59">
        <v>0.31944444444444448</v>
      </c>
      <c r="Y1119" s="59">
        <v>0.3611111111111111</v>
      </c>
      <c r="Z1119" s="59">
        <v>4.1666666666666664E-2</v>
      </c>
      <c r="AA1119">
        <v>0</v>
      </c>
      <c r="AC1119">
        <v>23</v>
      </c>
      <c r="AD1119">
        <v>11</v>
      </c>
      <c r="AE1119" s="59">
        <v>0.31944444444444448</v>
      </c>
      <c r="AF1119" s="59">
        <v>0.36041666666666666</v>
      </c>
      <c r="AG1119">
        <v>16</v>
      </c>
    </row>
    <row r="1120" spans="1:33" x14ac:dyDescent="0.25">
      <c r="A1120" t="s">
        <v>258</v>
      </c>
      <c r="B1120" t="s">
        <v>354</v>
      </c>
      <c r="C1120" t="s">
        <v>355</v>
      </c>
      <c r="E1120" t="s">
        <v>356</v>
      </c>
      <c r="F1120" t="s">
        <v>134</v>
      </c>
      <c r="H1120" t="s">
        <v>205</v>
      </c>
      <c r="I1120" t="s">
        <v>198</v>
      </c>
      <c r="J1120" t="s">
        <v>258</v>
      </c>
      <c r="K1120" t="s">
        <v>396</v>
      </c>
      <c r="L1120" t="s">
        <v>397</v>
      </c>
      <c r="N1120" t="s">
        <v>398</v>
      </c>
      <c r="O1120" t="s">
        <v>226</v>
      </c>
      <c r="Q1120" t="s">
        <v>227</v>
      </c>
      <c r="R1120" t="s">
        <v>206</v>
      </c>
      <c r="S1120" t="s">
        <v>128</v>
      </c>
      <c r="T1120" t="s">
        <v>220</v>
      </c>
      <c r="U1120" t="s">
        <v>129</v>
      </c>
      <c r="V1120" t="s">
        <v>71</v>
      </c>
      <c r="W1120" s="58">
        <v>43331</v>
      </c>
      <c r="X1120" s="59">
        <v>0.3888888888888889</v>
      </c>
      <c r="Y1120" s="59">
        <v>0.43055555555555558</v>
      </c>
      <c r="Z1120" s="59">
        <v>4.1666666666666664E-2</v>
      </c>
      <c r="AA1120">
        <v>0</v>
      </c>
      <c r="AB1120">
        <v>6.0068000000000001</v>
      </c>
      <c r="AC1120">
        <v>23</v>
      </c>
      <c r="AD1120">
        <v>11</v>
      </c>
      <c r="AE1120" s="59">
        <v>0.3888888888888889</v>
      </c>
      <c r="AF1120" s="59">
        <v>0.42986111111111108</v>
      </c>
      <c r="AG1120">
        <v>16</v>
      </c>
    </row>
    <row r="1121" spans="1:33" x14ac:dyDescent="0.25">
      <c r="A1121" t="s">
        <v>258</v>
      </c>
      <c r="B1121" t="s">
        <v>281</v>
      </c>
      <c r="C1121" t="s">
        <v>282</v>
      </c>
      <c r="E1121" t="s">
        <v>283</v>
      </c>
      <c r="F1121" t="s">
        <v>134</v>
      </c>
      <c r="G1121" t="s">
        <v>218</v>
      </c>
      <c r="H1121" t="s">
        <v>146</v>
      </c>
      <c r="I1121" t="s">
        <v>147</v>
      </c>
      <c r="J1121" t="s">
        <v>258</v>
      </c>
      <c r="K1121" t="s">
        <v>396</v>
      </c>
      <c r="L1121" t="s">
        <v>397</v>
      </c>
      <c r="N1121" t="s">
        <v>398</v>
      </c>
      <c r="O1121" t="s">
        <v>226</v>
      </c>
      <c r="Q1121" t="s">
        <v>227</v>
      </c>
      <c r="R1121" t="s">
        <v>148</v>
      </c>
      <c r="S1121" t="s">
        <v>128</v>
      </c>
      <c r="T1121" t="s">
        <v>220</v>
      </c>
      <c r="U1121" t="s">
        <v>129</v>
      </c>
      <c r="V1121" t="s">
        <v>71</v>
      </c>
      <c r="W1121" s="58">
        <v>43331</v>
      </c>
      <c r="X1121" s="59">
        <v>0.47916666666666669</v>
      </c>
      <c r="Y1121" s="59">
        <v>0.52083333333333337</v>
      </c>
      <c r="Z1121" s="59">
        <v>4.1666666666666664E-2</v>
      </c>
      <c r="AA1121">
        <v>0</v>
      </c>
      <c r="AB1121">
        <v>6.0045999999999999</v>
      </c>
      <c r="AC1121">
        <v>23</v>
      </c>
      <c r="AD1121">
        <v>11</v>
      </c>
      <c r="AE1121" s="59">
        <v>0.47916666666666669</v>
      </c>
      <c r="AF1121" s="59">
        <v>0.52013888888888882</v>
      </c>
      <c r="AG1121">
        <v>16</v>
      </c>
    </row>
    <row r="1122" spans="1:33" x14ac:dyDescent="0.25">
      <c r="A1122" t="s">
        <v>258</v>
      </c>
      <c r="B1122" t="s">
        <v>281</v>
      </c>
      <c r="C1122" t="s">
        <v>282</v>
      </c>
      <c r="E1122" t="s">
        <v>283</v>
      </c>
      <c r="F1122" t="s">
        <v>134</v>
      </c>
      <c r="G1122" t="s">
        <v>218</v>
      </c>
      <c r="H1122" t="s">
        <v>146</v>
      </c>
      <c r="I1122" t="s">
        <v>147</v>
      </c>
      <c r="J1122" t="s">
        <v>258</v>
      </c>
      <c r="K1122" t="s">
        <v>396</v>
      </c>
      <c r="L1122" t="s">
        <v>397</v>
      </c>
      <c r="N1122" t="s">
        <v>398</v>
      </c>
      <c r="O1122" t="s">
        <v>226</v>
      </c>
      <c r="Q1122" t="s">
        <v>227</v>
      </c>
      <c r="R1122" t="s">
        <v>148</v>
      </c>
      <c r="S1122" t="s">
        <v>128</v>
      </c>
      <c r="T1122" t="s">
        <v>220</v>
      </c>
      <c r="U1122" t="s">
        <v>129</v>
      </c>
      <c r="V1122" t="s">
        <v>71</v>
      </c>
      <c r="W1122" s="58">
        <v>43331</v>
      </c>
      <c r="X1122" s="59">
        <v>0.75</v>
      </c>
      <c r="Y1122" s="59">
        <v>0.79166666666666663</v>
      </c>
      <c r="Z1122" s="59">
        <v>4.1666666666666664E-2</v>
      </c>
      <c r="AA1122">
        <v>0</v>
      </c>
      <c r="AC1122">
        <v>23</v>
      </c>
      <c r="AD1122">
        <v>11</v>
      </c>
      <c r="AE1122" s="59">
        <v>0.75</v>
      </c>
      <c r="AF1122" s="59">
        <v>0.7909722222222223</v>
      </c>
      <c r="AG1122">
        <v>16</v>
      </c>
    </row>
    <row r="1123" spans="1:33" x14ac:dyDescent="0.25">
      <c r="A1123" t="s">
        <v>258</v>
      </c>
      <c r="B1123" t="s">
        <v>354</v>
      </c>
      <c r="C1123" t="s">
        <v>355</v>
      </c>
      <c r="E1123" t="s">
        <v>356</v>
      </c>
      <c r="F1123" t="s">
        <v>134</v>
      </c>
      <c r="H1123" t="s">
        <v>205</v>
      </c>
      <c r="I1123" t="s">
        <v>198</v>
      </c>
      <c r="J1123" t="s">
        <v>258</v>
      </c>
      <c r="K1123" t="s">
        <v>396</v>
      </c>
      <c r="L1123" t="s">
        <v>397</v>
      </c>
      <c r="N1123" t="s">
        <v>398</v>
      </c>
      <c r="O1123" t="s">
        <v>226</v>
      </c>
      <c r="Q1123" t="s">
        <v>227</v>
      </c>
      <c r="R1123" t="s">
        <v>206</v>
      </c>
      <c r="S1123" t="s">
        <v>128</v>
      </c>
      <c r="T1123" t="s">
        <v>220</v>
      </c>
      <c r="U1123" t="s">
        <v>129</v>
      </c>
      <c r="V1123" t="s">
        <v>72</v>
      </c>
      <c r="W1123" s="58">
        <v>43332</v>
      </c>
      <c r="X1123" s="59">
        <v>0.3888888888888889</v>
      </c>
      <c r="Y1123" s="59">
        <v>0.43055555555555558</v>
      </c>
      <c r="Z1123" s="59">
        <v>4.1666666666666664E-2</v>
      </c>
      <c r="AA1123">
        <v>0</v>
      </c>
      <c r="AC1123">
        <v>23</v>
      </c>
      <c r="AD1123">
        <v>12</v>
      </c>
      <c r="AE1123" s="59">
        <v>0.3888888888888889</v>
      </c>
      <c r="AF1123" s="59">
        <v>0.42986111111111108</v>
      </c>
      <c r="AG1123">
        <v>16</v>
      </c>
    </row>
    <row r="1124" spans="1:33" x14ac:dyDescent="0.25">
      <c r="A1124" t="s">
        <v>258</v>
      </c>
      <c r="B1124" t="s">
        <v>342</v>
      </c>
      <c r="C1124" t="s">
        <v>343</v>
      </c>
      <c r="E1124" t="s">
        <v>344</v>
      </c>
      <c r="F1124" t="s">
        <v>134</v>
      </c>
      <c r="H1124" t="s">
        <v>197</v>
      </c>
      <c r="I1124" t="s">
        <v>198</v>
      </c>
      <c r="J1124" t="s">
        <v>258</v>
      </c>
      <c r="K1124" t="s">
        <v>396</v>
      </c>
      <c r="L1124" t="s">
        <v>397</v>
      </c>
      <c r="N1124" t="s">
        <v>398</v>
      </c>
      <c r="O1124" t="s">
        <v>226</v>
      </c>
      <c r="Q1124" t="s">
        <v>227</v>
      </c>
      <c r="R1124" t="s">
        <v>199</v>
      </c>
      <c r="S1124" t="s">
        <v>128</v>
      </c>
      <c r="T1124" t="s">
        <v>220</v>
      </c>
      <c r="U1124" t="s">
        <v>151</v>
      </c>
      <c r="V1124" t="s">
        <v>73</v>
      </c>
      <c r="W1124" s="58">
        <v>43333</v>
      </c>
      <c r="X1124" s="59">
        <v>0.33333333333333331</v>
      </c>
      <c r="Y1124" s="59">
        <v>0.375</v>
      </c>
      <c r="Z1124" s="59">
        <v>4.1666666666666664E-2</v>
      </c>
      <c r="AA1124">
        <v>0</v>
      </c>
      <c r="AC1124">
        <v>20</v>
      </c>
      <c r="AD1124">
        <v>12</v>
      </c>
      <c r="AE1124" s="59">
        <v>0.33333333333333331</v>
      </c>
      <c r="AF1124" s="59">
        <v>0.3743055555555555</v>
      </c>
      <c r="AG1124">
        <v>16</v>
      </c>
    </row>
    <row r="1125" spans="1:33" x14ac:dyDescent="0.25">
      <c r="A1125" t="s">
        <v>258</v>
      </c>
      <c r="B1125" t="s">
        <v>354</v>
      </c>
      <c r="C1125" t="s">
        <v>355</v>
      </c>
      <c r="E1125" t="s">
        <v>356</v>
      </c>
      <c r="F1125" t="s">
        <v>134</v>
      </c>
      <c r="H1125" t="s">
        <v>205</v>
      </c>
      <c r="I1125" t="s">
        <v>198</v>
      </c>
      <c r="J1125" t="s">
        <v>258</v>
      </c>
      <c r="K1125" t="s">
        <v>396</v>
      </c>
      <c r="L1125" t="s">
        <v>397</v>
      </c>
      <c r="N1125" t="s">
        <v>398</v>
      </c>
      <c r="O1125" t="s">
        <v>226</v>
      </c>
      <c r="Q1125" t="s">
        <v>227</v>
      </c>
      <c r="R1125" t="s">
        <v>206</v>
      </c>
      <c r="S1125" t="s">
        <v>128</v>
      </c>
      <c r="T1125" t="s">
        <v>220</v>
      </c>
      <c r="U1125" t="s">
        <v>129</v>
      </c>
      <c r="V1125" t="s">
        <v>73</v>
      </c>
      <c r="W1125" s="58">
        <v>43333</v>
      </c>
      <c r="X1125" s="59">
        <v>0.3888888888888889</v>
      </c>
      <c r="Y1125" s="59">
        <v>0.43055555555555558</v>
      </c>
      <c r="Z1125" s="59">
        <v>4.1666666666666664E-2</v>
      </c>
      <c r="AA1125">
        <v>0</v>
      </c>
      <c r="AB1125">
        <v>2.1305999999999998</v>
      </c>
      <c r="AC1125">
        <v>23</v>
      </c>
      <c r="AD1125">
        <v>12</v>
      </c>
      <c r="AE1125" s="59">
        <v>0.3888888888888889</v>
      </c>
      <c r="AF1125" s="59">
        <v>0.42986111111111108</v>
      </c>
      <c r="AG1125">
        <v>16</v>
      </c>
    </row>
    <row r="1126" spans="1:33" x14ac:dyDescent="0.25">
      <c r="A1126" t="s">
        <v>274</v>
      </c>
      <c r="B1126" t="s">
        <v>336</v>
      </c>
      <c r="C1126" t="s">
        <v>337</v>
      </c>
      <c r="E1126" t="s">
        <v>338</v>
      </c>
      <c r="F1126" t="s">
        <v>134</v>
      </c>
      <c r="H1126" t="s">
        <v>186</v>
      </c>
      <c r="I1126" t="s">
        <v>147</v>
      </c>
      <c r="J1126" t="s">
        <v>258</v>
      </c>
      <c r="K1126" t="s">
        <v>396</v>
      </c>
      <c r="L1126" t="s">
        <v>397</v>
      </c>
      <c r="N1126" t="s">
        <v>398</v>
      </c>
      <c r="O1126" t="s">
        <v>226</v>
      </c>
      <c r="Q1126" t="s">
        <v>227</v>
      </c>
      <c r="R1126" t="s">
        <v>187</v>
      </c>
      <c r="S1126" t="s">
        <v>128</v>
      </c>
      <c r="T1126" t="s">
        <v>220</v>
      </c>
      <c r="U1126" t="s">
        <v>151</v>
      </c>
      <c r="V1126" t="s">
        <v>73</v>
      </c>
      <c r="W1126" s="58">
        <v>43333</v>
      </c>
      <c r="X1126" s="59">
        <v>0.46875</v>
      </c>
      <c r="Y1126" s="59">
        <v>0.55208333333333337</v>
      </c>
      <c r="Z1126" s="59">
        <v>8.3333333333333329E-2</v>
      </c>
      <c r="AA1126">
        <v>0</v>
      </c>
      <c r="AB1126">
        <v>7.2148000000000003</v>
      </c>
      <c r="AC1126">
        <v>40</v>
      </c>
      <c r="AD1126">
        <v>24</v>
      </c>
      <c r="AE1126" s="59">
        <v>0.46875</v>
      </c>
      <c r="AF1126" s="59">
        <v>0.55138888888888882</v>
      </c>
      <c r="AG1126">
        <v>16</v>
      </c>
    </row>
    <row r="1127" spans="1:33" x14ac:dyDescent="0.25">
      <c r="A1127" t="s">
        <v>258</v>
      </c>
      <c r="B1127" t="s">
        <v>314</v>
      </c>
      <c r="C1127" t="s">
        <v>315</v>
      </c>
      <c r="D1127">
        <v>72</v>
      </c>
      <c r="E1127" t="s">
        <v>316</v>
      </c>
      <c r="F1127" t="s">
        <v>317</v>
      </c>
      <c r="G1127" t="s">
        <v>218</v>
      </c>
      <c r="H1127" t="s">
        <v>168</v>
      </c>
      <c r="I1127" t="s">
        <v>169</v>
      </c>
      <c r="J1127" t="s">
        <v>258</v>
      </c>
      <c r="K1127" t="s">
        <v>396</v>
      </c>
      <c r="L1127" t="s">
        <v>397</v>
      </c>
      <c r="N1127" t="s">
        <v>398</v>
      </c>
      <c r="O1127" t="s">
        <v>226</v>
      </c>
      <c r="Q1127" t="s">
        <v>227</v>
      </c>
      <c r="R1127" t="s">
        <v>170</v>
      </c>
      <c r="S1127" t="s">
        <v>128</v>
      </c>
      <c r="T1127" t="s">
        <v>220</v>
      </c>
      <c r="U1127" t="s">
        <v>129</v>
      </c>
      <c r="V1127" t="s">
        <v>75</v>
      </c>
      <c r="W1127" s="58">
        <v>43335</v>
      </c>
      <c r="X1127" s="59">
        <v>0.33333333333333331</v>
      </c>
      <c r="Y1127" s="59">
        <v>0.35416666666666669</v>
      </c>
      <c r="Z1127" s="59">
        <v>2.0833333333333332E-2</v>
      </c>
      <c r="AA1127">
        <v>0</v>
      </c>
      <c r="AC1127">
        <v>11.5</v>
      </c>
      <c r="AD1127">
        <v>6</v>
      </c>
      <c r="AE1127" s="59">
        <v>0.33333333333333331</v>
      </c>
      <c r="AF1127" s="59">
        <v>0.35347222222222219</v>
      </c>
      <c r="AG1127">
        <v>16</v>
      </c>
    </row>
    <row r="1128" spans="1:33" x14ac:dyDescent="0.25">
      <c r="A1128" t="s">
        <v>274</v>
      </c>
      <c r="B1128" t="s">
        <v>336</v>
      </c>
      <c r="C1128" t="s">
        <v>337</v>
      </c>
      <c r="E1128" t="s">
        <v>338</v>
      </c>
      <c r="F1128" t="s">
        <v>134</v>
      </c>
      <c r="H1128" t="s">
        <v>186</v>
      </c>
      <c r="I1128" t="s">
        <v>147</v>
      </c>
      <c r="J1128" t="s">
        <v>258</v>
      </c>
      <c r="K1128" t="s">
        <v>396</v>
      </c>
      <c r="L1128" t="s">
        <v>397</v>
      </c>
      <c r="N1128" t="s">
        <v>398</v>
      </c>
      <c r="O1128" t="s">
        <v>226</v>
      </c>
      <c r="Q1128" t="s">
        <v>227</v>
      </c>
      <c r="R1128" t="s">
        <v>187</v>
      </c>
      <c r="S1128" t="s">
        <v>128</v>
      </c>
      <c r="T1128" t="s">
        <v>220</v>
      </c>
      <c r="U1128" t="s">
        <v>151</v>
      </c>
      <c r="V1128" t="s">
        <v>75</v>
      </c>
      <c r="W1128" s="58">
        <v>43335</v>
      </c>
      <c r="X1128" s="59">
        <v>0.36805555555555558</v>
      </c>
      <c r="Y1128" s="59">
        <v>0.40972222222222227</v>
      </c>
      <c r="Z1128" s="59">
        <v>4.1666666666666664E-2</v>
      </c>
      <c r="AA1128">
        <v>0</v>
      </c>
      <c r="AB1128">
        <v>3.8</v>
      </c>
      <c r="AC1128">
        <v>20</v>
      </c>
      <c r="AD1128">
        <v>12</v>
      </c>
      <c r="AE1128" s="59">
        <v>0.36805555555555558</v>
      </c>
      <c r="AF1128" s="59">
        <v>0.40902777777777777</v>
      </c>
      <c r="AG1128">
        <v>16</v>
      </c>
    </row>
    <row r="1129" spans="1:33" x14ac:dyDescent="0.25">
      <c r="A1129" t="s">
        <v>258</v>
      </c>
      <c r="B1129" t="s">
        <v>342</v>
      </c>
      <c r="C1129" t="s">
        <v>343</v>
      </c>
      <c r="E1129" t="s">
        <v>344</v>
      </c>
      <c r="F1129" t="s">
        <v>134</v>
      </c>
      <c r="H1129" t="s">
        <v>197</v>
      </c>
      <c r="I1129" t="s">
        <v>198</v>
      </c>
      <c r="J1129" t="s">
        <v>258</v>
      </c>
      <c r="K1129" t="s">
        <v>396</v>
      </c>
      <c r="L1129" t="s">
        <v>397</v>
      </c>
      <c r="N1129" t="s">
        <v>398</v>
      </c>
      <c r="O1129" t="s">
        <v>226</v>
      </c>
      <c r="Q1129" t="s">
        <v>227</v>
      </c>
      <c r="R1129" t="s">
        <v>199</v>
      </c>
      <c r="S1129" t="s">
        <v>128</v>
      </c>
      <c r="T1129" t="s">
        <v>220</v>
      </c>
      <c r="U1129" t="s">
        <v>151</v>
      </c>
      <c r="V1129" t="s">
        <v>76</v>
      </c>
      <c r="W1129" s="58">
        <v>43336</v>
      </c>
      <c r="X1129" s="59">
        <v>0.33333333333333331</v>
      </c>
      <c r="Y1129" s="59">
        <v>0.375</v>
      </c>
      <c r="Z1129" s="59">
        <v>4.1666666666666664E-2</v>
      </c>
      <c r="AA1129">
        <v>0</v>
      </c>
      <c r="AC1129">
        <v>20</v>
      </c>
      <c r="AD1129">
        <v>12</v>
      </c>
      <c r="AE1129" s="59">
        <v>0.33333333333333331</v>
      </c>
      <c r="AF1129" s="59">
        <v>0.3743055555555555</v>
      </c>
      <c r="AG1129">
        <v>16</v>
      </c>
    </row>
    <row r="1130" spans="1:33" x14ac:dyDescent="0.25">
      <c r="A1130" t="s">
        <v>258</v>
      </c>
      <c r="B1130" t="s">
        <v>354</v>
      </c>
      <c r="C1130" t="s">
        <v>355</v>
      </c>
      <c r="E1130" t="s">
        <v>356</v>
      </c>
      <c r="F1130" t="s">
        <v>134</v>
      </c>
      <c r="H1130" t="s">
        <v>205</v>
      </c>
      <c r="I1130" t="s">
        <v>198</v>
      </c>
      <c r="J1130" t="s">
        <v>258</v>
      </c>
      <c r="K1130" t="s">
        <v>396</v>
      </c>
      <c r="L1130" t="s">
        <v>397</v>
      </c>
      <c r="N1130" t="s">
        <v>398</v>
      </c>
      <c r="O1130" t="s">
        <v>226</v>
      </c>
      <c r="Q1130" t="s">
        <v>227</v>
      </c>
      <c r="R1130" t="s">
        <v>206</v>
      </c>
      <c r="S1130" t="s">
        <v>128</v>
      </c>
      <c r="T1130" t="s">
        <v>220</v>
      </c>
      <c r="U1130" t="s">
        <v>129</v>
      </c>
      <c r="V1130" t="s">
        <v>76</v>
      </c>
      <c r="W1130" s="58">
        <v>43336</v>
      </c>
      <c r="X1130" s="59">
        <v>0.3888888888888889</v>
      </c>
      <c r="Y1130" s="59">
        <v>0.43055555555555558</v>
      </c>
      <c r="Z1130" s="59">
        <v>4.1666666666666664E-2</v>
      </c>
      <c r="AA1130">
        <v>0</v>
      </c>
      <c r="AB1130">
        <v>2.1305999999999998</v>
      </c>
      <c r="AC1130">
        <v>23</v>
      </c>
      <c r="AD1130">
        <v>12</v>
      </c>
      <c r="AE1130" s="59">
        <v>0.3888888888888889</v>
      </c>
      <c r="AF1130" s="59">
        <v>0.42986111111111108</v>
      </c>
      <c r="AG1130">
        <v>16</v>
      </c>
    </row>
    <row r="1131" spans="1:33" x14ac:dyDescent="0.25">
      <c r="A1131" t="s">
        <v>274</v>
      </c>
      <c r="B1131" t="s">
        <v>336</v>
      </c>
      <c r="C1131" t="s">
        <v>337</v>
      </c>
      <c r="E1131" t="s">
        <v>338</v>
      </c>
      <c r="F1131" t="s">
        <v>134</v>
      </c>
      <c r="H1131" t="s">
        <v>186</v>
      </c>
      <c r="I1131" t="s">
        <v>147</v>
      </c>
      <c r="J1131" t="s">
        <v>258</v>
      </c>
      <c r="K1131" t="s">
        <v>396</v>
      </c>
      <c r="L1131" t="s">
        <v>397</v>
      </c>
      <c r="N1131" t="s">
        <v>398</v>
      </c>
      <c r="O1131" t="s">
        <v>226</v>
      </c>
      <c r="Q1131" t="s">
        <v>227</v>
      </c>
      <c r="R1131" t="s">
        <v>187</v>
      </c>
      <c r="S1131" t="s">
        <v>128</v>
      </c>
      <c r="T1131" t="s">
        <v>220</v>
      </c>
      <c r="U1131" t="s">
        <v>151</v>
      </c>
      <c r="V1131" t="s">
        <v>76</v>
      </c>
      <c r="W1131" s="58">
        <v>43336</v>
      </c>
      <c r="X1131" s="59">
        <v>0.44791666666666669</v>
      </c>
      <c r="Y1131" s="59">
        <v>0.53125</v>
      </c>
      <c r="Z1131" s="59">
        <v>8.3333333333333329E-2</v>
      </c>
      <c r="AA1131">
        <v>0</v>
      </c>
      <c r="AB1131">
        <v>7.2148000000000003</v>
      </c>
      <c r="AC1131">
        <v>40</v>
      </c>
      <c r="AD1131">
        <v>24</v>
      </c>
      <c r="AE1131" s="59">
        <v>0.44791666666666669</v>
      </c>
      <c r="AF1131" s="59">
        <v>0.53055555555555556</v>
      </c>
      <c r="AG1131">
        <v>16</v>
      </c>
    </row>
    <row r="1132" spans="1:33" x14ac:dyDescent="0.25">
      <c r="A1132" t="s">
        <v>258</v>
      </c>
      <c r="B1132" t="s">
        <v>342</v>
      </c>
      <c r="C1132" t="s">
        <v>343</v>
      </c>
      <c r="E1132" t="s">
        <v>344</v>
      </c>
      <c r="F1132" t="s">
        <v>134</v>
      </c>
      <c r="H1132" t="s">
        <v>197</v>
      </c>
      <c r="I1132" t="s">
        <v>198</v>
      </c>
      <c r="J1132" t="s">
        <v>258</v>
      </c>
      <c r="K1132" t="s">
        <v>396</v>
      </c>
      <c r="L1132" t="s">
        <v>397</v>
      </c>
      <c r="N1132" t="s">
        <v>398</v>
      </c>
      <c r="O1132" t="s">
        <v>226</v>
      </c>
      <c r="Q1132" t="s">
        <v>227</v>
      </c>
      <c r="R1132" t="s">
        <v>199</v>
      </c>
      <c r="S1132" t="s">
        <v>128</v>
      </c>
      <c r="T1132" t="s">
        <v>220</v>
      </c>
      <c r="U1132" t="s">
        <v>151</v>
      </c>
      <c r="V1132" t="s">
        <v>72</v>
      </c>
      <c r="W1132" s="58">
        <v>43346</v>
      </c>
      <c r="X1132" s="59">
        <v>0.33333333333333331</v>
      </c>
      <c r="Y1132" s="59">
        <v>0.375</v>
      </c>
      <c r="Z1132" s="59">
        <v>4.1666666666666664E-2</v>
      </c>
      <c r="AA1132">
        <v>0</v>
      </c>
      <c r="AC1132">
        <v>20</v>
      </c>
      <c r="AD1132">
        <v>12</v>
      </c>
      <c r="AE1132" s="59">
        <v>0.33333333333333331</v>
      </c>
      <c r="AF1132" s="59">
        <v>0.3743055555555555</v>
      </c>
      <c r="AG1132">
        <v>16</v>
      </c>
    </row>
    <row r="1133" spans="1:33" x14ac:dyDescent="0.25">
      <c r="A1133" t="s">
        <v>258</v>
      </c>
      <c r="B1133" t="s">
        <v>354</v>
      </c>
      <c r="C1133" t="s">
        <v>355</v>
      </c>
      <c r="E1133" t="s">
        <v>356</v>
      </c>
      <c r="F1133" t="s">
        <v>134</v>
      </c>
      <c r="H1133" t="s">
        <v>205</v>
      </c>
      <c r="I1133" t="s">
        <v>198</v>
      </c>
      <c r="J1133" t="s">
        <v>258</v>
      </c>
      <c r="K1133" t="s">
        <v>396</v>
      </c>
      <c r="L1133" t="s">
        <v>397</v>
      </c>
      <c r="N1133" t="s">
        <v>398</v>
      </c>
      <c r="O1133" t="s">
        <v>226</v>
      </c>
      <c r="Q1133" t="s">
        <v>227</v>
      </c>
      <c r="R1133" t="s">
        <v>206</v>
      </c>
      <c r="S1133" t="s">
        <v>128</v>
      </c>
      <c r="T1133" t="s">
        <v>220</v>
      </c>
      <c r="U1133" t="s">
        <v>129</v>
      </c>
      <c r="V1133" t="s">
        <v>72</v>
      </c>
      <c r="W1133" s="58">
        <v>43346</v>
      </c>
      <c r="X1133" s="59">
        <v>0.3888888888888889</v>
      </c>
      <c r="Y1133" s="59">
        <v>0.43055555555555558</v>
      </c>
      <c r="Z1133" s="59">
        <v>4.1666666666666664E-2</v>
      </c>
      <c r="AA1133">
        <v>5</v>
      </c>
      <c r="AB1133">
        <v>2.1305999999999998</v>
      </c>
      <c r="AC1133">
        <v>23</v>
      </c>
      <c r="AD1133">
        <v>12</v>
      </c>
      <c r="AE1133" s="59">
        <v>0.3888888888888889</v>
      </c>
      <c r="AF1133" s="59">
        <v>0.42986111111111108</v>
      </c>
      <c r="AG1133">
        <v>16</v>
      </c>
    </row>
    <row r="1134" spans="1:33" x14ac:dyDescent="0.25">
      <c r="A1134" t="s">
        <v>258</v>
      </c>
      <c r="B1134" t="s">
        <v>281</v>
      </c>
      <c r="C1134" t="s">
        <v>282</v>
      </c>
      <c r="E1134" t="s">
        <v>283</v>
      </c>
      <c r="F1134" t="s">
        <v>134</v>
      </c>
      <c r="G1134" t="s">
        <v>218</v>
      </c>
      <c r="H1134" t="s">
        <v>146</v>
      </c>
      <c r="I1134" t="s">
        <v>147</v>
      </c>
      <c r="J1134" t="s">
        <v>258</v>
      </c>
      <c r="K1134" t="s">
        <v>396</v>
      </c>
      <c r="L1134" t="s">
        <v>397</v>
      </c>
      <c r="N1134" t="s">
        <v>398</v>
      </c>
      <c r="O1134" t="s">
        <v>226</v>
      </c>
      <c r="Q1134" t="s">
        <v>227</v>
      </c>
      <c r="R1134" t="s">
        <v>148</v>
      </c>
      <c r="S1134" t="s">
        <v>128</v>
      </c>
      <c r="T1134" t="s">
        <v>220</v>
      </c>
      <c r="U1134" t="s">
        <v>129</v>
      </c>
      <c r="V1134" t="s">
        <v>72</v>
      </c>
      <c r="W1134" s="58">
        <v>43346</v>
      </c>
      <c r="X1134" s="59">
        <v>0.5</v>
      </c>
      <c r="Y1134" s="59">
        <v>0.54166666666666663</v>
      </c>
      <c r="Z1134" s="59">
        <v>4.1666666666666664E-2</v>
      </c>
      <c r="AA1134">
        <v>8</v>
      </c>
      <c r="AB1134">
        <v>6.0045999999999999</v>
      </c>
      <c r="AC1134">
        <v>23</v>
      </c>
      <c r="AD1134">
        <v>12</v>
      </c>
      <c r="AE1134" s="59">
        <v>0.5</v>
      </c>
      <c r="AF1134" s="59">
        <v>0.54097222222222219</v>
      </c>
      <c r="AG1134">
        <v>16</v>
      </c>
    </row>
    <row r="1135" spans="1:33" x14ac:dyDescent="0.25">
      <c r="A1135" t="s">
        <v>258</v>
      </c>
      <c r="B1135" t="s">
        <v>325</v>
      </c>
      <c r="C1135" t="s">
        <v>326</v>
      </c>
      <c r="E1135" t="s">
        <v>327</v>
      </c>
      <c r="F1135" t="s">
        <v>134</v>
      </c>
      <c r="H1135" t="s">
        <v>182</v>
      </c>
      <c r="I1135" t="s">
        <v>147</v>
      </c>
      <c r="J1135" t="s">
        <v>258</v>
      </c>
      <c r="K1135" t="s">
        <v>396</v>
      </c>
      <c r="L1135" t="s">
        <v>397</v>
      </c>
      <c r="N1135" t="s">
        <v>398</v>
      </c>
      <c r="O1135" t="s">
        <v>226</v>
      </c>
      <c r="Q1135" t="s">
        <v>227</v>
      </c>
      <c r="R1135" t="s">
        <v>183</v>
      </c>
      <c r="S1135" t="s">
        <v>128</v>
      </c>
      <c r="T1135" t="s">
        <v>220</v>
      </c>
      <c r="U1135" t="s">
        <v>129</v>
      </c>
      <c r="V1135" t="s">
        <v>73</v>
      </c>
      <c r="W1135" s="58">
        <v>43347</v>
      </c>
      <c r="X1135" s="59">
        <v>0.36458333333333331</v>
      </c>
      <c r="Y1135" s="59">
        <v>0.40625</v>
      </c>
      <c r="Z1135" s="59">
        <v>4.1666666666666664E-2</v>
      </c>
      <c r="AA1135">
        <v>0</v>
      </c>
      <c r="AC1135">
        <v>23</v>
      </c>
      <c r="AD1135">
        <v>12</v>
      </c>
      <c r="AE1135" s="59">
        <v>0.36458333333333331</v>
      </c>
      <c r="AF1135" s="59">
        <v>0.4055555555555555</v>
      </c>
      <c r="AG1135">
        <v>16</v>
      </c>
    </row>
    <row r="1136" spans="1:33" x14ac:dyDescent="0.25">
      <c r="A1136" t="s">
        <v>274</v>
      </c>
      <c r="B1136" t="s">
        <v>321</v>
      </c>
      <c r="C1136" t="s">
        <v>322</v>
      </c>
      <c r="D1136" t="s">
        <v>323</v>
      </c>
      <c r="E1136" t="s">
        <v>324</v>
      </c>
      <c r="F1136" t="s">
        <v>134</v>
      </c>
      <c r="H1136" t="s">
        <v>184</v>
      </c>
      <c r="I1136" t="s">
        <v>147</v>
      </c>
      <c r="J1136" t="s">
        <v>258</v>
      </c>
      <c r="K1136" t="s">
        <v>396</v>
      </c>
      <c r="L1136" t="s">
        <v>397</v>
      </c>
      <c r="N1136" t="s">
        <v>398</v>
      </c>
      <c r="O1136" t="s">
        <v>226</v>
      </c>
      <c r="Q1136" t="s">
        <v>227</v>
      </c>
      <c r="R1136" t="s">
        <v>185</v>
      </c>
      <c r="S1136" t="s">
        <v>128</v>
      </c>
      <c r="T1136" t="s">
        <v>220</v>
      </c>
      <c r="U1136" t="s">
        <v>151</v>
      </c>
      <c r="V1136" t="s">
        <v>73</v>
      </c>
      <c r="W1136" s="58">
        <v>43347</v>
      </c>
      <c r="X1136" s="59">
        <v>0.41666666666666669</v>
      </c>
      <c r="Y1136" s="59">
        <v>0.45833333333333331</v>
      </c>
      <c r="Z1136" s="59">
        <v>4.1666666666666664E-2</v>
      </c>
      <c r="AA1136">
        <v>4</v>
      </c>
      <c r="AB1136">
        <v>2.2181999999999999</v>
      </c>
      <c r="AC1136">
        <v>20</v>
      </c>
      <c r="AD1136">
        <v>12</v>
      </c>
      <c r="AE1136" s="59">
        <v>0.41666666666666669</v>
      </c>
      <c r="AF1136" s="59">
        <v>0.45763888888888887</v>
      </c>
      <c r="AG1136">
        <v>16</v>
      </c>
    </row>
    <row r="1137" spans="1:33" x14ac:dyDescent="0.25">
      <c r="A1137" t="s">
        <v>274</v>
      </c>
      <c r="B1137" t="s">
        <v>336</v>
      </c>
      <c r="C1137" t="s">
        <v>337</v>
      </c>
      <c r="E1137" t="s">
        <v>338</v>
      </c>
      <c r="F1137" t="s">
        <v>134</v>
      </c>
      <c r="H1137" t="s">
        <v>186</v>
      </c>
      <c r="I1137" t="s">
        <v>147</v>
      </c>
      <c r="J1137" t="s">
        <v>258</v>
      </c>
      <c r="K1137" t="s">
        <v>396</v>
      </c>
      <c r="L1137" t="s">
        <v>397</v>
      </c>
      <c r="N1137" t="s">
        <v>398</v>
      </c>
      <c r="O1137" t="s">
        <v>226</v>
      </c>
      <c r="Q1137" t="s">
        <v>227</v>
      </c>
      <c r="R1137" t="s">
        <v>187</v>
      </c>
      <c r="S1137" t="s">
        <v>128</v>
      </c>
      <c r="T1137" t="s">
        <v>220</v>
      </c>
      <c r="U1137" t="s">
        <v>151</v>
      </c>
      <c r="V1137" t="s">
        <v>73</v>
      </c>
      <c r="W1137" s="58">
        <v>43347</v>
      </c>
      <c r="X1137" s="59">
        <v>0.46736111111111112</v>
      </c>
      <c r="Y1137" s="59">
        <v>0.55069444444444449</v>
      </c>
      <c r="Z1137" s="59">
        <v>8.3333333333333329E-2</v>
      </c>
      <c r="AA1137">
        <v>2</v>
      </c>
      <c r="AB1137">
        <v>0.79659999999999997</v>
      </c>
      <c r="AC1137">
        <v>40</v>
      </c>
      <c r="AD1137">
        <v>24</v>
      </c>
      <c r="AE1137" s="59">
        <v>0.46736111111111112</v>
      </c>
      <c r="AF1137" s="59">
        <v>0.54999999999999993</v>
      </c>
      <c r="AG1137">
        <v>16</v>
      </c>
    </row>
    <row r="1138" spans="1:33" x14ac:dyDescent="0.25">
      <c r="A1138" t="s">
        <v>258</v>
      </c>
      <c r="B1138" t="s">
        <v>325</v>
      </c>
      <c r="C1138" t="s">
        <v>326</v>
      </c>
      <c r="E1138" t="s">
        <v>327</v>
      </c>
      <c r="F1138" t="s">
        <v>134</v>
      </c>
      <c r="H1138" t="s">
        <v>182</v>
      </c>
      <c r="I1138" t="s">
        <v>147</v>
      </c>
      <c r="J1138" t="s">
        <v>258</v>
      </c>
      <c r="K1138" t="s">
        <v>396</v>
      </c>
      <c r="L1138" t="s">
        <v>397</v>
      </c>
      <c r="N1138" t="s">
        <v>398</v>
      </c>
      <c r="O1138" t="s">
        <v>226</v>
      </c>
      <c r="Q1138" t="s">
        <v>227</v>
      </c>
      <c r="R1138" t="s">
        <v>183</v>
      </c>
      <c r="S1138" t="s">
        <v>128</v>
      </c>
      <c r="T1138" t="s">
        <v>220</v>
      </c>
      <c r="U1138" t="s">
        <v>129</v>
      </c>
      <c r="V1138" t="s">
        <v>75</v>
      </c>
      <c r="W1138" s="58">
        <v>43349</v>
      </c>
      <c r="X1138" s="59">
        <v>0.36458333333333331</v>
      </c>
      <c r="Y1138" s="59">
        <v>0.40625</v>
      </c>
      <c r="Z1138" s="59">
        <v>4.1666666666666664E-2</v>
      </c>
      <c r="AA1138">
        <v>0</v>
      </c>
      <c r="AC1138">
        <v>23</v>
      </c>
      <c r="AD1138">
        <v>12</v>
      </c>
      <c r="AE1138" s="59">
        <v>0.36458333333333331</v>
      </c>
      <c r="AF1138" s="59">
        <v>0.4055555555555555</v>
      </c>
      <c r="AG1138">
        <v>16</v>
      </c>
    </row>
    <row r="1139" spans="1:33" x14ac:dyDescent="0.25">
      <c r="A1139" t="s">
        <v>274</v>
      </c>
      <c r="B1139" t="s">
        <v>321</v>
      </c>
      <c r="C1139" t="s">
        <v>322</v>
      </c>
      <c r="D1139" t="s">
        <v>323</v>
      </c>
      <c r="E1139" t="s">
        <v>324</v>
      </c>
      <c r="F1139" t="s">
        <v>134</v>
      </c>
      <c r="H1139" t="s">
        <v>184</v>
      </c>
      <c r="I1139" t="s">
        <v>147</v>
      </c>
      <c r="J1139" t="s">
        <v>258</v>
      </c>
      <c r="K1139" t="s">
        <v>396</v>
      </c>
      <c r="L1139" t="s">
        <v>397</v>
      </c>
      <c r="N1139" t="s">
        <v>398</v>
      </c>
      <c r="O1139" t="s">
        <v>226</v>
      </c>
      <c r="Q1139" t="s">
        <v>227</v>
      </c>
      <c r="R1139" t="s">
        <v>185</v>
      </c>
      <c r="S1139" t="s">
        <v>128</v>
      </c>
      <c r="T1139" t="s">
        <v>220</v>
      </c>
      <c r="U1139" t="s">
        <v>151</v>
      </c>
      <c r="V1139" t="s">
        <v>75</v>
      </c>
      <c r="W1139" s="58">
        <v>43349</v>
      </c>
      <c r="X1139" s="59">
        <v>0.41666666666666669</v>
      </c>
      <c r="Y1139" s="59">
        <v>0.45833333333333331</v>
      </c>
      <c r="Z1139" s="59">
        <v>4.1666666666666664E-2</v>
      </c>
      <c r="AA1139">
        <v>4</v>
      </c>
      <c r="AB1139">
        <v>2.2181999999999999</v>
      </c>
      <c r="AC1139">
        <v>20</v>
      </c>
      <c r="AD1139">
        <v>12</v>
      </c>
      <c r="AE1139" s="59">
        <v>0.41666666666666669</v>
      </c>
      <c r="AF1139" s="59">
        <v>0.45763888888888887</v>
      </c>
      <c r="AG1139">
        <v>16</v>
      </c>
    </row>
    <row r="1140" spans="1:33" x14ac:dyDescent="0.25">
      <c r="A1140" t="s">
        <v>258</v>
      </c>
      <c r="B1140" t="s">
        <v>325</v>
      </c>
      <c r="C1140" t="s">
        <v>326</v>
      </c>
      <c r="E1140" t="s">
        <v>327</v>
      </c>
      <c r="F1140" t="s">
        <v>134</v>
      </c>
      <c r="H1140" t="s">
        <v>182</v>
      </c>
      <c r="I1140" t="s">
        <v>147</v>
      </c>
      <c r="J1140" t="s">
        <v>258</v>
      </c>
      <c r="K1140" t="s">
        <v>396</v>
      </c>
      <c r="L1140" t="s">
        <v>397</v>
      </c>
      <c r="N1140" t="s">
        <v>398</v>
      </c>
      <c r="O1140" t="s">
        <v>226</v>
      </c>
      <c r="Q1140" t="s">
        <v>227</v>
      </c>
      <c r="R1140" t="s">
        <v>183</v>
      </c>
      <c r="S1140" t="s">
        <v>128</v>
      </c>
      <c r="T1140" t="s">
        <v>220</v>
      </c>
      <c r="U1140" t="s">
        <v>129</v>
      </c>
      <c r="V1140" t="s">
        <v>75</v>
      </c>
      <c r="W1140" s="58">
        <v>43349</v>
      </c>
      <c r="X1140" s="59">
        <v>0.52083333333333337</v>
      </c>
      <c r="Y1140" s="59">
        <v>0.5625</v>
      </c>
      <c r="Z1140" s="59">
        <v>4.1666666666666664E-2</v>
      </c>
      <c r="AA1140">
        <v>4</v>
      </c>
      <c r="AB1140">
        <v>2.2181999999999999</v>
      </c>
      <c r="AC1140">
        <v>23</v>
      </c>
      <c r="AD1140">
        <v>12</v>
      </c>
      <c r="AE1140" s="59">
        <v>0.52083333333333337</v>
      </c>
      <c r="AF1140" s="59">
        <v>0.56180555555555556</v>
      </c>
      <c r="AG1140">
        <v>16</v>
      </c>
    </row>
    <row r="1141" spans="1:33" x14ac:dyDescent="0.25">
      <c r="A1141" t="s">
        <v>258</v>
      </c>
      <c r="B1141" t="s">
        <v>342</v>
      </c>
      <c r="C1141" t="s">
        <v>343</v>
      </c>
      <c r="E1141" t="s">
        <v>344</v>
      </c>
      <c r="F1141" t="s">
        <v>134</v>
      </c>
      <c r="H1141" t="s">
        <v>197</v>
      </c>
      <c r="I1141" t="s">
        <v>198</v>
      </c>
      <c r="J1141" t="s">
        <v>258</v>
      </c>
      <c r="K1141" t="s">
        <v>396</v>
      </c>
      <c r="L1141" t="s">
        <v>397</v>
      </c>
      <c r="N1141" t="s">
        <v>398</v>
      </c>
      <c r="O1141" t="s">
        <v>226</v>
      </c>
      <c r="Q1141" t="s">
        <v>227</v>
      </c>
      <c r="R1141" t="s">
        <v>199</v>
      </c>
      <c r="S1141" t="s">
        <v>128</v>
      </c>
      <c r="T1141" t="s">
        <v>220</v>
      </c>
      <c r="U1141" t="s">
        <v>151</v>
      </c>
      <c r="V1141" t="s">
        <v>76</v>
      </c>
      <c r="W1141" s="58">
        <v>43350</v>
      </c>
      <c r="X1141" s="59">
        <v>0.33333333333333331</v>
      </c>
      <c r="Y1141" s="59">
        <v>0.375</v>
      </c>
      <c r="Z1141" s="59">
        <v>4.1666666666666664E-2</v>
      </c>
      <c r="AA1141">
        <v>0</v>
      </c>
      <c r="AC1141">
        <v>20</v>
      </c>
      <c r="AD1141">
        <v>12</v>
      </c>
      <c r="AE1141" s="59">
        <v>0.33333333333333331</v>
      </c>
      <c r="AF1141" s="59">
        <v>0.3743055555555555</v>
      </c>
      <c r="AG1141">
        <v>16</v>
      </c>
    </row>
    <row r="1142" spans="1:33" x14ac:dyDescent="0.25">
      <c r="A1142" t="s">
        <v>258</v>
      </c>
      <c r="B1142" t="s">
        <v>354</v>
      </c>
      <c r="C1142" t="s">
        <v>355</v>
      </c>
      <c r="E1142" t="s">
        <v>356</v>
      </c>
      <c r="F1142" t="s">
        <v>134</v>
      </c>
      <c r="H1142" t="s">
        <v>205</v>
      </c>
      <c r="I1142" t="s">
        <v>198</v>
      </c>
      <c r="J1142" t="s">
        <v>258</v>
      </c>
      <c r="K1142" t="s">
        <v>396</v>
      </c>
      <c r="L1142" t="s">
        <v>397</v>
      </c>
      <c r="N1142" t="s">
        <v>398</v>
      </c>
      <c r="O1142" t="s">
        <v>226</v>
      </c>
      <c r="Q1142" t="s">
        <v>227</v>
      </c>
      <c r="R1142" t="s">
        <v>206</v>
      </c>
      <c r="S1142" t="s">
        <v>128</v>
      </c>
      <c r="T1142" t="s">
        <v>220</v>
      </c>
      <c r="U1142" t="s">
        <v>129</v>
      </c>
      <c r="V1142" t="s">
        <v>76</v>
      </c>
      <c r="W1142" s="58">
        <v>43350</v>
      </c>
      <c r="X1142" s="59">
        <v>0.3888888888888889</v>
      </c>
      <c r="Y1142" s="59">
        <v>0.43055555555555558</v>
      </c>
      <c r="Z1142" s="59">
        <v>4.1666666666666664E-2</v>
      </c>
      <c r="AA1142">
        <v>5</v>
      </c>
      <c r="AB1142">
        <v>2.1305999999999998</v>
      </c>
      <c r="AC1142">
        <v>23</v>
      </c>
      <c r="AD1142">
        <v>12</v>
      </c>
      <c r="AE1142" s="59">
        <v>0.3888888888888889</v>
      </c>
      <c r="AF1142" s="59">
        <v>0.42986111111111108</v>
      </c>
      <c r="AG1142">
        <v>16</v>
      </c>
    </row>
    <row r="1143" spans="1:33" x14ac:dyDescent="0.25">
      <c r="A1143" t="s">
        <v>258</v>
      </c>
      <c r="B1143" t="s">
        <v>325</v>
      </c>
      <c r="C1143" t="s">
        <v>326</v>
      </c>
      <c r="E1143" t="s">
        <v>327</v>
      </c>
      <c r="F1143" t="s">
        <v>134</v>
      </c>
      <c r="H1143" t="s">
        <v>182</v>
      </c>
      <c r="I1143" t="s">
        <v>147</v>
      </c>
      <c r="J1143" t="s">
        <v>258</v>
      </c>
      <c r="K1143" t="s">
        <v>396</v>
      </c>
      <c r="L1143" t="s">
        <v>397</v>
      </c>
      <c r="N1143" t="s">
        <v>398</v>
      </c>
      <c r="O1143" t="s">
        <v>226</v>
      </c>
      <c r="Q1143" t="s">
        <v>227</v>
      </c>
      <c r="R1143" t="s">
        <v>183</v>
      </c>
      <c r="S1143" t="s">
        <v>128</v>
      </c>
      <c r="T1143" t="s">
        <v>220</v>
      </c>
      <c r="U1143" t="s">
        <v>129</v>
      </c>
      <c r="V1143" t="s">
        <v>76</v>
      </c>
      <c r="W1143" s="58">
        <v>43350</v>
      </c>
      <c r="X1143" s="59">
        <v>0.5</v>
      </c>
      <c r="Y1143" s="59">
        <v>0.54166666666666663</v>
      </c>
      <c r="Z1143" s="59">
        <v>4.1666666666666664E-2</v>
      </c>
      <c r="AA1143">
        <v>9</v>
      </c>
      <c r="AB1143">
        <v>6.0284000000000004</v>
      </c>
      <c r="AC1143">
        <v>23</v>
      </c>
      <c r="AD1143">
        <v>12</v>
      </c>
      <c r="AE1143" s="59">
        <v>0.5</v>
      </c>
      <c r="AF1143" s="59">
        <v>0.54097222222222219</v>
      </c>
      <c r="AG1143">
        <v>16</v>
      </c>
    </row>
    <row r="1144" spans="1:33" x14ac:dyDescent="0.25">
      <c r="A1144" t="s">
        <v>258</v>
      </c>
      <c r="B1144" t="s">
        <v>342</v>
      </c>
      <c r="C1144" t="s">
        <v>343</v>
      </c>
      <c r="E1144" t="s">
        <v>344</v>
      </c>
      <c r="F1144" t="s">
        <v>134</v>
      </c>
      <c r="H1144" t="s">
        <v>197</v>
      </c>
      <c r="I1144" t="s">
        <v>198</v>
      </c>
      <c r="J1144" t="s">
        <v>258</v>
      </c>
      <c r="K1144" t="s">
        <v>396</v>
      </c>
      <c r="L1144" t="s">
        <v>397</v>
      </c>
      <c r="N1144" t="s">
        <v>398</v>
      </c>
      <c r="O1144" t="s">
        <v>226</v>
      </c>
      <c r="Q1144" t="s">
        <v>227</v>
      </c>
      <c r="R1144" t="s">
        <v>199</v>
      </c>
      <c r="S1144" t="s">
        <v>128</v>
      </c>
      <c r="T1144" t="s">
        <v>220</v>
      </c>
      <c r="U1144" t="s">
        <v>151</v>
      </c>
      <c r="V1144" t="s">
        <v>77</v>
      </c>
      <c r="W1144" s="58">
        <v>43351</v>
      </c>
      <c r="X1144" s="59">
        <v>0.33333333333333331</v>
      </c>
      <c r="Y1144" s="59">
        <v>0.375</v>
      </c>
      <c r="Z1144" s="59">
        <v>4.1666666666666664E-2</v>
      </c>
      <c r="AA1144">
        <v>0</v>
      </c>
      <c r="AC1144">
        <v>20</v>
      </c>
      <c r="AD1144">
        <v>11</v>
      </c>
      <c r="AE1144" s="59">
        <v>0.33333333333333331</v>
      </c>
      <c r="AF1144" s="59">
        <v>0.3743055555555555</v>
      </c>
      <c r="AG1144">
        <v>16</v>
      </c>
    </row>
    <row r="1145" spans="1:33" x14ac:dyDescent="0.25">
      <c r="A1145" t="s">
        <v>258</v>
      </c>
      <c r="B1145" t="s">
        <v>354</v>
      </c>
      <c r="C1145" t="s">
        <v>355</v>
      </c>
      <c r="E1145" t="s">
        <v>356</v>
      </c>
      <c r="F1145" t="s">
        <v>134</v>
      </c>
      <c r="H1145" t="s">
        <v>205</v>
      </c>
      <c r="I1145" t="s">
        <v>198</v>
      </c>
      <c r="J1145" t="s">
        <v>258</v>
      </c>
      <c r="K1145" t="s">
        <v>396</v>
      </c>
      <c r="L1145" t="s">
        <v>397</v>
      </c>
      <c r="N1145" t="s">
        <v>398</v>
      </c>
      <c r="O1145" t="s">
        <v>226</v>
      </c>
      <c r="Q1145" t="s">
        <v>227</v>
      </c>
      <c r="R1145" t="s">
        <v>206</v>
      </c>
      <c r="S1145" t="s">
        <v>128</v>
      </c>
      <c r="T1145" t="s">
        <v>220</v>
      </c>
      <c r="U1145" t="s">
        <v>129</v>
      </c>
      <c r="V1145" t="s">
        <v>77</v>
      </c>
      <c r="W1145" s="58">
        <v>43351</v>
      </c>
      <c r="X1145" s="59">
        <v>0.3888888888888889</v>
      </c>
      <c r="Y1145" s="59">
        <v>0.43055555555555558</v>
      </c>
      <c r="Z1145" s="59">
        <v>4.1666666666666664E-2</v>
      </c>
      <c r="AA1145">
        <v>5</v>
      </c>
      <c r="AB1145">
        <v>2.1305999999999998</v>
      </c>
      <c r="AC1145">
        <v>23</v>
      </c>
      <c r="AD1145">
        <v>11</v>
      </c>
      <c r="AE1145" s="59">
        <v>0.3888888888888889</v>
      </c>
      <c r="AF1145" s="59">
        <v>0.42986111111111108</v>
      </c>
      <c r="AG1145">
        <v>16</v>
      </c>
    </row>
    <row r="1146" spans="1:33" x14ac:dyDescent="0.25">
      <c r="A1146" t="s">
        <v>258</v>
      </c>
      <c r="B1146" t="s">
        <v>299</v>
      </c>
      <c r="C1146" t="s">
        <v>300</v>
      </c>
      <c r="D1146" t="s">
        <v>301</v>
      </c>
      <c r="E1146" t="s">
        <v>302</v>
      </c>
      <c r="F1146" t="s">
        <v>303</v>
      </c>
      <c r="H1146" t="s">
        <v>166</v>
      </c>
      <c r="I1146" t="s">
        <v>142</v>
      </c>
      <c r="J1146" t="s">
        <v>258</v>
      </c>
      <c r="K1146" t="s">
        <v>396</v>
      </c>
      <c r="L1146" t="s">
        <v>397</v>
      </c>
      <c r="N1146" t="s">
        <v>398</v>
      </c>
      <c r="O1146" t="s">
        <v>226</v>
      </c>
      <c r="Q1146" t="s">
        <v>227</v>
      </c>
      <c r="R1146" t="s">
        <v>167</v>
      </c>
      <c r="S1146" t="s">
        <v>128</v>
      </c>
      <c r="T1146" t="s">
        <v>220</v>
      </c>
      <c r="U1146" t="s">
        <v>129</v>
      </c>
      <c r="V1146" t="s">
        <v>72</v>
      </c>
      <c r="W1146" s="58">
        <v>43353</v>
      </c>
      <c r="X1146" s="59">
        <v>0.3125</v>
      </c>
      <c r="Y1146" s="59">
        <v>0.35416666666666669</v>
      </c>
      <c r="Z1146" s="59">
        <v>4.1666666666666664E-2</v>
      </c>
      <c r="AA1146">
        <v>0</v>
      </c>
      <c r="AC1146">
        <v>23</v>
      </c>
      <c r="AD1146">
        <v>10</v>
      </c>
      <c r="AE1146" s="59">
        <v>0.3125</v>
      </c>
      <c r="AF1146" s="59">
        <v>0.35347222222222219</v>
      </c>
      <c r="AG1146">
        <v>16</v>
      </c>
    </row>
    <row r="1147" spans="1:33" x14ac:dyDescent="0.25">
      <c r="A1147" t="s">
        <v>258</v>
      </c>
      <c r="B1147" t="s">
        <v>325</v>
      </c>
      <c r="C1147" t="s">
        <v>326</v>
      </c>
      <c r="E1147" t="s">
        <v>327</v>
      </c>
      <c r="F1147" t="s">
        <v>134</v>
      </c>
      <c r="H1147" t="s">
        <v>182</v>
      </c>
      <c r="I1147" t="s">
        <v>147</v>
      </c>
      <c r="J1147" t="s">
        <v>258</v>
      </c>
      <c r="K1147" t="s">
        <v>396</v>
      </c>
      <c r="L1147" t="s">
        <v>397</v>
      </c>
      <c r="N1147" t="s">
        <v>398</v>
      </c>
      <c r="O1147" t="s">
        <v>226</v>
      </c>
      <c r="Q1147" t="s">
        <v>227</v>
      </c>
      <c r="R1147" t="s">
        <v>183</v>
      </c>
      <c r="S1147" t="s">
        <v>128</v>
      </c>
      <c r="T1147" t="s">
        <v>220</v>
      </c>
      <c r="U1147" t="s">
        <v>129</v>
      </c>
      <c r="V1147" t="s">
        <v>72</v>
      </c>
      <c r="W1147" s="58">
        <v>43353</v>
      </c>
      <c r="X1147" s="59">
        <v>0.36458333333333331</v>
      </c>
      <c r="Y1147" s="59">
        <v>0.40625</v>
      </c>
      <c r="Z1147" s="59">
        <v>4.1666666666666664E-2</v>
      </c>
      <c r="AA1147">
        <v>11</v>
      </c>
      <c r="AB1147">
        <v>8.2636000000000003</v>
      </c>
      <c r="AC1147">
        <v>23</v>
      </c>
      <c r="AD1147">
        <v>10</v>
      </c>
      <c r="AE1147" s="59">
        <v>0.36458333333333331</v>
      </c>
      <c r="AF1147" s="59">
        <v>0.4055555555555555</v>
      </c>
      <c r="AG1147">
        <v>16</v>
      </c>
    </row>
    <row r="1148" spans="1:33" x14ac:dyDescent="0.25">
      <c r="A1148" t="s">
        <v>274</v>
      </c>
      <c r="B1148" t="s">
        <v>321</v>
      </c>
      <c r="C1148" t="s">
        <v>322</v>
      </c>
      <c r="D1148" t="s">
        <v>323</v>
      </c>
      <c r="E1148" t="s">
        <v>324</v>
      </c>
      <c r="F1148" t="s">
        <v>134</v>
      </c>
      <c r="H1148" t="s">
        <v>184</v>
      </c>
      <c r="I1148" t="s">
        <v>147</v>
      </c>
      <c r="J1148" t="s">
        <v>258</v>
      </c>
      <c r="K1148" t="s">
        <v>396</v>
      </c>
      <c r="L1148" t="s">
        <v>397</v>
      </c>
      <c r="N1148" t="s">
        <v>398</v>
      </c>
      <c r="O1148" t="s">
        <v>226</v>
      </c>
      <c r="Q1148" t="s">
        <v>227</v>
      </c>
      <c r="R1148" t="s">
        <v>185</v>
      </c>
      <c r="S1148" t="s">
        <v>128</v>
      </c>
      <c r="T1148" t="s">
        <v>220</v>
      </c>
      <c r="U1148" t="s">
        <v>151</v>
      </c>
      <c r="V1148" t="s">
        <v>72</v>
      </c>
      <c r="W1148" s="58">
        <v>43353</v>
      </c>
      <c r="X1148" s="59">
        <v>0.41666666666666669</v>
      </c>
      <c r="Y1148" s="59">
        <v>0.45833333333333331</v>
      </c>
      <c r="Z1148" s="59">
        <v>4.1666666666666664E-2</v>
      </c>
      <c r="AA1148">
        <v>4</v>
      </c>
      <c r="AB1148">
        <v>2.2181999999999999</v>
      </c>
      <c r="AC1148">
        <v>20</v>
      </c>
      <c r="AD1148">
        <v>10</v>
      </c>
      <c r="AE1148" s="59">
        <v>0.41666666666666669</v>
      </c>
      <c r="AF1148" s="59">
        <v>0.45763888888888887</v>
      </c>
      <c r="AG1148">
        <v>16</v>
      </c>
    </row>
    <row r="1149" spans="1:33" x14ac:dyDescent="0.25">
      <c r="A1149" t="s">
        <v>258</v>
      </c>
      <c r="B1149" t="s">
        <v>342</v>
      </c>
      <c r="C1149" t="s">
        <v>343</v>
      </c>
      <c r="E1149" t="s">
        <v>344</v>
      </c>
      <c r="F1149" t="s">
        <v>134</v>
      </c>
      <c r="H1149" t="s">
        <v>197</v>
      </c>
      <c r="I1149" t="s">
        <v>198</v>
      </c>
      <c r="J1149" t="s">
        <v>258</v>
      </c>
      <c r="K1149" t="s">
        <v>396</v>
      </c>
      <c r="L1149" t="s">
        <v>397</v>
      </c>
      <c r="N1149" t="s">
        <v>398</v>
      </c>
      <c r="O1149" t="s">
        <v>226</v>
      </c>
      <c r="Q1149" t="s">
        <v>227</v>
      </c>
      <c r="R1149" t="s">
        <v>199</v>
      </c>
      <c r="S1149" t="s">
        <v>128</v>
      </c>
      <c r="T1149" t="s">
        <v>220</v>
      </c>
      <c r="U1149" t="s">
        <v>151</v>
      </c>
      <c r="V1149" t="s">
        <v>73</v>
      </c>
      <c r="W1149" s="58">
        <v>43354</v>
      </c>
      <c r="X1149" s="59">
        <v>0.33333333333333331</v>
      </c>
      <c r="Y1149" s="59">
        <v>0.375</v>
      </c>
      <c r="Z1149" s="59">
        <v>4.1666666666666664E-2</v>
      </c>
      <c r="AA1149">
        <v>14</v>
      </c>
      <c r="AC1149">
        <v>20</v>
      </c>
      <c r="AD1149">
        <v>10</v>
      </c>
      <c r="AE1149" s="59">
        <v>0.33333333333333331</v>
      </c>
      <c r="AF1149" s="59">
        <v>0.3743055555555555</v>
      </c>
      <c r="AG1149">
        <v>16</v>
      </c>
    </row>
    <row r="1150" spans="1:33" x14ac:dyDescent="0.25">
      <c r="A1150" t="s">
        <v>274</v>
      </c>
      <c r="B1150" t="s">
        <v>399</v>
      </c>
      <c r="C1150" t="s">
        <v>400</v>
      </c>
      <c r="D1150" t="s">
        <v>401</v>
      </c>
      <c r="E1150" t="s">
        <v>402</v>
      </c>
      <c r="F1150" t="s">
        <v>134</v>
      </c>
      <c r="G1150" t="s">
        <v>218</v>
      </c>
      <c r="H1150" t="s">
        <v>228</v>
      </c>
      <c r="I1150" t="s">
        <v>133</v>
      </c>
      <c r="J1150" t="s">
        <v>258</v>
      </c>
      <c r="K1150" t="s">
        <v>396</v>
      </c>
      <c r="L1150" t="s">
        <v>397</v>
      </c>
      <c r="N1150" t="s">
        <v>398</v>
      </c>
      <c r="O1150" t="s">
        <v>226</v>
      </c>
      <c r="Q1150" t="s">
        <v>227</v>
      </c>
      <c r="R1150" t="s">
        <v>229</v>
      </c>
      <c r="S1150" t="s">
        <v>128</v>
      </c>
      <c r="T1150" t="s">
        <v>220</v>
      </c>
      <c r="U1150" t="s">
        <v>129</v>
      </c>
      <c r="V1150" t="s">
        <v>73</v>
      </c>
      <c r="W1150" s="58">
        <v>43354</v>
      </c>
      <c r="X1150" s="59">
        <v>0.38541666666666669</v>
      </c>
      <c r="Y1150" s="59">
        <v>0.42708333333333331</v>
      </c>
      <c r="Z1150" s="59">
        <v>4.1666666666666664E-2</v>
      </c>
      <c r="AA1150">
        <v>3</v>
      </c>
      <c r="AB1150">
        <v>2.2875999999999999</v>
      </c>
      <c r="AC1150">
        <v>23</v>
      </c>
      <c r="AD1150">
        <v>10</v>
      </c>
      <c r="AE1150" s="59">
        <v>0.38541666666666669</v>
      </c>
      <c r="AF1150" s="59">
        <v>0.42638888888888887</v>
      </c>
      <c r="AG1150">
        <v>16</v>
      </c>
    </row>
    <row r="1151" spans="1:33" x14ac:dyDescent="0.25">
      <c r="A1151" t="s">
        <v>274</v>
      </c>
      <c r="B1151" t="s">
        <v>336</v>
      </c>
      <c r="C1151" t="s">
        <v>337</v>
      </c>
      <c r="E1151" t="s">
        <v>338</v>
      </c>
      <c r="F1151" t="s">
        <v>134</v>
      </c>
      <c r="H1151" t="s">
        <v>186</v>
      </c>
      <c r="I1151" t="s">
        <v>147</v>
      </c>
      <c r="J1151" t="s">
        <v>258</v>
      </c>
      <c r="K1151" t="s">
        <v>396</v>
      </c>
      <c r="L1151" t="s">
        <v>397</v>
      </c>
      <c r="N1151" t="s">
        <v>398</v>
      </c>
      <c r="O1151" t="s">
        <v>226</v>
      </c>
      <c r="Q1151" t="s">
        <v>227</v>
      </c>
      <c r="R1151" t="s">
        <v>187</v>
      </c>
      <c r="S1151" t="s">
        <v>128</v>
      </c>
      <c r="T1151" t="s">
        <v>220</v>
      </c>
      <c r="U1151" t="s">
        <v>151</v>
      </c>
      <c r="V1151" t="s">
        <v>73</v>
      </c>
      <c r="W1151" s="58">
        <v>43354</v>
      </c>
      <c r="X1151" s="59">
        <v>0.45833333333333331</v>
      </c>
      <c r="Y1151" s="59">
        <v>0.54166666666666663</v>
      </c>
      <c r="Z1151" s="59">
        <v>8.3333333333333329E-2</v>
      </c>
      <c r="AA1151">
        <v>6</v>
      </c>
      <c r="AB1151">
        <v>4.859</v>
      </c>
      <c r="AC1151">
        <v>40</v>
      </c>
      <c r="AD1151">
        <v>20</v>
      </c>
      <c r="AE1151" s="59">
        <v>0.45833333333333331</v>
      </c>
      <c r="AF1151" s="59">
        <v>0.54097222222222219</v>
      </c>
      <c r="AG1151">
        <v>16</v>
      </c>
    </row>
    <row r="1152" spans="1:33" x14ac:dyDescent="0.25">
      <c r="A1152" t="s">
        <v>258</v>
      </c>
      <c r="B1152" t="s">
        <v>325</v>
      </c>
      <c r="C1152" t="s">
        <v>326</v>
      </c>
      <c r="E1152" t="s">
        <v>327</v>
      </c>
      <c r="F1152" t="s">
        <v>134</v>
      </c>
      <c r="H1152" t="s">
        <v>182</v>
      </c>
      <c r="I1152" t="s">
        <v>147</v>
      </c>
      <c r="J1152" t="s">
        <v>258</v>
      </c>
      <c r="K1152" t="s">
        <v>396</v>
      </c>
      <c r="L1152" t="s">
        <v>397</v>
      </c>
      <c r="N1152" t="s">
        <v>398</v>
      </c>
      <c r="O1152" t="s">
        <v>226</v>
      </c>
      <c r="Q1152" t="s">
        <v>227</v>
      </c>
      <c r="R1152" t="s">
        <v>183</v>
      </c>
      <c r="S1152" t="s">
        <v>128</v>
      </c>
      <c r="T1152" t="s">
        <v>220</v>
      </c>
      <c r="U1152" t="s">
        <v>129</v>
      </c>
      <c r="V1152" t="s">
        <v>74</v>
      </c>
      <c r="W1152" s="58">
        <v>43355</v>
      </c>
      <c r="X1152" s="59">
        <v>0.36458333333333331</v>
      </c>
      <c r="Y1152" s="59">
        <v>0.40625</v>
      </c>
      <c r="Z1152" s="59">
        <v>4.1666666666666664E-2</v>
      </c>
      <c r="AA1152">
        <v>0</v>
      </c>
      <c r="AC1152">
        <v>23</v>
      </c>
      <c r="AD1152">
        <v>10</v>
      </c>
      <c r="AE1152" s="59">
        <v>0.36458333333333331</v>
      </c>
      <c r="AF1152" s="59">
        <v>0.4055555555555555</v>
      </c>
      <c r="AG1152">
        <v>16</v>
      </c>
    </row>
    <row r="1153" spans="1:33" x14ac:dyDescent="0.25">
      <c r="A1153" t="s">
        <v>274</v>
      </c>
      <c r="B1153" t="s">
        <v>321</v>
      </c>
      <c r="C1153" t="s">
        <v>322</v>
      </c>
      <c r="D1153" t="s">
        <v>323</v>
      </c>
      <c r="E1153" t="s">
        <v>324</v>
      </c>
      <c r="F1153" t="s">
        <v>134</v>
      </c>
      <c r="H1153" t="s">
        <v>184</v>
      </c>
      <c r="I1153" t="s">
        <v>147</v>
      </c>
      <c r="J1153" t="s">
        <v>258</v>
      </c>
      <c r="K1153" t="s">
        <v>396</v>
      </c>
      <c r="L1153" t="s">
        <v>397</v>
      </c>
      <c r="N1153" t="s">
        <v>398</v>
      </c>
      <c r="O1153" t="s">
        <v>226</v>
      </c>
      <c r="Q1153" t="s">
        <v>227</v>
      </c>
      <c r="R1153" t="s">
        <v>185</v>
      </c>
      <c r="S1153" t="s">
        <v>128</v>
      </c>
      <c r="T1153" t="s">
        <v>220</v>
      </c>
      <c r="U1153" t="s">
        <v>151</v>
      </c>
      <c r="V1153" t="s">
        <v>74</v>
      </c>
      <c r="W1153" s="58">
        <v>43355</v>
      </c>
      <c r="X1153" s="59">
        <v>0.41666666666666669</v>
      </c>
      <c r="Y1153" s="59">
        <v>0.45833333333333331</v>
      </c>
      <c r="Z1153" s="59">
        <v>4.1666666666666664E-2</v>
      </c>
      <c r="AA1153">
        <v>4</v>
      </c>
      <c r="AB1153">
        <v>2.2181999999999999</v>
      </c>
      <c r="AC1153">
        <v>20</v>
      </c>
      <c r="AD1153">
        <v>10</v>
      </c>
      <c r="AE1153" s="59">
        <v>0.41666666666666669</v>
      </c>
      <c r="AF1153" s="59">
        <v>0.45763888888888887</v>
      </c>
      <c r="AG1153">
        <v>16</v>
      </c>
    </row>
    <row r="1154" spans="1:33" x14ac:dyDescent="0.25">
      <c r="A1154" t="s">
        <v>274</v>
      </c>
      <c r="B1154" t="s">
        <v>336</v>
      </c>
      <c r="C1154" t="s">
        <v>337</v>
      </c>
      <c r="E1154" t="s">
        <v>338</v>
      </c>
      <c r="F1154" t="s">
        <v>134</v>
      </c>
      <c r="H1154" t="s">
        <v>186</v>
      </c>
      <c r="I1154" t="s">
        <v>147</v>
      </c>
      <c r="J1154" t="s">
        <v>258</v>
      </c>
      <c r="K1154" t="s">
        <v>396</v>
      </c>
      <c r="L1154" t="s">
        <v>397</v>
      </c>
      <c r="N1154" t="s">
        <v>398</v>
      </c>
      <c r="O1154" t="s">
        <v>226</v>
      </c>
      <c r="Q1154" t="s">
        <v>227</v>
      </c>
      <c r="R1154" t="s">
        <v>187</v>
      </c>
      <c r="S1154" t="s">
        <v>128</v>
      </c>
      <c r="T1154" t="s">
        <v>220</v>
      </c>
      <c r="U1154" t="s">
        <v>151</v>
      </c>
      <c r="V1154" t="s">
        <v>74</v>
      </c>
      <c r="W1154" s="58">
        <v>43355</v>
      </c>
      <c r="X1154" s="59">
        <v>0.46527777777777773</v>
      </c>
      <c r="Y1154" s="59">
        <v>0.54861111111111105</v>
      </c>
      <c r="Z1154" s="59">
        <v>8.3333333333333329E-2</v>
      </c>
      <c r="AA1154">
        <v>2</v>
      </c>
      <c r="AB1154">
        <v>0.79659999999999997</v>
      </c>
      <c r="AC1154">
        <v>40</v>
      </c>
      <c r="AD1154">
        <v>20</v>
      </c>
      <c r="AE1154" s="59">
        <v>0.46527777777777773</v>
      </c>
      <c r="AF1154" s="59">
        <v>0.54791666666666672</v>
      </c>
      <c r="AG1154">
        <v>16</v>
      </c>
    </row>
    <row r="1155" spans="1:33" x14ac:dyDescent="0.25">
      <c r="A1155" t="s">
        <v>258</v>
      </c>
      <c r="B1155" t="s">
        <v>325</v>
      </c>
      <c r="C1155" t="s">
        <v>326</v>
      </c>
      <c r="E1155" t="s">
        <v>327</v>
      </c>
      <c r="F1155" t="s">
        <v>134</v>
      </c>
      <c r="H1155" t="s">
        <v>182</v>
      </c>
      <c r="I1155" t="s">
        <v>147</v>
      </c>
      <c r="J1155" t="s">
        <v>258</v>
      </c>
      <c r="K1155" t="s">
        <v>396</v>
      </c>
      <c r="L1155" t="s">
        <v>397</v>
      </c>
      <c r="N1155" t="s">
        <v>398</v>
      </c>
      <c r="O1155" t="s">
        <v>226</v>
      </c>
      <c r="Q1155" t="s">
        <v>227</v>
      </c>
      <c r="R1155" t="s">
        <v>183</v>
      </c>
      <c r="S1155" t="s">
        <v>128</v>
      </c>
      <c r="T1155" t="s">
        <v>220</v>
      </c>
      <c r="U1155" t="s">
        <v>129</v>
      </c>
      <c r="V1155" t="s">
        <v>75</v>
      </c>
      <c r="W1155" s="58">
        <v>43356</v>
      </c>
      <c r="X1155" s="59">
        <v>0.36458333333333331</v>
      </c>
      <c r="Y1155" s="59">
        <v>0.40625</v>
      </c>
      <c r="Z1155" s="59">
        <v>4.1666666666666664E-2</v>
      </c>
      <c r="AA1155">
        <v>0</v>
      </c>
      <c r="AC1155">
        <v>23</v>
      </c>
      <c r="AD1155">
        <v>10</v>
      </c>
      <c r="AE1155" s="59">
        <v>0.36458333333333331</v>
      </c>
      <c r="AF1155" s="59">
        <v>0.4055555555555555</v>
      </c>
      <c r="AG1155">
        <v>16</v>
      </c>
    </row>
    <row r="1156" spans="1:33" x14ac:dyDescent="0.25">
      <c r="A1156" t="s">
        <v>274</v>
      </c>
      <c r="B1156" t="s">
        <v>321</v>
      </c>
      <c r="C1156" t="s">
        <v>322</v>
      </c>
      <c r="D1156" t="s">
        <v>323</v>
      </c>
      <c r="E1156" t="s">
        <v>324</v>
      </c>
      <c r="F1156" t="s">
        <v>134</v>
      </c>
      <c r="H1156" t="s">
        <v>184</v>
      </c>
      <c r="I1156" t="s">
        <v>147</v>
      </c>
      <c r="J1156" t="s">
        <v>258</v>
      </c>
      <c r="K1156" t="s">
        <v>396</v>
      </c>
      <c r="L1156" t="s">
        <v>397</v>
      </c>
      <c r="N1156" t="s">
        <v>398</v>
      </c>
      <c r="O1156" t="s">
        <v>226</v>
      </c>
      <c r="Q1156" t="s">
        <v>227</v>
      </c>
      <c r="R1156" t="s">
        <v>185</v>
      </c>
      <c r="S1156" t="s">
        <v>128</v>
      </c>
      <c r="T1156" t="s">
        <v>220</v>
      </c>
      <c r="U1156" t="s">
        <v>151</v>
      </c>
      <c r="V1156" t="s">
        <v>75</v>
      </c>
      <c r="W1156" s="58">
        <v>43356</v>
      </c>
      <c r="X1156" s="59">
        <v>0.41666666666666669</v>
      </c>
      <c r="Y1156" s="59">
        <v>0.45833333333333331</v>
      </c>
      <c r="Z1156" s="59">
        <v>4.1666666666666664E-2</v>
      </c>
      <c r="AA1156">
        <v>4</v>
      </c>
      <c r="AB1156">
        <v>2.2181999999999999</v>
      </c>
      <c r="AC1156">
        <v>20</v>
      </c>
      <c r="AD1156">
        <v>10</v>
      </c>
      <c r="AE1156" s="59">
        <v>0.41666666666666669</v>
      </c>
      <c r="AF1156" s="59">
        <v>0.45763888888888887</v>
      </c>
      <c r="AG1156">
        <v>16</v>
      </c>
    </row>
    <row r="1157" spans="1:33" x14ac:dyDescent="0.25">
      <c r="A1157" t="s">
        <v>258</v>
      </c>
      <c r="B1157" t="s">
        <v>325</v>
      </c>
      <c r="C1157" t="s">
        <v>326</v>
      </c>
      <c r="E1157" t="s">
        <v>327</v>
      </c>
      <c r="F1157" t="s">
        <v>134</v>
      </c>
      <c r="H1157" t="s">
        <v>182</v>
      </c>
      <c r="I1157" t="s">
        <v>147</v>
      </c>
      <c r="J1157" t="s">
        <v>258</v>
      </c>
      <c r="K1157" t="s">
        <v>396</v>
      </c>
      <c r="L1157" t="s">
        <v>397</v>
      </c>
      <c r="N1157" t="s">
        <v>398</v>
      </c>
      <c r="O1157" t="s">
        <v>226</v>
      </c>
      <c r="Q1157" t="s">
        <v>227</v>
      </c>
      <c r="R1157" t="s">
        <v>183</v>
      </c>
      <c r="S1157" t="s">
        <v>128</v>
      </c>
      <c r="T1157" t="s">
        <v>220</v>
      </c>
      <c r="U1157" t="s">
        <v>129</v>
      </c>
      <c r="V1157" t="s">
        <v>75</v>
      </c>
      <c r="W1157" s="58">
        <v>43356</v>
      </c>
      <c r="X1157" s="59">
        <v>0.52777777777777779</v>
      </c>
      <c r="Y1157" s="59">
        <v>0.56944444444444442</v>
      </c>
      <c r="Z1157" s="59">
        <v>4.1666666666666664E-2</v>
      </c>
      <c r="AA1157">
        <v>4</v>
      </c>
      <c r="AB1157">
        <v>2.2181999999999999</v>
      </c>
      <c r="AC1157">
        <v>23</v>
      </c>
      <c r="AD1157">
        <v>10</v>
      </c>
      <c r="AE1157" s="59">
        <v>0.52777777777777779</v>
      </c>
      <c r="AF1157" s="59">
        <v>0.56874999999999998</v>
      </c>
      <c r="AG1157">
        <v>16</v>
      </c>
    </row>
    <row r="1158" spans="1:33" x14ac:dyDescent="0.25">
      <c r="A1158" t="s">
        <v>274</v>
      </c>
      <c r="B1158" t="s">
        <v>321</v>
      </c>
      <c r="C1158" t="s">
        <v>322</v>
      </c>
      <c r="D1158" t="s">
        <v>323</v>
      </c>
      <c r="E1158" t="s">
        <v>324</v>
      </c>
      <c r="F1158" t="s">
        <v>134</v>
      </c>
      <c r="H1158" t="s">
        <v>184</v>
      </c>
      <c r="I1158" t="s">
        <v>147</v>
      </c>
      <c r="J1158" t="s">
        <v>258</v>
      </c>
      <c r="K1158" t="s">
        <v>396</v>
      </c>
      <c r="L1158" t="s">
        <v>397</v>
      </c>
      <c r="N1158" t="s">
        <v>398</v>
      </c>
      <c r="O1158" t="s">
        <v>226</v>
      </c>
      <c r="Q1158" t="s">
        <v>227</v>
      </c>
      <c r="R1158" t="s">
        <v>185</v>
      </c>
      <c r="S1158" t="s">
        <v>128</v>
      </c>
      <c r="T1158" t="s">
        <v>220</v>
      </c>
      <c r="U1158" t="s">
        <v>151</v>
      </c>
      <c r="V1158" t="s">
        <v>75</v>
      </c>
      <c r="W1158" s="58">
        <v>43356</v>
      </c>
      <c r="X1158" s="59">
        <v>0.8125</v>
      </c>
      <c r="Y1158" s="59">
        <v>0.84375</v>
      </c>
      <c r="Z1158" s="59">
        <v>3.125E-2</v>
      </c>
      <c r="AA1158">
        <v>0</v>
      </c>
      <c r="AC1158">
        <v>15</v>
      </c>
      <c r="AD1158">
        <v>7.5</v>
      </c>
      <c r="AE1158" s="59">
        <v>0.8125</v>
      </c>
      <c r="AF1158" s="59">
        <v>0.84305555555555556</v>
      </c>
      <c r="AG1158">
        <v>16</v>
      </c>
    </row>
    <row r="1159" spans="1:33" x14ac:dyDescent="0.25">
      <c r="A1159" t="s">
        <v>258</v>
      </c>
      <c r="B1159" t="s">
        <v>342</v>
      </c>
      <c r="C1159" t="s">
        <v>343</v>
      </c>
      <c r="E1159" t="s">
        <v>344</v>
      </c>
      <c r="F1159" t="s">
        <v>134</v>
      </c>
      <c r="H1159" t="s">
        <v>197</v>
      </c>
      <c r="I1159" t="s">
        <v>198</v>
      </c>
      <c r="J1159" t="s">
        <v>258</v>
      </c>
      <c r="K1159" t="s">
        <v>396</v>
      </c>
      <c r="L1159" t="s">
        <v>397</v>
      </c>
      <c r="N1159" t="s">
        <v>398</v>
      </c>
      <c r="O1159" t="s">
        <v>226</v>
      </c>
      <c r="Q1159" t="s">
        <v>227</v>
      </c>
      <c r="R1159" t="s">
        <v>199</v>
      </c>
      <c r="S1159" t="s">
        <v>128</v>
      </c>
      <c r="T1159" t="s">
        <v>220</v>
      </c>
      <c r="U1159" t="s">
        <v>151</v>
      </c>
      <c r="V1159" t="s">
        <v>76</v>
      </c>
      <c r="W1159" s="58">
        <v>43357</v>
      </c>
      <c r="X1159" s="59">
        <v>0.33333333333333331</v>
      </c>
      <c r="Y1159" s="59">
        <v>0.375</v>
      </c>
      <c r="Z1159" s="59">
        <v>4.1666666666666664E-2</v>
      </c>
      <c r="AA1159">
        <v>0</v>
      </c>
      <c r="AC1159">
        <v>20</v>
      </c>
      <c r="AD1159">
        <v>10</v>
      </c>
      <c r="AE1159" s="59">
        <v>0.33333333333333331</v>
      </c>
      <c r="AF1159" s="59">
        <v>0.3743055555555555</v>
      </c>
      <c r="AG1159">
        <v>16</v>
      </c>
    </row>
    <row r="1160" spans="1:33" x14ac:dyDescent="0.25">
      <c r="A1160" t="s">
        <v>274</v>
      </c>
      <c r="B1160" t="s">
        <v>399</v>
      </c>
      <c r="C1160" t="s">
        <v>400</v>
      </c>
      <c r="D1160" t="s">
        <v>401</v>
      </c>
      <c r="E1160" t="s">
        <v>402</v>
      </c>
      <c r="F1160" t="s">
        <v>134</v>
      </c>
      <c r="G1160" t="s">
        <v>218</v>
      </c>
      <c r="H1160" t="s">
        <v>228</v>
      </c>
      <c r="I1160" t="s">
        <v>133</v>
      </c>
      <c r="J1160" t="s">
        <v>258</v>
      </c>
      <c r="K1160" t="s">
        <v>396</v>
      </c>
      <c r="L1160" t="s">
        <v>397</v>
      </c>
      <c r="N1160" t="s">
        <v>398</v>
      </c>
      <c r="O1160" t="s">
        <v>226</v>
      </c>
      <c r="Q1160" t="s">
        <v>227</v>
      </c>
      <c r="R1160" t="s">
        <v>229</v>
      </c>
      <c r="S1160" t="s">
        <v>128</v>
      </c>
      <c r="T1160" t="s">
        <v>220</v>
      </c>
      <c r="U1160" t="s">
        <v>129</v>
      </c>
      <c r="V1160" t="s">
        <v>76</v>
      </c>
      <c r="W1160" s="58">
        <v>43357</v>
      </c>
      <c r="X1160" s="59">
        <v>0.38541666666666669</v>
      </c>
      <c r="Y1160" s="59">
        <v>0.42708333333333331</v>
      </c>
      <c r="Z1160" s="59">
        <v>4.1666666666666664E-2</v>
      </c>
      <c r="AA1160">
        <v>3</v>
      </c>
      <c r="AB1160">
        <v>2.2875999999999999</v>
      </c>
      <c r="AC1160">
        <v>23</v>
      </c>
      <c r="AD1160">
        <v>10</v>
      </c>
      <c r="AE1160" s="59">
        <v>0.38541666666666669</v>
      </c>
      <c r="AF1160" s="59">
        <v>0.42638888888888887</v>
      </c>
      <c r="AG1160">
        <v>16</v>
      </c>
    </row>
    <row r="1161" spans="1:33" x14ac:dyDescent="0.25">
      <c r="A1161" t="s">
        <v>258</v>
      </c>
      <c r="B1161" t="s">
        <v>354</v>
      </c>
      <c r="C1161" t="s">
        <v>355</v>
      </c>
      <c r="E1161" t="s">
        <v>356</v>
      </c>
      <c r="F1161" t="s">
        <v>134</v>
      </c>
      <c r="H1161" t="s">
        <v>205</v>
      </c>
      <c r="I1161" t="s">
        <v>198</v>
      </c>
      <c r="J1161" t="s">
        <v>258</v>
      </c>
      <c r="K1161" t="s">
        <v>396</v>
      </c>
      <c r="L1161" t="s">
        <v>397</v>
      </c>
      <c r="N1161" t="s">
        <v>398</v>
      </c>
      <c r="O1161" t="s">
        <v>226</v>
      </c>
      <c r="Q1161" t="s">
        <v>227</v>
      </c>
      <c r="R1161" t="s">
        <v>206</v>
      </c>
      <c r="S1161" t="s">
        <v>128</v>
      </c>
      <c r="T1161" t="s">
        <v>220</v>
      </c>
      <c r="U1161" t="s">
        <v>129</v>
      </c>
      <c r="V1161" t="s">
        <v>76</v>
      </c>
      <c r="W1161" s="58">
        <v>43357</v>
      </c>
      <c r="X1161" s="59">
        <v>0.43055555555555558</v>
      </c>
      <c r="Y1161" s="59">
        <v>0.47222222222222227</v>
      </c>
      <c r="Z1161" s="59">
        <v>4.1666666666666664E-2</v>
      </c>
      <c r="AA1161">
        <v>6</v>
      </c>
      <c r="AB1161">
        <v>3.4136000000000002</v>
      </c>
      <c r="AC1161">
        <v>23</v>
      </c>
      <c r="AD1161">
        <v>10</v>
      </c>
      <c r="AE1161" s="59">
        <v>0.43055555555555558</v>
      </c>
      <c r="AF1161" s="59">
        <v>0.47152777777777777</v>
      </c>
      <c r="AG1161">
        <v>16</v>
      </c>
    </row>
    <row r="1162" spans="1:33" x14ac:dyDescent="0.25">
      <c r="A1162" t="s">
        <v>258</v>
      </c>
      <c r="B1162" t="s">
        <v>325</v>
      </c>
      <c r="C1162" t="s">
        <v>326</v>
      </c>
      <c r="E1162" t="s">
        <v>327</v>
      </c>
      <c r="F1162" t="s">
        <v>134</v>
      </c>
      <c r="H1162" t="s">
        <v>182</v>
      </c>
      <c r="I1162" t="s">
        <v>147</v>
      </c>
      <c r="J1162" t="s">
        <v>258</v>
      </c>
      <c r="K1162" t="s">
        <v>403</v>
      </c>
      <c r="L1162" t="s">
        <v>404</v>
      </c>
      <c r="N1162" t="s">
        <v>405</v>
      </c>
      <c r="O1162" t="s">
        <v>134</v>
      </c>
      <c r="Q1162" t="s">
        <v>230</v>
      </c>
      <c r="R1162" t="s">
        <v>183</v>
      </c>
      <c r="S1162" t="s">
        <v>128</v>
      </c>
      <c r="T1162" t="s">
        <v>220</v>
      </c>
      <c r="U1162" t="s">
        <v>129</v>
      </c>
      <c r="V1162" t="s">
        <v>77</v>
      </c>
      <c r="W1162" s="58">
        <v>43309</v>
      </c>
      <c r="X1162" s="59">
        <v>0.36458333333333331</v>
      </c>
      <c r="Y1162" s="59">
        <v>0.40625</v>
      </c>
      <c r="Z1162" s="59">
        <v>4.1666666666666664E-2</v>
      </c>
      <c r="AA1162">
        <v>0</v>
      </c>
      <c r="AC1162">
        <v>23</v>
      </c>
      <c r="AD1162">
        <v>13</v>
      </c>
      <c r="AE1162" s="59">
        <v>0.36458333333333331</v>
      </c>
      <c r="AF1162" s="59">
        <v>0.4055555555555555</v>
      </c>
    </row>
    <row r="1163" spans="1:33" x14ac:dyDescent="0.25">
      <c r="A1163" t="s">
        <v>274</v>
      </c>
      <c r="B1163" t="s">
        <v>321</v>
      </c>
      <c r="C1163" t="s">
        <v>322</v>
      </c>
      <c r="D1163" t="s">
        <v>323</v>
      </c>
      <c r="E1163" t="s">
        <v>324</v>
      </c>
      <c r="F1163" t="s">
        <v>134</v>
      </c>
      <c r="H1163" t="s">
        <v>184</v>
      </c>
      <c r="I1163" t="s">
        <v>147</v>
      </c>
      <c r="J1163" t="s">
        <v>258</v>
      </c>
      <c r="K1163" t="s">
        <v>403</v>
      </c>
      <c r="L1163" t="s">
        <v>404</v>
      </c>
      <c r="N1163" t="s">
        <v>405</v>
      </c>
      <c r="O1163" t="s">
        <v>134</v>
      </c>
      <c r="Q1163" t="s">
        <v>230</v>
      </c>
      <c r="R1163" t="s">
        <v>185</v>
      </c>
      <c r="S1163" t="s">
        <v>128</v>
      </c>
      <c r="T1163" t="s">
        <v>220</v>
      </c>
      <c r="U1163" t="s">
        <v>151</v>
      </c>
      <c r="V1163" t="s">
        <v>77</v>
      </c>
      <c r="W1163" s="58">
        <v>43309</v>
      </c>
      <c r="X1163" s="59">
        <v>0.41666666666666669</v>
      </c>
      <c r="Y1163" s="59">
        <v>0.45833333333333331</v>
      </c>
      <c r="Z1163" s="59">
        <v>4.1666666666666664E-2</v>
      </c>
      <c r="AA1163">
        <v>0</v>
      </c>
      <c r="AB1163">
        <v>2.2181999999999999</v>
      </c>
      <c r="AC1163">
        <v>20</v>
      </c>
      <c r="AD1163">
        <v>13</v>
      </c>
      <c r="AE1163" s="59">
        <v>0.41666666666666669</v>
      </c>
      <c r="AF1163" s="59">
        <v>0.45763888888888887</v>
      </c>
    </row>
    <row r="1164" spans="1:33" x14ac:dyDescent="0.25">
      <c r="A1164" t="s">
        <v>274</v>
      </c>
      <c r="B1164" t="s">
        <v>321</v>
      </c>
      <c r="C1164" t="s">
        <v>322</v>
      </c>
      <c r="D1164" t="s">
        <v>323</v>
      </c>
      <c r="E1164" t="s">
        <v>324</v>
      </c>
      <c r="F1164" t="s">
        <v>134</v>
      </c>
      <c r="H1164" t="s">
        <v>184</v>
      </c>
      <c r="I1164" t="s">
        <v>147</v>
      </c>
      <c r="J1164" t="s">
        <v>258</v>
      </c>
      <c r="K1164" t="s">
        <v>403</v>
      </c>
      <c r="L1164" t="s">
        <v>404</v>
      </c>
      <c r="N1164" t="s">
        <v>405</v>
      </c>
      <c r="O1164" t="s">
        <v>134</v>
      </c>
      <c r="Q1164" t="s">
        <v>230</v>
      </c>
      <c r="R1164" t="s">
        <v>185</v>
      </c>
      <c r="S1164" t="s">
        <v>128</v>
      </c>
      <c r="T1164" t="s">
        <v>220</v>
      </c>
      <c r="U1164" t="s">
        <v>151</v>
      </c>
      <c r="V1164" t="s">
        <v>77</v>
      </c>
      <c r="W1164" s="58">
        <v>43309</v>
      </c>
      <c r="X1164" s="59">
        <v>0.84375</v>
      </c>
      <c r="Y1164" s="59">
        <v>0.875</v>
      </c>
      <c r="Z1164" s="59">
        <v>3.125E-2</v>
      </c>
      <c r="AA1164">
        <v>0</v>
      </c>
      <c r="AC1164">
        <v>15</v>
      </c>
      <c r="AD1164">
        <v>9.75</v>
      </c>
      <c r="AE1164" s="59">
        <v>0.84375</v>
      </c>
      <c r="AF1164" s="59">
        <v>0.87430555555555556</v>
      </c>
    </row>
    <row r="1165" spans="1:33" x14ac:dyDescent="0.25">
      <c r="A1165" t="s">
        <v>274</v>
      </c>
      <c r="B1165" t="s">
        <v>321</v>
      </c>
      <c r="C1165" t="s">
        <v>322</v>
      </c>
      <c r="D1165" t="s">
        <v>323</v>
      </c>
      <c r="E1165" t="s">
        <v>324</v>
      </c>
      <c r="F1165" t="s">
        <v>134</v>
      </c>
      <c r="H1165" t="s">
        <v>184</v>
      </c>
      <c r="I1165" t="s">
        <v>147</v>
      </c>
      <c r="J1165" t="s">
        <v>258</v>
      </c>
      <c r="K1165" t="s">
        <v>403</v>
      </c>
      <c r="L1165" t="s">
        <v>404</v>
      </c>
      <c r="N1165" t="s">
        <v>405</v>
      </c>
      <c r="O1165" t="s">
        <v>134</v>
      </c>
      <c r="Q1165" t="s">
        <v>230</v>
      </c>
      <c r="R1165" t="s">
        <v>185</v>
      </c>
      <c r="S1165" t="s">
        <v>128</v>
      </c>
      <c r="T1165" t="s">
        <v>220</v>
      </c>
      <c r="U1165" t="s">
        <v>151</v>
      </c>
      <c r="V1165" t="s">
        <v>71</v>
      </c>
      <c r="W1165" s="58">
        <v>43310</v>
      </c>
      <c r="X1165" s="59">
        <v>0.84375</v>
      </c>
      <c r="Y1165" s="59">
        <v>0.875</v>
      </c>
      <c r="Z1165" s="59">
        <v>3.125E-2</v>
      </c>
      <c r="AA1165">
        <v>0</v>
      </c>
      <c r="AC1165">
        <v>15</v>
      </c>
      <c r="AD1165">
        <v>9.75</v>
      </c>
      <c r="AE1165" s="59">
        <v>0.84375</v>
      </c>
      <c r="AF1165" s="59">
        <v>0.87430555555555556</v>
      </c>
    </row>
    <row r="1166" spans="1:33" x14ac:dyDescent="0.25">
      <c r="A1166" t="s">
        <v>274</v>
      </c>
      <c r="B1166" t="s">
        <v>321</v>
      </c>
      <c r="C1166" t="s">
        <v>322</v>
      </c>
      <c r="D1166" t="s">
        <v>323</v>
      </c>
      <c r="E1166" t="s">
        <v>324</v>
      </c>
      <c r="F1166" t="s">
        <v>134</v>
      </c>
      <c r="H1166" t="s">
        <v>184</v>
      </c>
      <c r="I1166" t="s">
        <v>147</v>
      </c>
      <c r="J1166" t="s">
        <v>258</v>
      </c>
      <c r="K1166" t="s">
        <v>403</v>
      </c>
      <c r="L1166" t="s">
        <v>404</v>
      </c>
      <c r="N1166" t="s">
        <v>405</v>
      </c>
      <c r="O1166" t="s">
        <v>134</v>
      </c>
      <c r="Q1166" t="s">
        <v>230</v>
      </c>
      <c r="R1166" t="s">
        <v>185</v>
      </c>
      <c r="S1166" t="s">
        <v>128</v>
      </c>
      <c r="T1166" t="s">
        <v>220</v>
      </c>
      <c r="U1166" t="s">
        <v>151</v>
      </c>
      <c r="V1166" t="s">
        <v>73</v>
      </c>
      <c r="W1166" s="58">
        <v>43312</v>
      </c>
      <c r="X1166" s="59">
        <v>0.82013888888888886</v>
      </c>
      <c r="Y1166" s="59">
        <v>0.85138888888888886</v>
      </c>
      <c r="Z1166" s="59">
        <v>3.125E-2</v>
      </c>
      <c r="AA1166">
        <v>0</v>
      </c>
      <c r="AC1166">
        <v>15</v>
      </c>
      <c r="AD1166">
        <v>9</v>
      </c>
      <c r="AE1166" s="59">
        <v>0.82013888888888886</v>
      </c>
      <c r="AF1166" s="59">
        <v>0.85069444444444453</v>
      </c>
    </row>
    <row r="1167" spans="1:33" x14ac:dyDescent="0.25">
      <c r="A1167" t="s">
        <v>274</v>
      </c>
      <c r="B1167" t="s">
        <v>321</v>
      </c>
      <c r="C1167" t="s">
        <v>322</v>
      </c>
      <c r="D1167" t="s">
        <v>323</v>
      </c>
      <c r="E1167" t="s">
        <v>324</v>
      </c>
      <c r="F1167" t="s">
        <v>134</v>
      </c>
      <c r="H1167" t="s">
        <v>184</v>
      </c>
      <c r="I1167" t="s">
        <v>147</v>
      </c>
      <c r="J1167" t="s">
        <v>258</v>
      </c>
      <c r="K1167" t="s">
        <v>403</v>
      </c>
      <c r="L1167" t="s">
        <v>404</v>
      </c>
      <c r="N1167" t="s">
        <v>405</v>
      </c>
      <c r="O1167" t="s">
        <v>134</v>
      </c>
      <c r="Q1167" t="s">
        <v>230</v>
      </c>
      <c r="R1167" t="s">
        <v>185</v>
      </c>
      <c r="S1167" t="s">
        <v>128</v>
      </c>
      <c r="T1167" t="s">
        <v>220</v>
      </c>
      <c r="U1167" t="s">
        <v>151</v>
      </c>
      <c r="V1167" t="s">
        <v>74</v>
      </c>
      <c r="W1167" s="58">
        <v>43313</v>
      </c>
      <c r="X1167" s="59">
        <v>0.84375</v>
      </c>
      <c r="Y1167" s="59">
        <v>0.875</v>
      </c>
      <c r="Z1167" s="59">
        <v>3.125E-2</v>
      </c>
      <c r="AA1167">
        <v>0</v>
      </c>
      <c r="AC1167">
        <v>15</v>
      </c>
      <c r="AD1167">
        <v>9</v>
      </c>
      <c r="AE1167" s="59">
        <v>0.84375</v>
      </c>
      <c r="AF1167" s="59">
        <v>0.87430555555555556</v>
      </c>
    </row>
    <row r="1168" spans="1:33" x14ac:dyDescent="0.25">
      <c r="A1168" t="s">
        <v>258</v>
      </c>
      <c r="B1168" t="s">
        <v>310</v>
      </c>
      <c r="C1168" t="s">
        <v>311</v>
      </c>
      <c r="D1168" t="s">
        <v>312</v>
      </c>
      <c r="E1168" t="s">
        <v>313</v>
      </c>
      <c r="F1168" t="s">
        <v>134</v>
      </c>
      <c r="H1168" t="s">
        <v>175</v>
      </c>
      <c r="I1168" t="s">
        <v>127</v>
      </c>
      <c r="J1168" t="s">
        <v>258</v>
      </c>
      <c r="K1168" t="s">
        <v>403</v>
      </c>
      <c r="L1168" t="s">
        <v>404</v>
      </c>
      <c r="N1168" t="s">
        <v>405</v>
      </c>
      <c r="O1168" t="s">
        <v>134</v>
      </c>
      <c r="Q1168" t="s">
        <v>230</v>
      </c>
      <c r="R1168" t="s">
        <v>176</v>
      </c>
      <c r="S1168" t="s">
        <v>128</v>
      </c>
      <c r="T1168" t="s">
        <v>220</v>
      </c>
      <c r="U1168" t="s">
        <v>151</v>
      </c>
      <c r="V1168" t="s">
        <v>74</v>
      </c>
      <c r="W1168" s="58">
        <v>43313</v>
      </c>
      <c r="X1168" s="59">
        <v>0.88541666666666663</v>
      </c>
      <c r="Y1168" s="59">
        <v>0.90625</v>
      </c>
      <c r="Z1168" s="59">
        <v>2.0833333333333332E-2</v>
      </c>
      <c r="AA1168">
        <v>0</v>
      </c>
      <c r="AB1168">
        <v>4.8944000000000001</v>
      </c>
      <c r="AC1168">
        <v>10</v>
      </c>
      <c r="AD1168">
        <v>6</v>
      </c>
      <c r="AE1168" s="59">
        <v>0.88541666666666663</v>
      </c>
      <c r="AF1168" s="59">
        <v>0.90555555555555556</v>
      </c>
    </row>
    <row r="1169" spans="1:32" x14ac:dyDescent="0.25">
      <c r="A1169" t="s">
        <v>274</v>
      </c>
      <c r="B1169" t="s">
        <v>321</v>
      </c>
      <c r="C1169" t="s">
        <v>322</v>
      </c>
      <c r="D1169" t="s">
        <v>323</v>
      </c>
      <c r="E1169" t="s">
        <v>324</v>
      </c>
      <c r="F1169" t="s">
        <v>134</v>
      </c>
      <c r="H1169" t="s">
        <v>184</v>
      </c>
      <c r="I1169" t="s">
        <v>147</v>
      </c>
      <c r="J1169" t="s">
        <v>258</v>
      </c>
      <c r="K1169" t="s">
        <v>403</v>
      </c>
      <c r="L1169" t="s">
        <v>404</v>
      </c>
      <c r="N1169" t="s">
        <v>405</v>
      </c>
      <c r="O1169" t="s">
        <v>134</v>
      </c>
      <c r="Q1169" t="s">
        <v>230</v>
      </c>
      <c r="R1169" t="s">
        <v>185</v>
      </c>
      <c r="S1169" t="s">
        <v>128</v>
      </c>
      <c r="T1169" t="s">
        <v>220</v>
      </c>
      <c r="U1169" t="s">
        <v>151</v>
      </c>
      <c r="V1169" t="s">
        <v>75</v>
      </c>
      <c r="W1169" s="58">
        <v>43314</v>
      </c>
      <c r="X1169" s="59">
        <v>0.84375</v>
      </c>
      <c r="Y1169" s="59">
        <v>0.875</v>
      </c>
      <c r="Z1169" s="59">
        <v>3.125E-2</v>
      </c>
      <c r="AA1169">
        <v>0</v>
      </c>
      <c r="AC1169">
        <v>15</v>
      </c>
      <c r="AD1169">
        <v>9</v>
      </c>
      <c r="AE1169" s="59">
        <v>0.84375</v>
      </c>
      <c r="AF1169" s="59">
        <v>0.87430555555555556</v>
      </c>
    </row>
    <row r="1170" spans="1:32" x14ac:dyDescent="0.25">
      <c r="A1170" t="s">
        <v>258</v>
      </c>
      <c r="B1170" t="s">
        <v>325</v>
      </c>
      <c r="C1170" t="s">
        <v>326</v>
      </c>
      <c r="E1170" t="s">
        <v>327</v>
      </c>
      <c r="F1170" t="s">
        <v>134</v>
      </c>
      <c r="H1170" t="s">
        <v>182</v>
      </c>
      <c r="I1170" t="s">
        <v>147</v>
      </c>
      <c r="J1170" t="s">
        <v>258</v>
      </c>
      <c r="K1170" t="s">
        <v>403</v>
      </c>
      <c r="L1170" t="s">
        <v>404</v>
      </c>
      <c r="N1170" t="s">
        <v>405</v>
      </c>
      <c r="O1170" t="s">
        <v>134</v>
      </c>
      <c r="Q1170" t="s">
        <v>230</v>
      </c>
      <c r="R1170" t="s">
        <v>183</v>
      </c>
      <c r="S1170" t="s">
        <v>128</v>
      </c>
      <c r="T1170" t="s">
        <v>220</v>
      </c>
      <c r="U1170" t="s">
        <v>129</v>
      </c>
      <c r="V1170" t="s">
        <v>76</v>
      </c>
      <c r="W1170" s="58">
        <v>43315</v>
      </c>
      <c r="X1170" s="59">
        <v>0.36458333333333331</v>
      </c>
      <c r="Y1170" s="59">
        <v>0.40625</v>
      </c>
      <c r="Z1170" s="59">
        <v>4.1666666666666664E-2</v>
      </c>
      <c r="AA1170">
        <v>0</v>
      </c>
      <c r="AC1170">
        <v>23</v>
      </c>
      <c r="AD1170">
        <v>12</v>
      </c>
      <c r="AE1170" s="59">
        <v>0.36458333333333331</v>
      </c>
      <c r="AF1170" s="59">
        <v>0.4055555555555555</v>
      </c>
    </row>
    <row r="1171" spans="1:32" x14ac:dyDescent="0.25">
      <c r="A1171" t="s">
        <v>274</v>
      </c>
      <c r="B1171" t="s">
        <v>321</v>
      </c>
      <c r="C1171" t="s">
        <v>322</v>
      </c>
      <c r="D1171" t="s">
        <v>323</v>
      </c>
      <c r="E1171" t="s">
        <v>324</v>
      </c>
      <c r="F1171" t="s">
        <v>134</v>
      </c>
      <c r="H1171" t="s">
        <v>184</v>
      </c>
      <c r="I1171" t="s">
        <v>147</v>
      </c>
      <c r="J1171" t="s">
        <v>258</v>
      </c>
      <c r="K1171" t="s">
        <v>403</v>
      </c>
      <c r="L1171" t="s">
        <v>404</v>
      </c>
      <c r="N1171" t="s">
        <v>405</v>
      </c>
      <c r="O1171" t="s">
        <v>134</v>
      </c>
      <c r="Q1171" t="s">
        <v>230</v>
      </c>
      <c r="R1171" t="s">
        <v>185</v>
      </c>
      <c r="S1171" t="s">
        <v>128</v>
      </c>
      <c r="T1171" t="s">
        <v>220</v>
      </c>
      <c r="U1171" t="s">
        <v>151</v>
      </c>
      <c r="V1171" t="s">
        <v>76</v>
      </c>
      <c r="W1171" s="58">
        <v>43315</v>
      </c>
      <c r="X1171" s="59">
        <v>0.41666666666666669</v>
      </c>
      <c r="Y1171" s="59">
        <v>0.45833333333333331</v>
      </c>
      <c r="Z1171" s="59">
        <v>4.1666666666666664E-2</v>
      </c>
      <c r="AA1171">
        <v>0</v>
      </c>
      <c r="AB1171">
        <v>2.2181999999999999</v>
      </c>
      <c r="AC1171">
        <v>20</v>
      </c>
      <c r="AD1171">
        <v>12</v>
      </c>
      <c r="AE1171" s="59">
        <v>0.41666666666666669</v>
      </c>
      <c r="AF1171" s="59">
        <v>0.45763888888888887</v>
      </c>
    </row>
    <row r="1172" spans="1:32" x14ac:dyDescent="0.25">
      <c r="A1172" t="s">
        <v>258</v>
      </c>
      <c r="B1172" t="s">
        <v>325</v>
      </c>
      <c r="C1172" t="s">
        <v>326</v>
      </c>
      <c r="E1172" t="s">
        <v>327</v>
      </c>
      <c r="F1172" t="s">
        <v>134</v>
      </c>
      <c r="H1172" t="s">
        <v>182</v>
      </c>
      <c r="I1172" t="s">
        <v>147</v>
      </c>
      <c r="J1172" t="s">
        <v>258</v>
      </c>
      <c r="K1172" t="s">
        <v>403</v>
      </c>
      <c r="L1172" t="s">
        <v>404</v>
      </c>
      <c r="N1172" t="s">
        <v>405</v>
      </c>
      <c r="O1172" t="s">
        <v>134</v>
      </c>
      <c r="Q1172" t="s">
        <v>230</v>
      </c>
      <c r="R1172" t="s">
        <v>183</v>
      </c>
      <c r="S1172" t="s">
        <v>128</v>
      </c>
      <c r="T1172" t="s">
        <v>220</v>
      </c>
      <c r="U1172" t="s">
        <v>129</v>
      </c>
      <c r="V1172" t="s">
        <v>76</v>
      </c>
      <c r="W1172" s="58">
        <v>43315</v>
      </c>
      <c r="X1172" s="59">
        <v>0.5</v>
      </c>
      <c r="Y1172" s="59">
        <v>0.54166666666666663</v>
      </c>
      <c r="Z1172" s="59">
        <v>4.1666666666666664E-2</v>
      </c>
      <c r="AA1172">
        <v>0</v>
      </c>
      <c r="AB1172">
        <v>2.2181999999999999</v>
      </c>
      <c r="AC1172">
        <v>23</v>
      </c>
      <c r="AD1172">
        <v>12</v>
      </c>
      <c r="AE1172" s="59">
        <v>0.5</v>
      </c>
      <c r="AF1172" s="59">
        <v>0.54097222222222219</v>
      </c>
    </row>
    <row r="1173" spans="1:32" x14ac:dyDescent="0.25">
      <c r="A1173" t="s">
        <v>274</v>
      </c>
      <c r="B1173" t="s">
        <v>321</v>
      </c>
      <c r="C1173" t="s">
        <v>322</v>
      </c>
      <c r="D1173" t="s">
        <v>323</v>
      </c>
      <c r="E1173" t="s">
        <v>324</v>
      </c>
      <c r="F1173" t="s">
        <v>134</v>
      </c>
      <c r="H1173" t="s">
        <v>184</v>
      </c>
      <c r="I1173" t="s">
        <v>147</v>
      </c>
      <c r="J1173" t="s">
        <v>258</v>
      </c>
      <c r="K1173" t="s">
        <v>403</v>
      </c>
      <c r="L1173" t="s">
        <v>404</v>
      </c>
      <c r="N1173" t="s">
        <v>405</v>
      </c>
      <c r="O1173" t="s">
        <v>134</v>
      </c>
      <c r="Q1173" t="s">
        <v>230</v>
      </c>
      <c r="R1173" t="s">
        <v>185</v>
      </c>
      <c r="S1173" t="s">
        <v>128</v>
      </c>
      <c r="T1173" t="s">
        <v>220</v>
      </c>
      <c r="U1173" t="s">
        <v>151</v>
      </c>
      <c r="V1173" t="s">
        <v>76</v>
      </c>
      <c r="W1173" s="58">
        <v>43315</v>
      </c>
      <c r="X1173" s="59">
        <v>0.85</v>
      </c>
      <c r="Y1173" s="59">
        <v>0.88124999999999998</v>
      </c>
      <c r="Z1173" s="59">
        <v>3.125E-2</v>
      </c>
      <c r="AA1173">
        <v>0</v>
      </c>
      <c r="AC1173">
        <v>15</v>
      </c>
      <c r="AD1173">
        <v>9</v>
      </c>
      <c r="AE1173" s="59">
        <v>0.85</v>
      </c>
      <c r="AF1173" s="59">
        <v>0.88055555555555554</v>
      </c>
    </row>
    <row r="1174" spans="1:32" x14ac:dyDescent="0.25">
      <c r="A1174" t="s">
        <v>258</v>
      </c>
      <c r="B1174" t="s">
        <v>325</v>
      </c>
      <c r="C1174" t="s">
        <v>326</v>
      </c>
      <c r="E1174" t="s">
        <v>327</v>
      </c>
      <c r="F1174" t="s">
        <v>134</v>
      </c>
      <c r="H1174" t="s">
        <v>182</v>
      </c>
      <c r="I1174" t="s">
        <v>147</v>
      </c>
      <c r="J1174" t="s">
        <v>258</v>
      </c>
      <c r="K1174" t="s">
        <v>403</v>
      </c>
      <c r="L1174" t="s">
        <v>404</v>
      </c>
      <c r="N1174" t="s">
        <v>405</v>
      </c>
      <c r="O1174" t="s">
        <v>134</v>
      </c>
      <c r="Q1174" t="s">
        <v>230</v>
      </c>
      <c r="R1174" t="s">
        <v>183</v>
      </c>
      <c r="S1174" t="s">
        <v>128</v>
      </c>
      <c r="T1174" t="s">
        <v>220</v>
      </c>
      <c r="U1174" t="s">
        <v>129</v>
      </c>
      <c r="V1174" t="s">
        <v>77</v>
      </c>
      <c r="W1174" s="58">
        <v>43316</v>
      </c>
      <c r="X1174" s="59">
        <v>0.36458333333333331</v>
      </c>
      <c r="Y1174" s="59">
        <v>0.40625</v>
      </c>
      <c r="Z1174" s="59">
        <v>4.1666666666666664E-2</v>
      </c>
      <c r="AA1174">
        <v>0</v>
      </c>
      <c r="AC1174">
        <v>23</v>
      </c>
      <c r="AD1174">
        <v>13</v>
      </c>
      <c r="AE1174" s="59">
        <v>0.36458333333333331</v>
      </c>
      <c r="AF1174" s="59">
        <v>0.4055555555555555</v>
      </c>
    </row>
    <row r="1175" spans="1:32" x14ac:dyDescent="0.25">
      <c r="A1175" t="s">
        <v>274</v>
      </c>
      <c r="B1175" t="s">
        <v>321</v>
      </c>
      <c r="C1175" t="s">
        <v>322</v>
      </c>
      <c r="D1175" t="s">
        <v>323</v>
      </c>
      <c r="E1175" t="s">
        <v>324</v>
      </c>
      <c r="F1175" t="s">
        <v>134</v>
      </c>
      <c r="H1175" t="s">
        <v>184</v>
      </c>
      <c r="I1175" t="s">
        <v>147</v>
      </c>
      <c r="J1175" t="s">
        <v>258</v>
      </c>
      <c r="K1175" t="s">
        <v>403</v>
      </c>
      <c r="L1175" t="s">
        <v>404</v>
      </c>
      <c r="N1175" t="s">
        <v>405</v>
      </c>
      <c r="O1175" t="s">
        <v>134</v>
      </c>
      <c r="Q1175" t="s">
        <v>230</v>
      </c>
      <c r="R1175" t="s">
        <v>185</v>
      </c>
      <c r="S1175" t="s">
        <v>128</v>
      </c>
      <c r="T1175" t="s">
        <v>220</v>
      </c>
      <c r="U1175" t="s">
        <v>151</v>
      </c>
      <c r="V1175" t="s">
        <v>77</v>
      </c>
      <c r="W1175" s="58">
        <v>43316</v>
      </c>
      <c r="X1175" s="59">
        <v>0.8125</v>
      </c>
      <c r="Y1175" s="59">
        <v>0.84375</v>
      </c>
      <c r="Z1175" s="59">
        <v>3.125E-2</v>
      </c>
      <c r="AA1175">
        <v>0</v>
      </c>
      <c r="AC1175">
        <v>15</v>
      </c>
      <c r="AD1175">
        <v>9.75</v>
      </c>
      <c r="AE1175" s="59">
        <v>0.8125</v>
      </c>
      <c r="AF1175" s="59">
        <v>0.84305555555555556</v>
      </c>
    </row>
    <row r="1176" spans="1:32" x14ac:dyDescent="0.25">
      <c r="A1176" t="s">
        <v>258</v>
      </c>
      <c r="B1176" t="s">
        <v>325</v>
      </c>
      <c r="C1176" t="s">
        <v>326</v>
      </c>
      <c r="E1176" t="s">
        <v>327</v>
      </c>
      <c r="F1176" t="s">
        <v>134</v>
      </c>
      <c r="H1176" t="s">
        <v>182</v>
      </c>
      <c r="I1176" t="s">
        <v>147</v>
      </c>
      <c r="J1176" t="s">
        <v>258</v>
      </c>
      <c r="K1176" t="s">
        <v>403</v>
      </c>
      <c r="L1176" t="s">
        <v>404</v>
      </c>
      <c r="N1176" t="s">
        <v>405</v>
      </c>
      <c r="O1176" t="s">
        <v>134</v>
      </c>
      <c r="Q1176" t="s">
        <v>230</v>
      </c>
      <c r="R1176" t="s">
        <v>183</v>
      </c>
      <c r="S1176" t="s">
        <v>128</v>
      </c>
      <c r="T1176" t="s">
        <v>220</v>
      </c>
      <c r="U1176" t="s">
        <v>129</v>
      </c>
      <c r="V1176" t="s">
        <v>71</v>
      </c>
      <c r="W1176" s="58">
        <v>43317</v>
      </c>
      <c r="X1176" s="59">
        <v>0.36458333333333331</v>
      </c>
      <c r="Y1176" s="59">
        <v>0.40625</v>
      </c>
      <c r="Z1176" s="59">
        <v>4.1666666666666664E-2</v>
      </c>
      <c r="AA1176">
        <v>0</v>
      </c>
      <c r="AC1176">
        <v>23</v>
      </c>
      <c r="AD1176">
        <v>13</v>
      </c>
      <c r="AE1176" s="59">
        <v>0.36458333333333331</v>
      </c>
      <c r="AF1176" s="59">
        <v>0.4055555555555555</v>
      </c>
    </row>
    <row r="1177" spans="1:32" x14ac:dyDescent="0.25">
      <c r="A1177" t="s">
        <v>274</v>
      </c>
      <c r="B1177" t="s">
        <v>321</v>
      </c>
      <c r="C1177" t="s">
        <v>322</v>
      </c>
      <c r="D1177" t="s">
        <v>323</v>
      </c>
      <c r="E1177" t="s">
        <v>324</v>
      </c>
      <c r="F1177" t="s">
        <v>134</v>
      </c>
      <c r="H1177" t="s">
        <v>184</v>
      </c>
      <c r="I1177" t="s">
        <v>147</v>
      </c>
      <c r="J1177" t="s">
        <v>258</v>
      </c>
      <c r="K1177" t="s">
        <v>403</v>
      </c>
      <c r="L1177" t="s">
        <v>404</v>
      </c>
      <c r="N1177" t="s">
        <v>405</v>
      </c>
      <c r="O1177" t="s">
        <v>134</v>
      </c>
      <c r="Q1177" t="s">
        <v>230</v>
      </c>
      <c r="R1177" t="s">
        <v>185</v>
      </c>
      <c r="S1177" t="s">
        <v>128</v>
      </c>
      <c r="T1177" t="s">
        <v>220</v>
      </c>
      <c r="U1177" t="s">
        <v>151</v>
      </c>
      <c r="V1177" t="s">
        <v>71</v>
      </c>
      <c r="W1177" s="58">
        <v>43317</v>
      </c>
      <c r="X1177" s="59">
        <v>0.86458333333333337</v>
      </c>
      <c r="Y1177" s="59">
        <v>0.89583333333333337</v>
      </c>
      <c r="Z1177" s="59">
        <v>3.125E-2</v>
      </c>
      <c r="AA1177">
        <v>0</v>
      </c>
      <c r="AC1177">
        <v>15</v>
      </c>
      <c r="AD1177">
        <v>9.75</v>
      </c>
      <c r="AE1177" s="59">
        <v>0.86458333333333337</v>
      </c>
      <c r="AF1177" s="59">
        <v>0.89513888888888893</v>
      </c>
    </row>
    <row r="1178" spans="1:32" x14ac:dyDescent="0.25">
      <c r="A1178" t="s">
        <v>274</v>
      </c>
      <c r="B1178" t="s">
        <v>321</v>
      </c>
      <c r="C1178" t="s">
        <v>322</v>
      </c>
      <c r="D1178" t="s">
        <v>323</v>
      </c>
      <c r="E1178" t="s">
        <v>324</v>
      </c>
      <c r="F1178" t="s">
        <v>134</v>
      </c>
      <c r="H1178" t="s">
        <v>184</v>
      </c>
      <c r="I1178" t="s">
        <v>147</v>
      </c>
      <c r="J1178" t="s">
        <v>258</v>
      </c>
      <c r="K1178" t="s">
        <v>403</v>
      </c>
      <c r="L1178" t="s">
        <v>404</v>
      </c>
      <c r="N1178" t="s">
        <v>405</v>
      </c>
      <c r="O1178" t="s">
        <v>134</v>
      </c>
      <c r="Q1178" t="s">
        <v>230</v>
      </c>
      <c r="R1178" t="s">
        <v>185</v>
      </c>
      <c r="S1178" t="s">
        <v>128</v>
      </c>
      <c r="T1178" t="s">
        <v>220</v>
      </c>
      <c r="U1178" t="s">
        <v>151</v>
      </c>
      <c r="V1178" t="s">
        <v>72</v>
      </c>
      <c r="W1178" s="58">
        <v>43318</v>
      </c>
      <c r="X1178" s="59">
        <v>0.8125</v>
      </c>
      <c r="Y1178" s="59">
        <v>0.84375</v>
      </c>
      <c r="Z1178" s="59">
        <v>3.125E-2</v>
      </c>
      <c r="AA1178">
        <v>0</v>
      </c>
      <c r="AC1178">
        <v>15</v>
      </c>
      <c r="AD1178">
        <v>9</v>
      </c>
      <c r="AE1178" s="59">
        <v>0.8125</v>
      </c>
      <c r="AF1178" s="59">
        <v>0.84305555555555556</v>
      </c>
    </row>
    <row r="1179" spans="1:32" x14ac:dyDescent="0.25">
      <c r="A1179" t="s">
        <v>274</v>
      </c>
      <c r="B1179" t="s">
        <v>321</v>
      </c>
      <c r="C1179" t="s">
        <v>322</v>
      </c>
      <c r="D1179" t="s">
        <v>323</v>
      </c>
      <c r="E1179" t="s">
        <v>324</v>
      </c>
      <c r="F1179" t="s">
        <v>134</v>
      </c>
      <c r="H1179" t="s">
        <v>184</v>
      </c>
      <c r="I1179" t="s">
        <v>147</v>
      </c>
      <c r="J1179" t="s">
        <v>258</v>
      </c>
      <c r="K1179" t="s">
        <v>403</v>
      </c>
      <c r="L1179" t="s">
        <v>404</v>
      </c>
      <c r="N1179" t="s">
        <v>405</v>
      </c>
      <c r="O1179" t="s">
        <v>134</v>
      </c>
      <c r="Q1179" t="s">
        <v>230</v>
      </c>
      <c r="R1179" t="s">
        <v>185</v>
      </c>
      <c r="S1179" t="s">
        <v>128</v>
      </c>
      <c r="T1179" t="s">
        <v>220</v>
      </c>
      <c r="U1179" t="s">
        <v>151</v>
      </c>
      <c r="V1179" t="s">
        <v>73</v>
      </c>
      <c r="W1179" s="58">
        <v>43319</v>
      </c>
      <c r="X1179" s="59">
        <v>0.8125</v>
      </c>
      <c r="Y1179" s="59">
        <v>0.84375</v>
      </c>
      <c r="Z1179" s="59">
        <v>3.125E-2</v>
      </c>
      <c r="AA1179">
        <v>0</v>
      </c>
      <c r="AC1179">
        <v>15</v>
      </c>
      <c r="AD1179">
        <v>9</v>
      </c>
      <c r="AE1179" s="59">
        <v>0.8125</v>
      </c>
      <c r="AF1179" s="59">
        <v>0.84305555555555556</v>
      </c>
    </row>
    <row r="1180" spans="1:32" x14ac:dyDescent="0.25">
      <c r="A1180" t="s">
        <v>274</v>
      </c>
      <c r="B1180" t="s">
        <v>321</v>
      </c>
      <c r="C1180" t="s">
        <v>322</v>
      </c>
      <c r="D1180" t="s">
        <v>323</v>
      </c>
      <c r="E1180" t="s">
        <v>324</v>
      </c>
      <c r="F1180" t="s">
        <v>134</v>
      </c>
      <c r="H1180" t="s">
        <v>184</v>
      </c>
      <c r="I1180" t="s">
        <v>147</v>
      </c>
      <c r="J1180" t="s">
        <v>258</v>
      </c>
      <c r="K1180" t="s">
        <v>403</v>
      </c>
      <c r="L1180" t="s">
        <v>404</v>
      </c>
      <c r="N1180" t="s">
        <v>405</v>
      </c>
      <c r="O1180" t="s">
        <v>134</v>
      </c>
      <c r="Q1180" t="s">
        <v>230</v>
      </c>
      <c r="R1180" t="s">
        <v>185</v>
      </c>
      <c r="S1180" t="s">
        <v>128</v>
      </c>
      <c r="T1180" t="s">
        <v>220</v>
      </c>
      <c r="U1180" t="s">
        <v>151</v>
      </c>
      <c r="V1180" t="s">
        <v>74</v>
      </c>
      <c r="W1180" s="58">
        <v>43320</v>
      </c>
      <c r="X1180" s="59">
        <v>0.8125</v>
      </c>
      <c r="Y1180" s="59">
        <v>0.84375</v>
      </c>
      <c r="Z1180" s="59">
        <v>3.125E-2</v>
      </c>
      <c r="AA1180">
        <v>0</v>
      </c>
      <c r="AC1180">
        <v>15</v>
      </c>
      <c r="AD1180">
        <v>9</v>
      </c>
      <c r="AE1180" s="59">
        <v>0.8125</v>
      </c>
      <c r="AF1180" s="59">
        <v>0.84305555555555556</v>
      </c>
    </row>
    <row r="1181" spans="1:32" x14ac:dyDescent="0.25">
      <c r="A1181" t="s">
        <v>274</v>
      </c>
      <c r="B1181" t="s">
        <v>321</v>
      </c>
      <c r="C1181" t="s">
        <v>322</v>
      </c>
      <c r="D1181" t="s">
        <v>323</v>
      </c>
      <c r="E1181" t="s">
        <v>324</v>
      </c>
      <c r="F1181" t="s">
        <v>134</v>
      </c>
      <c r="H1181" t="s">
        <v>184</v>
      </c>
      <c r="I1181" t="s">
        <v>147</v>
      </c>
      <c r="J1181" t="s">
        <v>258</v>
      </c>
      <c r="K1181" t="s">
        <v>403</v>
      </c>
      <c r="L1181" t="s">
        <v>404</v>
      </c>
      <c r="N1181" t="s">
        <v>405</v>
      </c>
      <c r="O1181" t="s">
        <v>134</v>
      </c>
      <c r="Q1181" t="s">
        <v>230</v>
      </c>
      <c r="R1181" t="s">
        <v>185</v>
      </c>
      <c r="S1181" t="s">
        <v>128</v>
      </c>
      <c r="T1181" t="s">
        <v>220</v>
      </c>
      <c r="U1181" t="s">
        <v>151</v>
      </c>
      <c r="V1181" t="s">
        <v>75</v>
      </c>
      <c r="W1181" s="58">
        <v>43321</v>
      </c>
      <c r="X1181" s="59">
        <v>0.8125</v>
      </c>
      <c r="Y1181" s="59">
        <v>0.84375</v>
      </c>
      <c r="Z1181" s="59">
        <v>3.125E-2</v>
      </c>
      <c r="AA1181">
        <v>0</v>
      </c>
      <c r="AC1181">
        <v>15</v>
      </c>
      <c r="AD1181">
        <v>9</v>
      </c>
      <c r="AE1181" s="59">
        <v>0.8125</v>
      </c>
      <c r="AF1181" s="59">
        <v>0.84305555555555556</v>
      </c>
    </row>
    <row r="1182" spans="1:32" x14ac:dyDescent="0.25">
      <c r="A1182" t="s">
        <v>258</v>
      </c>
      <c r="B1182" t="s">
        <v>325</v>
      </c>
      <c r="C1182" t="s">
        <v>326</v>
      </c>
      <c r="E1182" t="s">
        <v>327</v>
      </c>
      <c r="F1182" t="s">
        <v>134</v>
      </c>
      <c r="H1182" t="s">
        <v>182</v>
      </c>
      <c r="I1182" t="s">
        <v>147</v>
      </c>
      <c r="J1182" t="s">
        <v>258</v>
      </c>
      <c r="K1182" t="s">
        <v>403</v>
      </c>
      <c r="L1182" t="s">
        <v>404</v>
      </c>
      <c r="N1182" t="s">
        <v>405</v>
      </c>
      <c r="O1182" t="s">
        <v>134</v>
      </c>
      <c r="Q1182" t="s">
        <v>230</v>
      </c>
      <c r="R1182" t="s">
        <v>183</v>
      </c>
      <c r="S1182" t="s">
        <v>128</v>
      </c>
      <c r="T1182" t="s">
        <v>220</v>
      </c>
      <c r="U1182" t="s">
        <v>129</v>
      </c>
      <c r="V1182" t="s">
        <v>77</v>
      </c>
      <c r="W1182" s="58">
        <v>43323</v>
      </c>
      <c r="X1182" s="59">
        <v>0.36458333333333331</v>
      </c>
      <c r="Y1182" s="59">
        <v>0.40625</v>
      </c>
      <c r="Z1182" s="59">
        <v>4.1666666666666664E-2</v>
      </c>
      <c r="AA1182">
        <v>0</v>
      </c>
      <c r="AC1182">
        <v>23</v>
      </c>
      <c r="AD1182">
        <v>13</v>
      </c>
      <c r="AE1182" s="59">
        <v>0.36458333333333331</v>
      </c>
      <c r="AF1182" s="59">
        <v>0.4055555555555555</v>
      </c>
    </row>
    <row r="1183" spans="1:32" x14ac:dyDescent="0.25">
      <c r="A1183" t="s">
        <v>274</v>
      </c>
      <c r="B1183" t="s">
        <v>321</v>
      </c>
      <c r="C1183" t="s">
        <v>322</v>
      </c>
      <c r="D1183" t="s">
        <v>323</v>
      </c>
      <c r="E1183" t="s">
        <v>324</v>
      </c>
      <c r="F1183" t="s">
        <v>134</v>
      </c>
      <c r="H1183" t="s">
        <v>184</v>
      </c>
      <c r="I1183" t="s">
        <v>147</v>
      </c>
      <c r="J1183" t="s">
        <v>258</v>
      </c>
      <c r="K1183" t="s">
        <v>403</v>
      </c>
      <c r="L1183" t="s">
        <v>404</v>
      </c>
      <c r="N1183" t="s">
        <v>405</v>
      </c>
      <c r="O1183" t="s">
        <v>134</v>
      </c>
      <c r="Q1183" t="s">
        <v>230</v>
      </c>
      <c r="R1183" t="s">
        <v>185</v>
      </c>
      <c r="S1183" t="s">
        <v>128</v>
      </c>
      <c r="T1183" t="s">
        <v>220</v>
      </c>
      <c r="U1183" t="s">
        <v>151</v>
      </c>
      <c r="V1183" t="s">
        <v>77</v>
      </c>
      <c r="W1183" s="58">
        <v>43323</v>
      </c>
      <c r="X1183" s="59">
        <v>0.41666666666666669</v>
      </c>
      <c r="Y1183" s="59">
        <v>0.45833333333333331</v>
      </c>
      <c r="Z1183" s="59">
        <v>4.1666666666666664E-2</v>
      </c>
      <c r="AA1183">
        <v>0</v>
      </c>
      <c r="AB1183">
        <v>2.2181999999999999</v>
      </c>
      <c r="AC1183">
        <v>20</v>
      </c>
      <c r="AD1183">
        <v>13</v>
      </c>
      <c r="AE1183" s="59">
        <v>0.41666666666666669</v>
      </c>
      <c r="AF1183" s="59">
        <v>0.45763888888888887</v>
      </c>
    </row>
    <row r="1184" spans="1:32" x14ac:dyDescent="0.25">
      <c r="A1184" t="s">
        <v>274</v>
      </c>
      <c r="B1184" t="s">
        <v>321</v>
      </c>
      <c r="C1184" t="s">
        <v>322</v>
      </c>
      <c r="D1184" t="s">
        <v>323</v>
      </c>
      <c r="E1184" t="s">
        <v>324</v>
      </c>
      <c r="F1184" t="s">
        <v>134</v>
      </c>
      <c r="H1184" t="s">
        <v>184</v>
      </c>
      <c r="I1184" t="s">
        <v>147</v>
      </c>
      <c r="J1184" t="s">
        <v>258</v>
      </c>
      <c r="K1184" t="s">
        <v>403</v>
      </c>
      <c r="L1184" t="s">
        <v>404</v>
      </c>
      <c r="N1184" t="s">
        <v>405</v>
      </c>
      <c r="O1184" t="s">
        <v>134</v>
      </c>
      <c r="Q1184" t="s">
        <v>230</v>
      </c>
      <c r="R1184" t="s">
        <v>185</v>
      </c>
      <c r="S1184" t="s">
        <v>128</v>
      </c>
      <c r="T1184" t="s">
        <v>220</v>
      </c>
      <c r="U1184" t="s">
        <v>151</v>
      </c>
      <c r="V1184" t="s">
        <v>73</v>
      </c>
      <c r="W1184" s="58">
        <v>43326</v>
      </c>
      <c r="X1184" s="59">
        <v>0.83333333333333337</v>
      </c>
      <c r="Y1184" s="59">
        <v>0.86458333333333337</v>
      </c>
      <c r="Z1184" s="59">
        <v>3.125E-2</v>
      </c>
      <c r="AA1184">
        <v>0</v>
      </c>
      <c r="AC1184">
        <v>15</v>
      </c>
      <c r="AD1184">
        <v>9</v>
      </c>
      <c r="AE1184" s="59">
        <v>0.83333333333333337</v>
      </c>
      <c r="AF1184" s="59">
        <v>0.86388888888888893</v>
      </c>
    </row>
    <row r="1185" spans="1:32" x14ac:dyDescent="0.25">
      <c r="A1185" t="s">
        <v>274</v>
      </c>
      <c r="B1185" t="s">
        <v>321</v>
      </c>
      <c r="C1185" t="s">
        <v>322</v>
      </c>
      <c r="D1185" t="s">
        <v>323</v>
      </c>
      <c r="E1185" t="s">
        <v>324</v>
      </c>
      <c r="F1185" t="s">
        <v>134</v>
      </c>
      <c r="H1185" t="s">
        <v>184</v>
      </c>
      <c r="I1185" t="s">
        <v>147</v>
      </c>
      <c r="J1185" t="s">
        <v>258</v>
      </c>
      <c r="K1185" t="s">
        <v>403</v>
      </c>
      <c r="L1185" t="s">
        <v>404</v>
      </c>
      <c r="N1185" t="s">
        <v>405</v>
      </c>
      <c r="O1185" t="s">
        <v>134</v>
      </c>
      <c r="Q1185" t="s">
        <v>230</v>
      </c>
      <c r="R1185" t="s">
        <v>185</v>
      </c>
      <c r="S1185" t="s">
        <v>128</v>
      </c>
      <c r="T1185" t="s">
        <v>220</v>
      </c>
      <c r="U1185" t="s">
        <v>151</v>
      </c>
      <c r="V1185" t="s">
        <v>75</v>
      </c>
      <c r="W1185" s="58">
        <v>43328</v>
      </c>
      <c r="X1185" s="59">
        <v>0.8125</v>
      </c>
      <c r="Y1185" s="59">
        <v>0.84375</v>
      </c>
      <c r="Z1185" s="59">
        <v>3.125E-2</v>
      </c>
      <c r="AA1185">
        <v>0</v>
      </c>
      <c r="AC1185">
        <v>15</v>
      </c>
      <c r="AD1185">
        <v>9</v>
      </c>
      <c r="AE1185" s="59">
        <v>0.8125</v>
      </c>
      <c r="AF1185" s="59">
        <v>0.84305555555555556</v>
      </c>
    </row>
    <row r="1186" spans="1:32" x14ac:dyDescent="0.25">
      <c r="A1186" t="s">
        <v>258</v>
      </c>
      <c r="B1186" t="s">
        <v>325</v>
      </c>
      <c r="C1186" t="s">
        <v>326</v>
      </c>
      <c r="E1186" t="s">
        <v>327</v>
      </c>
      <c r="F1186" t="s">
        <v>134</v>
      </c>
      <c r="H1186" t="s">
        <v>182</v>
      </c>
      <c r="I1186" t="s">
        <v>147</v>
      </c>
      <c r="J1186" t="s">
        <v>258</v>
      </c>
      <c r="K1186" t="s">
        <v>403</v>
      </c>
      <c r="L1186" t="s">
        <v>404</v>
      </c>
      <c r="N1186" t="s">
        <v>405</v>
      </c>
      <c r="O1186" t="s">
        <v>134</v>
      </c>
      <c r="Q1186" t="s">
        <v>230</v>
      </c>
      <c r="R1186" t="s">
        <v>183</v>
      </c>
      <c r="S1186" t="s">
        <v>128</v>
      </c>
      <c r="T1186" t="s">
        <v>220</v>
      </c>
      <c r="U1186" t="s">
        <v>129</v>
      </c>
      <c r="V1186" t="s">
        <v>77</v>
      </c>
      <c r="W1186" s="58">
        <v>43330</v>
      </c>
      <c r="X1186" s="59">
        <v>0.36458333333333331</v>
      </c>
      <c r="Y1186" s="59">
        <v>0.40625</v>
      </c>
      <c r="Z1186" s="59">
        <v>4.1666666666666664E-2</v>
      </c>
      <c r="AA1186">
        <v>0</v>
      </c>
      <c r="AC1186">
        <v>23</v>
      </c>
      <c r="AD1186">
        <v>11</v>
      </c>
      <c r="AE1186" s="59">
        <v>0.36458333333333331</v>
      </c>
      <c r="AF1186" s="59">
        <v>0.4055555555555555</v>
      </c>
    </row>
    <row r="1187" spans="1:32" x14ac:dyDescent="0.25">
      <c r="A1187" t="s">
        <v>274</v>
      </c>
      <c r="B1187" t="s">
        <v>321</v>
      </c>
      <c r="C1187" t="s">
        <v>322</v>
      </c>
      <c r="D1187" t="s">
        <v>323</v>
      </c>
      <c r="E1187" t="s">
        <v>324</v>
      </c>
      <c r="F1187" t="s">
        <v>134</v>
      </c>
      <c r="H1187" t="s">
        <v>184</v>
      </c>
      <c r="I1187" t="s">
        <v>147</v>
      </c>
      <c r="J1187" t="s">
        <v>258</v>
      </c>
      <c r="K1187" t="s">
        <v>403</v>
      </c>
      <c r="L1187" t="s">
        <v>404</v>
      </c>
      <c r="N1187" t="s">
        <v>405</v>
      </c>
      <c r="O1187" t="s">
        <v>134</v>
      </c>
      <c r="Q1187" t="s">
        <v>230</v>
      </c>
      <c r="R1187" t="s">
        <v>185</v>
      </c>
      <c r="S1187" t="s">
        <v>128</v>
      </c>
      <c r="T1187" t="s">
        <v>220</v>
      </c>
      <c r="U1187" t="s">
        <v>151</v>
      </c>
      <c r="V1187" t="s">
        <v>77</v>
      </c>
      <c r="W1187" s="58">
        <v>43330</v>
      </c>
      <c r="X1187" s="59">
        <v>0.41666666666666669</v>
      </c>
      <c r="Y1187" s="59">
        <v>0.45833333333333331</v>
      </c>
      <c r="Z1187" s="59">
        <v>4.1666666666666664E-2</v>
      </c>
      <c r="AA1187">
        <v>0</v>
      </c>
      <c r="AB1187">
        <v>2.2181999999999999</v>
      </c>
      <c r="AC1187">
        <v>20</v>
      </c>
      <c r="AD1187">
        <v>13</v>
      </c>
      <c r="AE1187" s="59">
        <v>0.41666666666666669</v>
      </c>
      <c r="AF1187" s="59">
        <v>0.45763888888888887</v>
      </c>
    </row>
    <row r="1188" spans="1:32" x14ac:dyDescent="0.25">
      <c r="A1188" t="s">
        <v>258</v>
      </c>
      <c r="B1188" t="s">
        <v>339</v>
      </c>
      <c r="C1188" t="s">
        <v>340</v>
      </c>
      <c r="D1188" t="s">
        <v>341</v>
      </c>
      <c r="E1188" t="s">
        <v>265</v>
      </c>
      <c r="F1188" t="s">
        <v>134</v>
      </c>
      <c r="H1188" t="s">
        <v>195</v>
      </c>
      <c r="I1188" t="s">
        <v>133</v>
      </c>
      <c r="J1188" t="s">
        <v>258</v>
      </c>
      <c r="K1188" t="s">
        <v>403</v>
      </c>
      <c r="L1188" t="s">
        <v>404</v>
      </c>
      <c r="N1188" t="s">
        <v>405</v>
      </c>
      <c r="O1188" t="s">
        <v>134</v>
      </c>
      <c r="Q1188" t="s">
        <v>230</v>
      </c>
      <c r="R1188" t="s">
        <v>196</v>
      </c>
      <c r="S1188" t="s">
        <v>128</v>
      </c>
      <c r="T1188" t="s">
        <v>220</v>
      </c>
      <c r="U1188" t="s">
        <v>129</v>
      </c>
      <c r="V1188" t="s">
        <v>77</v>
      </c>
      <c r="W1188" s="58">
        <v>43330</v>
      </c>
      <c r="X1188" s="59">
        <v>0.47916666666666669</v>
      </c>
      <c r="Y1188" s="59">
        <v>0.52083333333333337</v>
      </c>
      <c r="Z1188" s="59">
        <v>4.1666666666666664E-2</v>
      </c>
      <c r="AA1188">
        <v>0</v>
      </c>
      <c r="AB1188">
        <v>5.7728000000000002</v>
      </c>
      <c r="AC1188">
        <v>23</v>
      </c>
      <c r="AD1188">
        <v>11</v>
      </c>
      <c r="AE1188" s="59">
        <v>0.47916666666666669</v>
      </c>
      <c r="AF1188" s="59">
        <v>0.52013888888888882</v>
      </c>
    </row>
    <row r="1189" spans="1:32" x14ac:dyDescent="0.25">
      <c r="A1189" t="s">
        <v>258</v>
      </c>
      <c r="B1189" t="s">
        <v>339</v>
      </c>
      <c r="C1189" t="s">
        <v>340</v>
      </c>
      <c r="D1189" t="s">
        <v>341</v>
      </c>
      <c r="E1189" t="s">
        <v>265</v>
      </c>
      <c r="F1189" t="s">
        <v>134</v>
      </c>
      <c r="H1189" t="s">
        <v>195</v>
      </c>
      <c r="I1189" t="s">
        <v>133</v>
      </c>
      <c r="J1189" t="s">
        <v>258</v>
      </c>
      <c r="K1189" t="s">
        <v>403</v>
      </c>
      <c r="L1189" t="s">
        <v>404</v>
      </c>
      <c r="N1189" t="s">
        <v>405</v>
      </c>
      <c r="O1189" t="s">
        <v>134</v>
      </c>
      <c r="Q1189" t="s">
        <v>230</v>
      </c>
      <c r="R1189" t="s">
        <v>196</v>
      </c>
      <c r="S1189" t="s">
        <v>128</v>
      </c>
      <c r="T1189" t="s">
        <v>220</v>
      </c>
      <c r="U1189" t="s">
        <v>129</v>
      </c>
      <c r="V1189" t="s">
        <v>77</v>
      </c>
      <c r="W1189" s="58">
        <v>43330</v>
      </c>
      <c r="X1189" s="59">
        <v>0.77083333333333337</v>
      </c>
      <c r="Y1189" s="59">
        <v>0.8125</v>
      </c>
      <c r="Z1189" s="59">
        <v>4.1666666666666664E-2</v>
      </c>
      <c r="AA1189">
        <v>0</v>
      </c>
      <c r="AC1189">
        <v>23</v>
      </c>
      <c r="AD1189">
        <v>11</v>
      </c>
      <c r="AE1189" s="59">
        <v>0.77083333333333337</v>
      </c>
      <c r="AF1189" s="59">
        <v>0.81180555555555556</v>
      </c>
    </row>
    <row r="1190" spans="1:32" x14ac:dyDescent="0.25">
      <c r="A1190" t="s">
        <v>258</v>
      </c>
      <c r="B1190" t="s">
        <v>325</v>
      </c>
      <c r="C1190" t="s">
        <v>326</v>
      </c>
      <c r="E1190" t="s">
        <v>327</v>
      </c>
      <c r="F1190" t="s">
        <v>134</v>
      </c>
      <c r="H1190" t="s">
        <v>182</v>
      </c>
      <c r="I1190" t="s">
        <v>147</v>
      </c>
      <c r="J1190" t="s">
        <v>258</v>
      </c>
      <c r="K1190" t="s">
        <v>403</v>
      </c>
      <c r="L1190" t="s">
        <v>404</v>
      </c>
      <c r="N1190" t="s">
        <v>405</v>
      </c>
      <c r="O1190" t="s">
        <v>134</v>
      </c>
      <c r="Q1190" t="s">
        <v>230</v>
      </c>
      <c r="R1190" t="s">
        <v>183</v>
      </c>
      <c r="S1190" t="s">
        <v>128</v>
      </c>
      <c r="T1190" t="s">
        <v>220</v>
      </c>
      <c r="U1190" t="s">
        <v>129</v>
      </c>
      <c r="V1190" t="s">
        <v>71</v>
      </c>
      <c r="W1190" s="58">
        <v>43331</v>
      </c>
      <c r="X1190" s="59">
        <v>0.36458333333333331</v>
      </c>
      <c r="Y1190" s="59">
        <v>0.40625</v>
      </c>
      <c r="Z1190" s="59">
        <v>4.1666666666666664E-2</v>
      </c>
      <c r="AA1190">
        <v>0</v>
      </c>
      <c r="AC1190">
        <v>23</v>
      </c>
      <c r="AD1190">
        <v>11</v>
      </c>
      <c r="AE1190" s="59">
        <v>0.36458333333333331</v>
      </c>
      <c r="AF1190" s="59">
        <v>0.4055555555555555</v>
      </c>
    </row>
    <row r="1191" spans="1:32" x14ac:dyDescent="0.25">
      <c r="A1191" t="s">
        <v>274</v>
      </c>
      <c r="B1191" t="s">
        <v>321</v>
      </c>
      <c r="C1191" t="s">
        <v>322</v>
      </c>
      <c r="D1191" t="s">
        <v>323</v>
      </c>
      <c r="E1191" t="s">
        <v>324</v>
      </c>
      <c r="F1191" t="s">
        <v>134</v>
      </c>
      <c r="H1191" t="s">
        <v>184</v>
      </c>
      <c r="I1191" t="s">
        <v>147</v>
      </c>
      <c r="J1191" t="s">
        <v>258</v>
      </c>
      <c r="K1191" t="s">
        <v>403</v>
      </c>
      <c r="L1191" t="s">
        <v>404</v>
      </c>
      <c r="N1191" t="s">
        <v>405</v>
      </c>
      <c r="O1191" t="s">
        <v>134</v>
      </c>
      <c r="Q1191" t="s">
        <v>230</v>
      </c>
      <c r="R1191" t="s">
        <v>185</v>
      </c>
      <c r="S1191" t="s">
        <v>128</v>
      </c>
      <c r="T1191" t="s">
        <v>220</v>
      </c>
      <c r="U1191" t="s">
        <v>151</v>
      </c>
      <c r="V1191" t="s">
        <v>71</v>
      </c>
      <c r="W1191" s="58">
        <v>43331</v>
      </c>
      <c r="X1191" s="59">
        <v>0.41666666666666669</v>
      </c>
      <c r="Y1191" s="59">
        <v>0.45833333333333331</v>
      </c>
      <c r="Z1191" s="59">
        <v>4.1666666666666664E-2</v>
      </c>
      <c r="AA1191">
        <v>0</v>
      </c>
      <c r="AB1191">
        <v>2.2181999999999999</v>
      </c>
      <c r="AC1191">
        <v>20</v>
      </c>
      <c r="AD1191">
        <v>13</v>
      </c>
      <c r="AE1191" s="59">
        <v>0.41666666666666669</v>
      </c>
      <c r="AF1191" s="59">
        <v>0.45763888888888887</v>
      </c>
    </row>
    <row r="1192" spans="1:32" x14ac:dyDescent="0.25">
      <c r="A1192" t="s">
        <v>258</v>
      </c>
      <c r="B1192" t="s">
        <v>339</v>
      </c>
      <c r="C1192" t="s">
        <v>340</v>
      </c>
      <c r="D1192" t="s">
        <v>341</v>
      </c>
      <c r="E1192" t="s">
        <v>265</v>
      </c>
      <c r="F1192" t="s">
        <v>134</v>
      </c>
      <c r="H1192" t="s">
        <v>195</v>
      </c>
      <c r="I1192" t="s">
        <v>133</v>
      </c>
      <c r="J1192" t="s">
        <v>258</v>
      </c>
      <c r="K1192" t="s">
        <v>403</v>
      </c>
      <c r="L1192" t="s">
        <v>404</v>
      </c>
      <c r="N1192" t="s">
        <v>405</v>
      </c>
      <c r="O1192" t="s">
        <v>134</v>
      </c>
      <c r="Q1192" t="s">
        <v>230</v>
      </c>
      <c r="R1192" t="s">
        <v>196</v>
      </c>
      <c r="S1192" t="s">
        <v>128</v>
      </c>
      <c r="T1192" t="s">
        <v>220</v>
      </c>
      <c r="U1192" t="s">
        <v>129</v>
      </c>
      <c r="V1192" t="s">
        <v>71</v>
      </c>
      <c r="W1192" s="58">
        <v>43331</v>
      </c>
      <c r="X1192" s="59">
        <v>0.47916666666666669</v>
      </c>
      <c r="Y1192" s="59">
        <v>0.52083333333333337</v>
      </c>
      <c r="Z1192" s="59">
        <v>4.1666666666666664E-2</v>
      </c>
      <c r="AA1192">
        <v>0</v>
      </c>
      <c r="AB1192">
        <v>5.7728000000000002</v>
      </c>
      <c r="AC1192">
        <v>23</v>
      </c>
      <c r="AD1192">
        <v>11</v>
      </c>
      <c r="AE1192" s="59">
        <v>0.47916666666666669</v>
      </c>
      <c r="AF1192" s="59">
        <v>0.52013888888888882</v>
      </c>
    </row>
    <row r="1193" spans="1:32" x14ac:dyDescent="0.25">
      <c r="A1193" t="s">
        <v>274</v>
      </c>
      <c r="B1193" t="s">
        <v>321</v>
      </c>
      <c r="C1193" t="s">
        <v>322</v>
      </c>
      <c r="D1193" t="s">
        <v>323</v>
      </c>
      <c r="E1193" t="s">
        <v>324</v>
      </c>
      <c r="F1193" t="s">
        <v>134</v>
      </c>
      <c r="H1193" t="s">
        <v>184</v>
      </c>
      <c r="I1193" t="s">
        <v>147</v>
      </c>
      <c r="J1193" t="s">
        <v>258</v>
      </c>
      <c r="K1193" t="s">
        <v>403</v>
      </c>
      <c r="L1193" t="s">
        <v>404</v>
      </c>
      <c r="N1193" t="s">
        <v>405</v>
      </c>
      <c r="O1193" t="s">
        <v>134</v>
      </c>
      <c r="Q1193" t="s">
        <v>230</v>
      </c>
      <c r="R1193" t="s">
        <v>185</v>
      </c>
      <c r="S1193" t="s">
        <v>128</v>
      </c>
      <c r="T1193" t="s">
        <v>220</v>
      </c>
      <c r="U1193" t="s">
        <v>151</v>
      </c>
      <c r="V1193" t="s">
        <v>72</v>
      </c>
      <c r="W1193" s="58">
        <v>43332</v>
      </c>
      <c r="X1193" s="59">
        <v>0.83333333333333337</v>
      </c>
      <c r="Y1193" s="59">
        <v>0.86458333333333337</v>
      </c>
      <c r="Z1193" s="59">
        <v>3.125E-2</v>
      </c>
      <c r="AA1193">
        <v>0</v>
      </c>
      <c r="AC1193">
        <v>15</v>
      </c>
      <c r="AD1193">
        <v>9</v>
      </c>
      <c r="AE1193" s="59">
        <v>0.83333333333333337</v>
      </c>
      <c r="AF1193" s="59">
        <v>0.86388888888888893</v>
      </c>
    </row>
    <row r="1194" spans="1:32" x14ac:dyDescent="0.25">
      <c r="A1194" t="s">
        <v>274</v>
      </c>
      <c r="B1194" t="s">
        <v>321</v>
      </c>
      <c r="C1194" t="s">
        <v>322</v>
      </c>
      <c r="D1194" t="s">
        <v>323</v>
      </c>
      <c r="E1194" t="s">
        <v>324</v>
      </c>
      <c r="F1194" t="s">
        <v>134</v>
      </c>
      <c r="H1194" t="s">
        <v>184</v>
      </c>
      <c r="I1194" t="s">
        <v>147</v>
      </c>
      <c r="J1194" t="s">
        <v>258</v>
      </c>
      <c r="K1194" t="s">
        <v>403</v>
      </c>
      <c r="L1194" t="s">
        <v>404</v>
      </c>
      <c r="N1194" t="s">
        <v>405</v>
      </c>
      <c r="O1194" t="s">
        <v>134</v>
      </c>
      <c r="Q1194" t="s">
        <v>230</v>
      </c>
      <c r="R1194" t="s">
        <v>185</v>
      </c>
      <c r="S1194" t="s">
        <v>128</v>
      </c>
      <c r="T1194" t="s">
        <v>220</v>
      </c>
      <c r="U1194" t="s">
        <v>151</v>
      </c>
      <c r="V1194" t="s">
        <v>73</v>
      </c>
      <c r="W1194" s="58">
        <v>43333</v>
      </c>
      <c r="X1194" s="59">
        <v>0.83333333333333337</v>
      </c>
      <c r="Y1194" s="59">
        <v>0.86458333333333337</v>
      </c>
      <c r="Z1194" s="59">
        <v>3.125E-2</v>
      </c>
      <c r="AA1194">
        <v>0</v>
      </c>
      <c r="AC1194">
        <v>15</v>
      </c>
      <c r="AD1194">
        <v>9</v>
      </c>
      <c r="AE1194" s="59">
        <v>0.83333333333333337</v>
      </c>
      <c r="AF1194" s="59">
        <v>0.86388888888888893</v>
      </c>
    </row>
    <row r="1195" spans="1:32" x14ac:dyDescent="0.25">
      <c r="A1195" t="s">
        <v>274</v>
      </c>
      <c r="B1195" t="s">
        <v>321</v>
      </c>
      <c r="C1195" t="s">
        <v>322</v>
      </c>
      <c r="D1195" t="s">
        <v>323</v>
      </c>
      <c r="E1195" t="s">
        <v>324</v>
      </c>
      <c r="F1195" t="s">
        <v>134</v>
      </c>
      <c r="H1195" t="s">
        <v>184</v>
      </c>
      <c r="I1195" t="s">
        <v>147</v>
      </c>
      <c r="J1195" t="s">
        <v>258</v>
      </c>
      <c r="K1195" t="s">
        <v>403</v>
      </c>
      <c r="L1195" t="s">
        <v>404</v>
      </c>
      <c r="N1195" t="s">
        <v>405</v>
      </c>
      <c r="O1195" t="s">
        <v>134</v>
      </c>
      <c r="Q1195" t="s">
        <v>230</v>
      </c>
      <c r="R1195" t="s">
        <v>185</v>
      </c>
      <c r="S1195" t="s">
        <v>128</v>
      </c>
      <c r="T1195" t="s">
        <v>220</v>
      </c>
      <c r="U1195" t="s">
        <v>151</v>
      </c>
      <c r="V1195" t="s">
        <v>74</v>
      </c>
      <c r="W1195" s="58">
        <v>43334</v>
      </c>
      <c r="X1195" s="59">
        <v>0.82291666666666663</v>
      </c>
      <c r="Y1195" s="59">
        <v>0.85416666666666663</v>
      </c>
      <c r="Z1195" s="59">
        <v>3.125E-2</v>
      </c>
      <c r="AA1195">
        <v>0</v>
      </c>
      <c r="AC1195">
        <v>15</v>
      </c>
      <c r="AD1195">
        <v>9</v>
      </c>
      <c r="AE1195" s="59">
        <v>0.82291666666666663</v>
      </c>
      <c r="AF1195" s="59">
        <v>0.8534722222222223</v>
      </c>
    </row>
    <row r="1196" spans="1:32" x14ac:dyDescent="0.25">
      <c r="A1196" t="s">
        <v>274</v>
      </c>
      <c r="B1196" t="s">
        <v>321</v>
      </c>
      <c r="C1196" t="s">
        <v>322</v>
      </c>
      <c r="D1196" t="s">
        <v>323</v>
      </c>
      <c r="E1196" t="s">
        <v>324</v>
      </c>
      <c r="F1196" t="s">
        <v>134</v>
      </c>
      <c r="H1196" t="s">
        <v>184</v>
      </c>
      <c r="I1196" t="s">
        <v>147</v>
      </c>
      <c r="J1196" t="s">
        <v>258</v>
      </c>
      <c r="K1196" t="s">
        <v>403</v>
      </c>
      <c r="L1196" t="s">
        <v>404</v>
      </c>
      <c r="N1196" t="s">
        <v>405</v>
      </c>
      <c r="O1196" t="s">
        <v>134</v>
      </c>
      <c r="Q1196" t="s">
        <v>230</v>
      </c>
      <c r="R1196" t="s">
        <v>185</v>
      </c>
      <c r="S1196" t="s">
        <v>128</v>
      </c>
      <c r="T1196" t="s">
        <v>220</v>
      </c>
      <c r="U1196" t="s">
        <v>151</v>
      </c>
      <c r="V1196" t="s">
        <v>75</v>
      </c>
      <c r="W1196" s="58">
        <v>43335</v>
      </c>
      <c r="X1196" s="59">
        <v>0.82291666666666663</v>
      </c>
      <c r="Y1196" s="59">
        <v>0.85416666666666663</v>
      </c>
      <c r="Z1196" s="59">
        <v>3.125E-2</v>
      </c>
      <c r="AA1196">
        <v>0</v>
      </c>
      <c r="AC1196">
        <v>15</v>
      </c>
      <c r="AD1196">
        <v>9</v>
      </c>
      <c r="AE1196" s="59">
        <v>0.82291666666666663</v>
      </c>
      <c r="AF1196" s="59">
        <v>0.8534722222222223</v>
      </c>
    </row>
    <row r="1197" spans="1:32" x14ac:dyDescent="0.25">
      <c r="A1197" t="s">
        <v>274</v>
      </c>
      <c r="B1197" t="s">
        <v>321</v>
      </c>
      <c r="C1197" t="s">
        <v>322</v>
      </c>
      <c r="D1197" t="s">
        <v>323</v>
      </c>
      <c r="E1197" t="s">
        <v>324</v>
      </c>
      <c r="F1197" t="s">
        <v>134</v>
      </c>
      <c r="H1197" t="s">
        <v>184</v>
      </c>
      <c r="I1197" t="s">
        <v>147</v>
      </c>
      <c r="J1197" t="s">
        <v>258</v>
      </c>
      <c r="K1197" t="s">
        <v>403</v>
      </c>
      <c r="L1197" t="s">
        <v>404</v>
      </c>
      <c r="N1197" t="s">
        <v>405</v>
      </c>
      <c r="O1197" t="s">
        <v>134</v>
      </c>
      <c r="Q1197" t="s">
        <v>230</v>
      </c>
      <c r="R1197" t="s">
        <v>185</v>
      </c>
      <c r="S1197" t="s">
        <v>128</v>
      </c>
      <c r="T1197" t="s">
        <v>220</v>
      </c>
      <c r="U1197" t="s">
        <v>151</v>
      </c>
      <c r="V1197" t="s">
        <v>76</v>
      </c>
      <c r="W1197" s="58">
        <v>43336</v>
      </c>
      <c r="X1197" s="59">
        <v>0.85416666666666663</v>
      </c>
      <c r="Y1197" s="59">
        <v>0.88541666666666663</v>
      </c>
      <c r="Z1197" s="59">
        <v>3.125E-2</v>
      </c>
      <c r="AA1197">
        <v>0</v>
      </c>
      <c r="AC1197">
        <v>15</v>
      </c>
      <c r="AD1197">
        <v>9</v>
      </c>
      <c r="AE1197" s="59">
        <v>0.85416666666666663</v>
      </c>
      <c r="AF1197" s="59">
        <v>0.8847222222222223</v>
      </c>
    </row>
    <row r="1198" spans="1:32" x14ac:dyDescent="0.25">
      <c r="A1198" t="s">
        <v>258</v>
      </c>
      <c r="B1198" t="s">
        <v>325</v>
      </c>
      <c r="C1198" t="s">
        <v>326</v>
      </c>
      <c r="E1198" t="s">
        <v>327</v>
      </c>
      <c r="F1198" t="s">
        <v>134</v>
      </c>
      <c r="H1198" t="s">
        <v>182</v>
      </c>
      <c r="I1198" t="s">
        <v>147</v>
      </c>
      <c r="J1198" t="s">
        <v>258</v>
      </c>
      <c r="K1198" t="s">
        <v>403</v>
      </c>
      <c r="L1198" t="s">
        <v>404</v>
      </c>
      <c r="N1198" t="s">
        <v>405</v>
      </c>
      <c r="O1198" t="s">
        <v>134</v>
      </c>
      <c r="Q1198" t="s">
        <v>230</v>
      </c>
      <c r="R1198" t="s">
        <v>183</v>
      </c>
      <c r="S1198" t="s">
        <v>128</v>
      </c>
      <c r="T1198" t="s">
        <v>220</v>
      </c>
      <c r="U1198" t="s">
        <v>129</v>
      </c>
      <c r="V1198" t="s">
        <v>77</v>
      </c>
      <c r="W1198" s="58">
        <v>43337</v>
      </c>
      <c r="X1198" s="59">
        <v>0.36458333333333331</v>
      </c>
      <c r="Y1198" s="59">
        <v>0.40625</v>
      </c>
      <c r="Z1198" s="59">
        <v>4.1666666666666664E-2</v>
      </c>
      <c r="AA1198">
        <v>0</v>
      </c>
      <c r="AC1198">
        <v>23</v>
      </c>
      <c r="AD1198">
        <v>11</v>
      </c>
      <c r="AE1198" s="59">
        <v>0.36458333333333331</v>
      </c>
      <c r="AF1198" s="59">
        <v>0.4055555555555555</v>
      </c>
    </row>
    <row r="1199" spans="1:32" x14ac:dyDescent="0.25">
      <c r="A1199" t="s">
        <v>274</v>
      </c>
      <c r="B1199" t="s">
        <v>321</v>
      </c>
      <c r="C1199" t="s">
        <v>322</v>
      </c>
      <c r="D1199" t="s">
        <v>323</v>
      </c>
      <c r="E1199" t="s">
        <v>324</v>
      </c>
      <c r="F1199" t="s">
        <v>134</v>
      </c>
      <c r="H1199" t="s">
        <v>184</v>
      </c>
      <c r="I1199" t="s">
        <v>147</v>
      </c>
      <c r="J1199" t="s">
        <v>258</v>
      </c>
      <c r="K1199" t="s">
        <v>403</v>
      </c>
      <c r="L1199" t="s">
        <v>404</v>
      </c>
      <c r="N1199" t="s">
        <v>405</v>
      </c>
      <c r="O1199" t="s">
        <v>134</v>
      </c>
      <c r="Q1199" t="s">
        <v>230</v>
      </c>
      <c r="R1199" t="s">
        <v>185</v>
      </c>
      <c r="S1199" t="s">
        <v>128</v>
      </c>
      <c r="T1199" t="s">
        <v>220</v>
      </c>
      <c r="U1199" t="s">
        <v>151</v>
      </c>
      <c r="V1199" t="s">
        <v>77</v>
      </c>
      <c r="W1199" s="58">
        <v>43337</v>
      </c>
      <c r="X1199" s="59">
        <v>0.41666666666666669</v>
      </c>
      <c r="Y1199" s="59">
        <v>0.45833333333333331</v>
      </c>
      <c r="Z1199" s="59">
        <v>4.1666666666666664E-2</v>
      </c>
      <c r="AA1199">
        <v>0</v>
      </c>
      <c r="AB1199">
        <v>2.2181999999999999</v>
      </c>
      <c r="AC1199">
        <v>20</v>
      </c>
      <c r="AD1199">
        <v>13</v>
      </c>
      <c r="AE1199" s="59">
        <v>0.41666666666666669</v>
      </c>
      <c r="AF1199" s="59">
        <v>0.45763888888888887</v>
      </c>
    </row>
    <row r="1200" spans="1:32" x14ac:dyDescent="0.25">
      <c r="A1200" t="s">
        <v>258</v>
      </c>
      <c r="B1200" t="s">
        <v>281</v>
      </c>
      <c r="C1200" t="s">
        <v>282</v>
      </c>
      <c r="E1200" t="s">
        <v>283</v>
      </c>
      <c r="F1200" t="s">
        <v>134</v>
      </c>
      <c r="G1200" t="s">
        <v>218</v>
      </c>
      <c r="H1200" t="s">
        <v>146</v>
      </c>
      <c r="I1200" t="s">
        <v>147</v>
      </c>
      <c r="J1200" t="s">
        <v>258</v>
      </c>
      <c r="K1200" t="s">
        <v>403</v>
      </c>
      <c r="L1200" t="s">
        <v>404</v>
      </c>
      <c r="N1200" t="s">
        <v>405</v>
      </c>
      <c r="O1200" t="s">
        <v>134</v>
      </c>
      <c r="Q1200" t="s">
        <v>230</v>
      </c>
      <c r="R1200" t="s">
        <v>148</v>
      </c>
      <c r="S1200" t="s">
        <v>128</v>
      </c>
      <c r="T1200" t="s">
        <v>220</v>
      </c>
      <c r="U1200" t="s">
        <v>129</v>
      </c>
      <c r="V1200" t="s">
        <v>77</v>
      </c>
      <c r="W1200" s="58">
        <v>43337</v>
      </c>
      <c r="X1200" s="59">
        <v>0.47916666666666669</v>
      </c>
      <c r="Y1200" s="59">
        <v>0.52083333333333337</v>
      </c>
      <c r="Z1200" s="59">
        <v>4.1666666666666664E-2</v>
      </c>
      <c r="AA1200">
        <v>0</v>
      </c>
      <c r="AB1200">
        <v>1.9228000000000001</v>
      </c>
      <c r="AD1200">
        <v>11</v>
      </c>
      <c r="AE1200" s="59">
        <v>0.47916666666666669</v>
      </c>
      <c r="AF1200" s="59">
        <v>0.52013888888888882</v>
      </c>
    </row>
    <row r="1201" spans="1:32" x14ac:dyDescent="0.25">
      <c r="A1201" t="s">
        <v>274</v>
      </c>
      <c r="B1201" t="s">
        <v>321</v>
      </c>
      <c r="C1201" t="s">
        <v>322</v>
      </c>
      <c r="D1201" t="s">
        <v>323</v>
      </c>
      <c r="E1201" t="s">
        <v>324</v>
      </c>
      <c r="F1201" t="s">
        <v>134</v>
      </c>
      <c r="H1201" t="s">
        <v>184</v>
      </c>
      <c r="I1201" t="s">
        <v>147</v>
      </c>
      <c r="J1201" t="s">
        <v>258</v>
      </c>
      <c r="K1201" t="s">
        <v>403</v>
      </c>
      <c r="L1201" t="s">
        <v>404</v>
      </c>
      <c r="N1201" t="s">
        <v>405</v>
      </c>
      <c r="O1201" t="s">
        <v>134</v>
      </c>
      <c r="Q1201" t="s">
        <v>230</v>
      </c>
      <c r="R1201" t="s">
        <v>185</v>
      </c>
      <c r="S1201" t="s">
        <v>128</v>
      </c>
      <c r="T1201" t="s">
        <v>220</v>
      </c>
      <c r="U1201" t="s">
        <v>151</v>
      </c>
      <c r="V1201" t="s">
        <v>77</v>
      </c>
      <c r="W1201" s="58">
        <v>43337</v>
      </c>
      <c r="X1201" s="59">
        <v>0.84375</v>
      </c>
      <c r="Y1201" s="59">
        <v>0.875</v>
      </c>
      <c r="Z1201" s="59">
        <v>3.125E-2</v>
      </c>
      <c r="AA1201">
        <v>0</v>
      </c>
      <c r="AC1201">
        <v>15</v>
      </c>
      <c r="AD1201">
        <v>9.75</v>
      </c>
      <c r="AE1201" s="59">
        <v>0.84375</v>
      </c>
      <c r="AF1201" s="59">
        <v>0.87430555555555556</v>
      </c>
    </row>
    <row r="1202" spans="1:32" x14ac:dyDescent="0.25">
      <c r="A1202" t="s">
        <v>274</v>
      </c>
      <c r="B1202" t="s">
        <v>321</v>
      </c>
      <c r="C1202" t="s">
        <v>322</v>
      </c>
      <c r="D1202" t="s">
        <v>323</v>
      </c>
      <c r="E1202" t="s">
        <v>324</v>
      </c>
      <c r="F1202" t="s">
        <v>134</v>
      </c>
      <c r="H1202" t="s">
        <v>184</v>
      </c>
      <c r="I1202" t="s">
        <v>147</v>
      </c>
      <c r="J1202" t="s">
        <v>258</v>
      </c>
      <c r="K1202" t="s">
        <v>403</v>
      </c>
      <c r="L1202" t="s">
        <v>404</v>
      </c>
      <c r="N1202" t="s">
        <v>405</v>
      </c>
      <c r="O1202" t="s">
        <v>134</v>
      </c>
      <c r="Q1202" t="s">
        <v>230</v>
      </c>
      <c r="R1202" t="s">
        <v>185</v>
      </c>
      <c r="S1202" t="s">
        <v>128</v>
      </c>
      <c r="T1202" t="s">
        <v>220</v>
      </c>
      <c r="U1202" t="s">
        <v>151</v>
      </c>
      <c r="V1202" t="s">
        <v>72</v>
      </c>
      <c r="W1202" s="58">
        <v>43339</v>
      </c>
      <c r="X1202" s="59">
        <v>0.83333333333333337</v>
      </c>
      <c r="Y1202" s="59">
        <v>0.86458333333333337</v>
      </c>
      <c r="Z1202" s="59">
        <v>3.125E-2</v>
      </c>
      <c r="AA1202">
        <v>0</v>
      </c>
      <c r="AC1202">
        <v>15</v>
      </c>
      <c r="AD1202">
        <v>9</v>
      </c>
      <c r="AE1202" s="59">
        <v>0.83333333333333337</v>
      </c>
      <c r="AF1202" s="59">
        <v>0.86388888888888893</v>
      </c>
    </row>
    <row r="1203" spans="1:32" x14ac:dyDescent="0.25">
      <c r="A1203" t="s">
        <v>258</v>
      </c>
      <c r="B1203" t="s">
        <v>325</v>
      </c>
      <c r="C1203" t="s">
        <v>326</v>
      </c>
      <c r="E1203" t="s">
        <v>327</v>
      </c>
      <c r="F1203" t="s">
        <v>134</v>
      </c>
      <c r="H1203" t="s">
        <v>182</v>
      </c>
      <c r="I1203" t="s">
        <v>147</v>
      </c>
      <c r="J1203" t="s">
        <v>258</v>
      </c>
      <c r="K1203" t="s">
        <v>403</v>
      </c>
      <c r="L1203" t="s">
        <v>404</v>
      </c>
      <c r="N1203" t="s">
        <v>405</v>
      </c>
      <c r="O1203" t="s">
        <v>134</v>
      </c>
      <c r="Q1203" t="s">
        <v>230</v>
      </c>
      <c r="R1203" t="s">
        <v>183</v>
      </c>
      <c r="S1203" t="s">
        <v>128</v>
      </c>
      <c r="T1203" t="s">
        <v>220</v>
      </c>
      <c r="U1203" t="s">
        <v>129</v>
      </c>
      <c r="V1203" t="s">
        <v>73</v>
      </c>
      <c r="W1203" s="58">
        <v>43340</v>
      </c>
      <c r="X1203" s="59">
        <v>0.36458333333333331</v>
      </c>
      <c r="Y1203" s="59">
        <v>0.40625</v>
      </c>
      <c r="Z1203" s="59">
        <v>4.1666666666666664E-2</v>
      </c>
      <c r="AA1203">
        <v>0</v>
      </c>
      <c r="AC1203">
        <v>23</v>
      </c>
      <c r="AD1203">
        <v>12</v>
      </c>
      <c r="AE1203" s="59">
        <v>0.36458333333333331</v>
      </c>
      <c r="AF1203" s="59">
        <v>0.4055555555555555</v>
      </c>
    </row>
    <row r="1204" spans="1:32" x14ac:dyDescent="0.25">
      <c r="A1204" t="s">
        <v>258</v>
      </c>
      <c r="B1204" t="s">
        <v>325</v>
      </c>
      <c r="C1204" t="s">
        <v>326</v>
      </c>
      <c r="E1204" t="s">
        <v>327</v>
      </c>
      <c r="F1204" t="s">
        <v>134</v>
      </c>
      <c r="H1204" t="s">
        <v>182</v>
      </c>
      <c r="I1204" t="s">
        <v>147</v>
      </c>
      <c r="J1204" t="s">
        <v>258</v>
      </c>
      <c r="K1204" t="s">
        <v>403</v>
      </c>
      <c r="L1204" t="s">
        <v>404</v>
      </c>
      <c r="N1204" t="s">
        <v>405</v>
      </c>
      <c r="O1204" t="s">
        <v>134</v>
      </c>
      <c r="Q1204" t="s">
        <v>230</v>
      </c>
      <c r="R1204" t="s">
        <v>183</v>
      </c>
      <c r="S1204" t="s">
        <v>128</v>
      </c>
      <c r="T1204" t="s">
        <v>220</v>
      </c>
      <c r="U1204" t="s">
        <v>129</v>
      </c>
      <c r="V1204" t="s">
        <v>73</v>
      </c>
      <c r="W1204" s="58">
        <v>43340</v>
      </c>
      <c r="X1204" s="59">
        <v>0.5</v>
      </c>
      <c r="Y1204" s="59">
        <v>0.54166666666666663</v>
      </c>
      <c r="Z1204" s="59">
        <v>4.1666666666666664E-2</v>
      </c>
      <c r="AA1204">
        <v>0</v>
      </c>
      <c r="AB1204">
        <v>0</v>
      </c>
      <c r="AC1204">
        <v>23</v>
      </c>
      <c r="AD1204">
        <v>12</v>
      </c>
      <c r="AE1204" s="59">
        <v>0.5</v>
      </c>
      <c r="AF1204" s="59">
        <v>0.54097222222222219</v>
      </c>
    </row>
    <row r="1205" spans="1:32" x14ac:dyDescent="0.25">
      <c r="A1205" t="s">
        <v>274</v>
      </c>
      <c r="B1205" t="s">
        <v>321</v>
      </c>
      <c r="C1205" t="s">
        <v>322</v>
      </c>
      <c r="D1205" t="s">
        <v>323</v>
      </c>
      <c r="E1205" t="s">
        <v>324</v>
      </c>
      <c r="F1205" t="s">
        <v>134</v>
      </c>
      <c r="H1205" t="s">
        <v>184</v>
      </c>
      <c r="I1205" t="s">
        <v>147</v>
      </c>
      <c r="J1205" t="s">
        <v>258</v>
      </c>
      <c r="K1205" t="s">
        <v>403</v>
      </c>
      <c r="L1205" t="s">
        <v>404</v>
      </c>
      <c r="N1205" t="s">
        <v>405</v>
      </c>
      <c r="O1205" t="s">
        <v>134</v>
      </c>
      <c r="Q1205" t="s">
        <v>230</v>
      </c>
      <c r="R1205" t="s">
        <v>185</v>
      </c>
      <c r="S1205" t="s">
        <v>128</v>
      </c>
      <c r="T1205" t="s">
        <v>220</v>
      </c>
      <c r="U1205" t="s">
        <v>151</v>
      </c>
      <c r="V1205" t="s">
        <v>73</v>
      </c>
      <c r="W1205" s="58">
        <v>43340</v>
      </c>
      <c r="X1205" s="59">
        <v>0.875</v>
      </c>
      <c r="Y1205" s="59">
        <v>0.90625</v>
      </c>
      <c r="Z1205" s="59">
        <v>3.125E-2</v>
      </c>
      <c r="AA1205">
        <v>0</v>
      </c>
      <c r="AC1205">
        <v>15</v>
      </c>
      <c r="AD1205">
        <v>9</v>
      </c>
      <c r="AE1205" s="59">
        <v>0.875</v>
      </c>
      <c r="AF1205" s="59">
        <v>0.90555555555555556</v>
      </c>
    </row>
    <row r="1206" spans="1:32" x14ac:dyDescent="0.25">
      <c r="A1206" t="s">
        <v>274</v>
      </c>
      <c r="B1206" t="s">
        <v>321</v>
      </c>
      <c r="C1206" t="s">
        <v>322</v>
      </c>
      <c r="D1206" t="s">
        <v>323</v>
      </c>
      <c r="E1206" t="s">
        <v>324</v>
      </c>
      <c r="F1206" t="s">
        <v>134</v>
      </c>
      <c r="H1206" t="s">
        <v>184</v>
      </c>
      <c r="I1206" t="s">
        <v>147</v>
      </c>
      <c r="J1206" t="s">
        <v>258</v>
      </c>
      <c r="K1206" t="s">
        <v>403</v>
      </c>
      <c r="L1206" t="s">
        <v>404</v>
      </c>
      <c r="N1206" t="s">
        <v>405</v>
      </c>
      <c r="O1206" t="s">
        <v>134</v>
      </c>
      <c r="Q1206" t="s">
        <v>230</v>
      </c>
      <c r="R1206" t="s">
        <v>185</v>
      </c>
      <c r="S1206" t="s">
        <v>128</v>
      </c>
      <c r="T1206" t="s">
        <v>220</v>
      </c>
      <c r="U1206" t="s">
        <v>151</v>
      </c>
      <c r="V1206" t="s">
        <v>74</v>
      </c>
      <c r="W1206" s="58">
        <v>43341</v>
      </c>
      <c r="X1206" s="59">
        <v>0.8125</v>
      </c>
      <c r="Y1206" s="59">
        <v>0.84375</v>
      </c>
      <c r="Z1206" s="59">
        <v>3.125E-2</v>
      </c>
      <c r="AA1206">
        <v>0</v>
      </c>
      <c r="AC1206">
        <v>15</v>
      </c>
      <c r="AD1206">
        <v>9</v>
      </c>
      <c r="AE1206" s="59">
        <v>0.8125</v>
      </c>
      <c r="AF1206" s="59">
        <v>0.84305555555555556</v>
      </c>
    </row>
    <row r="1207" spans="1:32" x14ac:dyDescent="0.25">
      <c r="A1207" t="s">
        <v>274</v>
      </c>
      <c r="B1207" t="s">
        <v>336</v>
      </c>
      <c r="C1207" t="s">
        <v>337</v>
      </c>
      <c r="E1207" t="s">
        <v>338</v>
      </c>
      <c r="F1207" t="s">
        <v>134</v>
      </c>
      <c r="H1207" t="s">
        <v>186</v>
      </c>
      <c r="I1207" t="s">
        <v>147</v>
      </c>
      <c r="J1207" t="s">
        <v>258</v>
      </c>
      <c r="K1207" t="s">
        <v>403</v>
      </c>
      <c r="L1207" t="s">
        <v>404</v>
      </c>
      <c r="N1207" t="s">
        <v>405</v>
      </c>
      <c r="O1207" t="s">
        <v>134</v>
      </c>
      <c r="Q1207" t="s">
        <v>230</v>
      </c>
      <c r="R1207" t="s">
        <v>187</v>
      </c>
      <c r="S1207" t="s">
        <v>128</v>
      </c>
      <c r="T1207" t="s">
        <v>220</v>
      </c>
      <c r="U1207" t="s">
        <v>151</v>
      </c>
      <c r="V1207" t="s">
        <v>75</v>
      </c>
      <c r="W1207" s="58">
        <v>43342</v>
      </c>
      <c r="X1207" s="59">
        <v>0.375</v>
      </c>
      <c r="Y1207" s="59">
        <v>0.41666666666666669</v>
      </c>
      <c r="Z1207" s="59">
        <v>4.1666666666666664E-2</v>
      </c>
      <c r="AA1207">
        <v>0</v>
      </c>
      <c r="AC1207">
        <v>20</v>
      </c>
      <c r="AD1207">
        <v>12</v>
      </c>
      <c r="AE1207" s="59">
        <v>0.375</v>
      </c>
      <c r="AF1207" s="59">
        <v>0.41597222222222219</v>
      </c>
    </row>
    <row r="1208" spans="1:32" x14ac:dyDescent="0.25">
      <c r="A1208" t="s">
        <v>258</v>
      </c>
      <c r="B1208" t="s">
        <v>325</v>
      </c>
      <c r="C1208" t="s">
        <v>326</v>
      </c>
      <c r="E1208" t="s">
        <v>327</v>
      </c>
      <c r="F1208" t="s">
        <v>134</v>
      </c>
      <c r="H1208" t="s">
        <v>182</v>
      </c>
      <c r="I1208" t="s">
        <v>147</v>
      </c>
      <c r="J1208" t="s">
        <v>258</v>
      </c>
      <c r="K1208" t="s">
        <v>403</v>
      </c>
      <c r="L1208" t="s">
        <v>404</v>
      </c>
      <c r="N1208" t="s">
        <v>405</v>
      </c>
      <c r="O1208" t="s">
        <v>134</v>
      </c>
      <c r="Q1208" t="s">
        <v>230</v>
      </c>
      <c r="R1208" t="s">
        <v>183</v>
      </c>
      <c r="S1208" t="s">
        <v>128</v>
      </c>
      <c r="T1208" t="s">
        <v>220</v>
      </c>
      <c r="U1208" t="s">
        <v>129</v>
      </c>
      <c r="V1208" t="s">
        <v>77</v>
      </c>
      <c r="W1208" s="58">
        <v>43344</v>
      </c>
      <c r="X1208" s="59">
        <v>0.36458333333333331</v>
      </c>
      <c r="Y1208" s="59">
        <v>0.40625</v>
      </c>
      <c r="Z1208" s="59">
        <v>4.1666666666666664E-2</v>
      </c>
      <c r="AA1208">
        <v>0</v>
      </c>
      <c r="AC1208">
        <v>23</v>
      </c>
      <c r="AD1208">
        <v>11</v>
      </c>
      <c r="AE1208" s="59">
        <v>0.36458333333333331</v>
      </c>
      <c r="AF1208" s="59">
        <v>0.4055555555555555</v>
      </c>
    </row>
    <row r="1209" spans="1:32" x14ac:dyDescent="0.25">
      <c r="A1209" t="s">
        <v>274</v>
      </c>
      <c r="B1209" t="s">
        <v>321</v>
      </c>
      <c r="C1209" t="s">
        <v>322</v>
      </c>
      <c r="D1209" t="s">
        <v>323</v>
      </c>
      <c r="E1209" t="s">
        <v>324</v>
      </c>
      <c r="F1209" t="s">
        <v>134</v>
      </c>
      <c r="H1209" t="s">
        <v>184</v>
      </c>
      <c r="I1209" t="s">
        <v>147</v>
      </c>
      <c r="J1209" t="s">
        <v>258</v>
      </c>
      <c r="K1209" t="s">
        <v>403</v>
      </c>
      <c r="L1209" t="s">
        <v>404</v>
      </c>
      <c r="N1209" t="s">
        <v>405</v>
      </c>
      <c r="O1209" t="s">
        <v>134</v>
      </c>
      <c r="Q1209" t="s">
        <v>230</v>
      </c>
      <c r="R1209" t="s">
        <v>185</v>
      </c>
      <c r="S1209" t="s">
        <v>128</v>
      </c>
      <c r="T1209" t="s">
        <v>220</v>
      </c>
      <c r="U1209" t="s">
        <v>151</v>
      </c>
      <c r="V1209" t="s">
        <v>77</v>
      </c>
      <c r="W1209" s="58">
        <v>43344</v>
      </c>
      <c r="X1209" s="59">
        <v>0.41666666666666669</v>
      </c>
      <c r="Y1209" s="59">
        <v>0.45833333333333331</v>
      </c>
      <c r="Z1209" s="59">
        <v>4.1666666666666664E-2</v>
      </c>
      <c r="AA1209">
        <v>4</v>
      </c>
      <c r="AB1209">
        <v>2.2181999999999999</v>
      </c>
      <c r="AC1209">
        <v>20</v>
      </c>
      <c r="AD1209">
        <v>13</v>
      </c>
      <c r="AE1209" s="59">
        <v>0.41666666666666669</v>
      </c>
      <c r="AF1209" s="59">
        <v>0.45763888888888887</v>
      </c>
    </row>
    <row r="1210" spans="1:32" x14ac:dyDescent="0.25">
      <c r="A1210" t="s">
        <v>274</v>
      </c>
      <c r="B1210" t="s">
        <v>321</v>
      </c>
      <c r="C1210" t="s">
        <v>322</v>
      </c>
      <c r="D1210" t="s">
        <v>323</v>
      </c>
      <c r="E1210" t="s">
        <v>324</v>
      </c>
      <c r="F1210" t="s">
        <v>134</v>
      </c>
      <c r="H1210" t="s">
        <v>184</v>
      </c>
      <c r="I1210" t="s">
        <v>147</v>
      </c>
      <c r="J1210" t="s">
        <v>258</v>
      </c>
      <c r="K1210" t="s">
        <v>403</v>
      </c>
      <c r="L1210" t="s">
        <v>404</v>
      </c>
      <c r="N1210" t="s">
        <v>405</v>
      </c>
      <c r="O1210" t="s">
        <v>134</v>
      </c>
      <c r="Q1210" t="s">
        <v>230</v>
      </c>
      <c r="R1210" t="s">
        <v>185</v>
      </c>
      <c r="S1210" t="s">
        <v>128</v>
      </c>
      <c r="T1210" t="s">
        <v>220</v>
      </c>
      <c r="U1210" t="s">
        <v>151</v>
      </c>
      <c r="V1210" t="s">
        <v>77</v>
      </c>
      <c r="W1210" s="58">
        <v>43344</v>
      </c>
      <c r="X1210" s="59">
        <v>0.8125</v>
      </c>
      <c r="Y1210" s="59">
        <v>0.84375</v>
      </c>
      <c r="Z1210" s="59">
        <v>3.125E-2</v>
      </c>
      <c r="AA1210">
        <v>0</v>
      </c>
      <c r="AC1210">
        <v>15</v>
      </c>
      <c r="AD1210">
        <v>9.75</v>
      </c>
      <c r="AE1210" s="59">
        <v>0.8125</v>
      </c>
      <c r="AF1210" s="59">
        <v>0.84305555555555556</v>
      </c>
    </row>
    <row r="1211" spans="1:32" x14ac:dyDescent="0.25">
      <c r="A1211" t="s">
        <v>258</v>
      </c>
      <c r="B1211" t="s">
        <v>325</v>
      </c>
      <c r="C1211" t="s">
        <v>326</v>
      </c>
      <c r="E1211" t="s">
        <v>327</v>
      </c>
      <c r="F1211" t="s">
        <v>134</v>
      </c>
      <c r="H1211" t="s">
        <v>182</v>
      </c>
      <c r="I1211" t="s">
        <v>147</v>
      </c>
      <c r="J1211" t="s">
        <v>258</v>
      </c>
      <c r="K1211" t="s">
        <v>403</v>
      </c>
      <c r="L1211" t="s">
        <v>404</v>
      </c>
      <c r="N1211" t="s">
        <v>405</v>
      </c>
      <c r="O1211" t="s">
        <v>134</v>
      </c>
      <c r="Q1211" t="s">
        <v>230</v>
      </c>
      <c r="R1211" t="s">
        <v>183</v>
      </c>
      <c r="S1211" t="s">
        <v>128</v>
      </c>
      <c r="T1211" t="s">
        <v>220</v>
      </c>
      <c r="U1211" t="s">
        <v>129</v>
      </c>
      <c r="V1211" t="s">
        <v>71</v>
      </c>
      <c r="W1211" s="58">
        <v>43345</v>
      </c>
      <c r="X1211" s="59">
        <v>0.36458333333333331</v>
      </c>
      <c r="Y1211" s="59">
        <v>0.40625</v>
      </c>
      <c r="Z1211" s="59">
        <v>4.1666666666666664E-2</v>
      </c>
      <c r="AA1211">
        <v>0</v>
      </c>
      <c r="AC1211">
        <v>23</v>
      </c>
      <c r="AD1211">
        <v>11</v>
      </c>
      <c r="AE1211" s="59">
        <v>0.36458333333333331</v>
      </c>
      <c r="AF1211" s="59">
        <v>0.4055555555555555</v>
      </c>
    </row>
    <row r="1212" spans="1:32" x14ac:dyDescent="0.25">
      <c r="A1212" t="s">
        <v>274</v>
      </c>
      <c r="B1212" t="s">
        <v>321</v>
      </c>
      <c r="C1212" t="s">
        <v>322</v>
      </c>
      <c r="D1212" t="s">
        <v>323</v>
      </c>
      <c r="E1212" t="s">
        <v>324</v>
      </c>
      <c r="F1212" t="s">
        <v>134</v>
      </c>
      <c r="H1212" t="s">
        <v>184</v>
      </c>
      <c r="I1212" t="s">
        <v>147</v>
      </c>
      <c r="J1212" t="s">
        <v>258</v>
      </c>
      <c r="K1212" t="s">
        <v>403</v>
      </c>
      <c r="L1212" t="s">
        <v>404</v>
      </c>
      <c r="N1212" t="s">
        <v>405</v>
      </c>
      <c r="O1212" t="s">
        <v>134</v>
      </c>
      <c r="Q1212" t="s">
        <v>230</v>
      </c>
      <c r="R1212" t="s">
        <v>185</v>
      </c>
      <c r="S1212" t="s">
        <v>128</v>
      </c>
      <c r="T1212" t="s">
        <v>220</v>
      </c>
      <c r="U1212" t="s">
        <v>151</v>
      </c>
      <c r="V1212" t="s">
        <v>71</v>
      </c>
      <c r="W1212" s="58">
        <v>43345</v>
      </c>
      <c r="X1212" s="59">
        <v>0.41666666666666669</v>
      </c>
      <c r="Y1212" s="59">
        <v>0.45833333333333331</v>
      </c>
      <c r="Z1212" s="59">
        <v>4.1666666666666664E-2</v>
      </c>
      <c r="AA1212">
        <v>4</v>
      </c>
      <c r="AB1212">
        <v>2.2181999999999999</v>
      </c>
      <c r="AC1212">
        <v>20</v>
      </c>
      <c r="AD1212">
        <v>13</v>
      </c>
      <c r="AE1212" s="59">
        <v>0.41666666666666669</v>
      </c>
      <c r="AF1212" s="59">
        <v>0.45763888888888887</v>
      </c>
    </row>
    <row r="1213" spans="1:32" x14ac:dyDescent="0.25">
      <c r="A1213" t="s">
        <v>258</v>
      </c>
      <c r="B1213" t="s">
        <v>325</v>
      </c>
      <c r="C1213" t="s">
        <v>326</v>
      </c>
      <c r="E1213" t="s">
        <v>327</v>
      </c>
      <c r="F1213" t="s">
        <v>134</v>
      </c>
      <c r="H1213" t="s">
        <v>182</v>
      </c>
      <c r="I1213" t="s">
        <v>147</v>
      </c>
      <c r="J1213" t="s">
        <v>258</v>
      </c>
      <c r="K1213" t="s">
        <v>403</v>
      </c>
      <c r="L1213" t="s">
        <v>404</v>
      </c>
      <c r="N1213" t="s">
        <v>405</v>
      </c>
      <c r="O1213" t="s">
        <v>134</v>
      </c>
      <c r="Q1213" t="s">
        <v>230</v>
      </c>
      <c r="R1213" t="s">
        <v>183</v>
      </c>
      <c r="S1213" t="s">
        <v>128</v>
      </c>
      <c r="T1213" t="s">
        <v>220</v>
      </c>
      <c r="U1213" t="s">
        <v>129</v>
      </c>
      <c r="V1213" t="s">
        <v>71</v>
      </c>
      <c r="W1213" s="58">
        <v>43345</v>
      </c>
      <c r="X1213" s="59">
        <v>0.48958333333333331</v>
      </c>
      <c r="Y1213" s="59">
        <v>0.53125</v>
      </c>
      <c r="Z1213" s="59">
        <v>4.1666666666666664E-2</v>
      </c>
      <c r="AA1213">
        <v>4</v>
      </c>
      <c r="AB1213">
        <v>2.2181999999999999</v>
      </c>
      <c r="AC1213">
        <v>23</v>
      </c>
      <c r="AD1213">
        <v>11</v>
      </c>
      <c r="AE1213" s="59">
        <v>0.48958333333333331</v>
      </c>
      <c r="AF1213" s="59">
        <v>0.53055555555555556</v>
      </c>
    </row>
    <row r="1214" spans="1:32" x14ac:dyDescent="0.25">
      <c r="A1214" t="s">
        <v>258</v>
      </c>
      <c r="B1214" t="s">
        <v>278</v>
      </c>
      <c r="C1214" t="s">
        <v>279</v>
      </c>
      <c r="E1214" t="s">
        <v>280</v>
      </c>
      <c r="F1214" t="s">
        <v>134</v>
      </c>
      <c r="H1214" t="s">
        <v>144</v>
      </c>
      <c r="I1214" t="s">
        <v>133</v>
      </c>
      <c r="J1214" t="s">
        <v>258</v>
      </c>
      <c r="K1214" t="s">
        <v>403</v>
      </c>
      <c r="L1214" t="s">
        <v>404</v>
      </c>
      <c r="N1214" t="s">
        <v>405</v>
      </c>
      <c r="O1214" t="s">
        <v>134</v>
      </c>
      <c r="Q1214" t="s">
        <v>230</v>
      </c>
      <c r="R1214" t="s">
        <v>145</v>
      </c>
      <c r="S1214" t="s">
        <v>128</v>
      </c>
      <c r="T1214" t="s">
        <v>220</v>
      </c>
      <c r="U1214" t="s">
        <v>129</v>
      </c>
      <c r="V1214" t="s">
        <v>71</v>
      </c>
      <c r="W1214" s="58">
        <v>43345</v>
      </c>
      <c r="X1214" s="59">
        <v>0.54166666666666663</v>
      </c>
      <c r="Y1214" s="59">
        <v>0.58333333333333337</v>
      </c>
      <c r="Z1214" s="59">
        <v>4.1666666666666664E-2</v>
      </c>
      <c r="AA1214">
        <v>12</v>
      </c>
      <c r="AB1214">
        <v>9.1999999999999993</v>
      </c>
      <c r="AC1214">
        <v>23</v>
      </c>
      <c r="AD1214">
        <v>11</v>
      </c>
      <c r="AE1214" s="59">
        <v>0.54166666666666663</v>
      </c>
      <c r="AF1214" s="59">
        <v>0.58263888888888882</v>
      </c>
    </row>
    <row r="1215" spans="1:32" x14ac:dyDescent="0.25">
      <c r="A1215" t="s">
        <v>274</v>
      </c>
      <c r="B1215" t="s">
        <v>321</v>
      </c>
      <c r="C1215" t="s">
        <v>322</v>
      </c>
      <c r="D1215" t="s">
        <v>323</v>
      </c>
      <c r="E1215" t="s">
        <v>324</v>
      </c>
      <c r="F1215" t="s">
        <v>134</v>
      </c>
      <c r="H1215" t="s">
        <v>184</v>
      </c>
      <c r="I1215" t="s">
        <v>147</v>
      </c>
      <c r="J1215" t="s">
        <v>258</v>
      </c>
      <c r="K1215" t="s">
        <v>403</v>
      </c>
      <c r="L1215" t="s">
        <v>404</v>
      </c>
      <c r="N1215" t="s">
        <v>405</v>
      </c>
      <c r="O1215" t="s">
        <v>134</v>
      </c>
      <c r="Q1215" t="s">
        <v>230</v>
      </c>
      <c r="R1215" t="s">
        <v>185</v>
      </c>
      <c r="S1215" t="s">
        <v>128</v>
      </c>
      <c r="T1215" t="s">
        <v>220</v>
      </c>
      <c r="U1215" t="s">
        <v>151</v>
      </c>
      <c r="V1215" t="s">
        <v>71</v>
      </c>
      <c r="W1215" s="58">
        <v>43345</v>
      </c>
      <c r="X1215" s="59">
        <v>0.8569444444444444</v>
      </c>
      <c r="Y1215" s="59">
        <v>0.8881944444444444</v>
      </c>
      <c r="Z1215" s="59">
        <v>3.125E-2</v>
      </c>
      <c r="AA1215">
        <v>0</v>
      </c>
      <c r="AC1215">
        <v>15</v>
      </c>
      <c r="AD1215">
        <v>9.75</v>
      </c>
      <c r="AE1215" s="59">
        <v>0.8569444444444444</v>
      </c>
      <c r="AF1215" s="59">
        <v>0.88750000000000007</v>
      </c>
    </row>
    <row r="1216" spans="1:32" x14ac:dyDescent="0.25">
      <c r="A1216" t="s">
        <v>274</v>
      </c>
      <c r="B1216" t="s">
        <v>321</v>
      </c>
      <c r="C1216" t="s">
        <v>322</v>
      </c>
      <c r="D1216" t="s">
        <v>323</v>
      </c>
      <c r="E1216" t="s">
        <v>324</v>
      </c>
      <c r="F1216" t="s">
        <v>134</v>
      </c>
      <c r="H1216" t="s">
        <v>184</v>
      </c>
      <c r="I1216" t="s">
        <v>147</v>
      </c>
      <c r="J1216" t="s">
        <v>258</v>
      </c>
      <c r="K1216" t="s">
        <v>403</v>
      </c>
      <c r="L1216" t="s">
        <v>404</v>
      </c>
      <c r="N1216" t="s">
        <v>405</v>
      </c>
      <c r="O1216" t="s">
        <v>134</v>
      </c>
      <c r="Q1216" t="s">
        <v>230</v>
      </c>
      <c r="R1216" t="s">
        <v>185</v>
      </c>
      <c r="S1216" t="s">
        <v>128</v>
      </c>
      <c r="T1216" t="s">
        <v>220</v>
      </c>
      <c r="U1216" t="s">
        <v>151</v>
      </c>
      <c r="V1216" t="s">
        <v>72</v>
      </c>
      <c r="W1216" s="58">
        <v>43346</v>
      </c>
      <c r="X1216" s="59">
        <v>0.83472222222222225</v>
      </c>
      <c r="Y1216" s="59">
        <v>0.86597222222222225</v>
      </c>
      <c r="Z1216" s="59">
        <v>3.125E-2</v>
      </c>
      <c r="AA1216">
        <v>0</v>
      </c>
      <c r="AC1216">
        <v>15</v>
      </c>
      <c r="AD1216">
        <v>9</v>
      </c>
      <c r="AE1216" s="59">
        <v>0.83472222222222225</v>
      </c>
      <c r="AF1216" s="59">
        <v>0.8652777777777777</v>
      </c>
    </row>
    <row r="1217" spans="1:32" x14ac:dyDescent="0.25">
      <c r="A1217" t="s">
        <v>274</v>
      </c>
      <c r="B1217" t="s">
        <v>321</v>
      </c>
      <c r="C1217" t="s">
        <v>322</v>
      </c>
      <c r="D1217" t="s">
        <v>323</v>
      </c>
      <c r="E1217" t="s">
        <v>324</v>
      </c>
      <c r="F1217" t="s">
        <v>134</v>
      </c>
      <c r="H1217" t="s">
        <v>184</v>
      </c>
      <c r="I1217" t="s">
        <v>147</v>
      </c>
      <c r="J1217" t="s">
        <v>258</v>
      </c>
      <c r="K1217" t="s">
        <v>403</v>
      </c>
      <c r="L1217" t="s">
        <v>404</v>
      </c>
      <c r="N1217" t="s">
        <v>405</v>
      </c>
      <c r="O1217" t="s">
        <v>134</v>
      </c>
      <c r="Q1217" t="s">
        <v>230</v>
      </c>
      <c r="R1217" t="s">
        <v>185</v>
      </c>
      <c r="S1217" t="s">
        <v>128</v>
      </c>
      <c r="T1217" t="s">
        <v>220</v>
      </c>
      <c r="U1217" t="s">
        <v>151</v>
      </c>
      <c r="V1217" t="s">
        <v>73</v>
      </c>
      <c r="W1217" s="58">
        <v>43347</v>
      </c>
      <c r="X1217" s="59">
        <v>0.86111111111111116</v>
      </c>
      <c r="Y1217" s="59">
        <v>0.89236111111111116</v>
      </c>
      <c r="Z1217" s="59">
        <v>3.125E-2</v>
      </c>
      <c r="AA1217">
        <v>0</v>
      </c>
      <c r="AC1217">
        <v>15</v>
      </c>
      <c r="AD1217">
        <v>9</v>
      </c>
      <c r="AE1217" s="59">
        <v>0.86111111111111116</v>
      </c>
      <c r="AF1217" s="59">
        <v>0.89166666666666661</v>
      </c>
    </row>
    <row r="1218" spans="1:32" x14ac:dyDescent="0.25">
      <c r="A1218" t="s">
        <v>274</v>
      </c>
      <c r="B1218" t="s">
        <v>321</v>
      </c>
      <c r="C1218" t="s">
        <v>322</v>
      </c>
      <c r="D1218" t="s">
        <v>323</v>
      </c>
      <c r="E1218" t="s">
        <v>324</v>
      </c>
      <c r="F1218" t="s">
        <v>134</v>
      </c>
      <c r="H1218" t="s">
        <v>184</v>
      </c>
      <c r="I1218" t="s">
        <v>147</v>
      </c>
      <c r="J1218" t="s">
        <v>258</v>
      </c>
      <c r="K1218" t="s">
        <v>403</v>
      </c>
      <c r="L1218" t="s">
        <v>404</v>
      </c>
      <c r="N1218" t="s">
        <v>405</v>
      </c>
      <c r="O1218" t="s">
        <v>134</v>
      </c>
      <c r="Q1218" t="s">
        <v>230</v>
      </c>
      <c r="R1218" t="s">
        <v>185</v>
      </c>
      <c r="S1218" t="s">
        <v>128</v>
      </c>
      <c r="T1218" t="s">
        <v>220</v>
      </c>
      <c r="U1218" t="s">
        <v>151</v>
      </c>
      <c r="V1218" t="s">
        <v>74</v>
      </c>
      <c r="W1218" s="58">
        <v>43348</v>
      </c>
      <c r="X1218" s="59">
        <v>0.8125</v>
      </c>
      <c r="Y1218" s="59">
        <v>0.84375</v>
      </c>
      <c r="Z1218" s="59">
        <v>3.125E-2</v>
      </c>
      <c r="AA1218">
        <v>0</v>
      </c>
      <c r="AC1218">
        <v>15</v>
      </c>
      <c r="AD1218">
        <v>9</v>
      </c>
      <c r="AE1218" s="59">
        <v>0.8125</v>
      </c>
      <c r="AF1218" s="59">
        <v>0.84305555555555556</v>
      </c>
    </row>
    <row r="1219" spans="1:32" x14ac:dyDescent="0.25">
      <c r="A1219" t="s">
        <v>274</v>
      </c>
      <c r="B1219" t="s">
        <v>321</v>
      </c>
      <c r="C1219" t="s">
        <v>322</v>
      </c>
      <c r="D1219" t="s">
        <v>323</v>
      </c>
      <c r="E1219" t="s">
        <v>324</v>
      </c>
      <c r="F1219" t="s">
        <v>134</v>
      </c>
      <c r="H1219" t="s">
        <v>184</v>
      </c>
      <c r="I1219" t="s">
        <v>147</v>
      </c>
      <c r="J1219" t="s">
        <v>258</v>
      </c>
      <c r="K1219" t="s">
        <v>403</v>
      </c>
      <c r="L1219" t="s">
        <v>404</v>
      </c>
      <c r="N1219" t="s">
        <v>405</v>
      </c>
      <c r="O1219" t="s">
        <v>134</v>
      </c>
      <c r="Q1219" t="s">
        <v>230</v>
      </c>
      <c r="R1219" t="s">
        <v>185</v>
      </c>
      <c r="S1219" t="s">
        <v>128</v>
      </c>
      <c r="T1219" t="s">
        <v>220</v>
      </c>
      <c r="U1219" t="s">
        <v>151</v>
      </c>
      <c r="V1219" t="s">
        <v>75</v>
      </c>
      <c r="W1219" s="58">
        <v>43349</v>
      </c>
      <c r="X1219" s="59">
        <v>0.8125</v>
      </c>
      <c r="Y1219" s="59">
        <v>0.84375</v>
      </c>
      <c r="Z1219" s="59">
        <v>3.125E-2</v>
      </c>
      <c r="AA1219">
        <v>0</v>
      </c>
      <c r="AC1219">
        <v>15</v>
      </c>
      <c r="AD1219">
        <v>9</v>
      </c>
      <c r="AE1219" s="59">
        <v>0.8125</v>
      </c>
      <c r="AF1219" s="59">
        <v>0.84305555555555556</v>
      </c>
    </row>
    <row r="1220" spans="1:32" x14ac:dyDescent="0.25">
      <c r="A1220" t="s">
        <v>258</v>
      </c>
      <c r="B1220" t="s">
        <v>325</v>
      </c>
      <c r="C1220" t="s">
        <v>326</v>
      </c>
      <c r="E1220" t="s">
        <v>327</v>
      </c>
      <c r="F1220" t="s">
        <v>134</v>
      </c>
      <c r="H1220" t="s">
        <v>182</v>
      </c>
      <c r="I1220" t="s">
        <v>147</v>
      </c>
      <c r="J1220" t="s">
        <v>258</v>
      </c>
      <c r="K1220" t="s">
        <v>403</v>
      </c>
      <c r="L1220" t="s">
        <v>404</v>
      </c>
      <c r="N1220" t="s">
        <v>405</v>
      </c>
      <c r="O1220" t="s">
        <v>134</v>
      </c>
      <c r="Q1220" t="s">
        <v>230</v>
      </c>
      <c r="R1220" t="s">
        <v>183</v>
      </c>
      <c r="S1220" t="s">
        <v>128</v>
      </c>
      <c r="T1220" t="s">
        <v>220</v>
      </c>
      <c r="U1220" t="s">
        <v>129</v>
      </c>
      <c r="V1220" t="s">
        <v>76</v>
      </c>
      <c r="W1220" s="58">
        <v>43350</v>
      </c>
      <c r="X1220" s="59">
        <v>0.36458333333333331</v>
      </c>
      <c r="Y1220" s="59">
        <v>0.40625</v>
      </c>
      <c r="Z1220" s="59">
        <v>4.1666666666666664E-2</v>
      </c>
      <c r="AA1220">
        <v>0</v>
      </c>
      <c r="AC1220">
        <v>23</v>
      </c>
      <c r="AD1220">
        <v>12</v>
      </c>
      <c r="AE1220" s="59">
        <v>0.36458333333333331</v>
      </c>
      <c r="AF1220" s="59">
        <v>0.4055555555555555</v>
      </c>
    </row>
    <row r="1221" spans="1:32" x14ac:dyDescent="0.25">
      <c r="A1221" t="s">
        <v>274</v>
      </c>
      <c r="B1221" t="s">
        <v>321</v>
      </c>
      <c r="C1221" t="s">
        <v>322</v>
      </c>
      <c r="D1221" t="s">
        <v>323</v>
      </c>
      <c r="E1221" t="s">
        <v>324</v>
      </c>
      <c r="F1221" t="s">
        <v>134</v>
      </c>
      <c r="H1221" t="s">
        <v>184</v>
      </c>
      <c r="I1221" t="s">
        <v>147</v>
      </c>
      <c r="J1221" t="s">
        <v>258</v>
      </c>
      <c r="K1221" t="s">
        <v>403</v>
      </c>
      <c r="L1221" t="s">
        <v>404</v>
      </c>
      <c r="N1221" t="s">
        <v>405</v>
      </c>
      <c r="O1221" t="s">
        <v>134</v>
      </c>
      <c r="Q1221" t="s">
        <v>230</v>
      </c>
      <c r="R1221" t="s">
        <v>185</v>
      </c>
      <c r="S1221" t="s">
        <v>128</v>
      </c>
      <c r="T1221" t="s">
        <v>220</v>
      </c>
      <c r="U1221" t="s">
        <v>151</v>
      </c>
      <c r="V1221" t="s">
        <v>76</v>
      </c>
      <c r="W1221" s="58">
        <v>43350</v>
      </c>
      <c r="X1221" s="59">
        <v>0.41666666666666669</v>
      </c>
      <c r="Y1221" s="59">
        <v>0.45833333333333331</v>
      </c>
      <c r="Z1221" s="59">
        <v>4.1666666666666664E-2</v>
      </c>
      <c r="AA1221">
        <v>4</v>
      </c>
      <c r="AB1221">
        <v>2.2181999999999999</v>
      </c>
      <c r="AC1221">
        <v>20</v>
      </c>
      <c r="AD1221">
        <v>12</v>
      </c>
      <c r="AE1221" s="59">
        <v>0.41666666666666669</v>
      </c>
      <c r="AF1221" s="59">
        <v>0.45763888888888887</v>
      </c>
    </row>
    <row r="1222" spans="1:32" x14ac:dyDescent="0.25">
      <c r="A1222" t="s">
        <v>258</v>
      </c>
      <c r="B1222" t="s">
        <v>325</v>
      </c>
      <c r="C1222" t="s">
        <v>326</v>
      </c>
      <c r="E1222" t="s">
        <v>327</v>
      </c>
      <c r="F1222" t="s">
        <v>134</v>
      </c>
      <c r="H1222" t="s">
        <v>182</v>
      </c>
      <c r="I1222" t="s">
        <v>147</v>
      </c>
      <c r="J1222" t="s">
        <v>258</v>
      </c>
      <c r="K1222" t="s">
        <v>403</v>
      </c>
      <c r="L1222" t="s">
        <v>404</v>
      </c>
      <c r="N1222" t="s">
        <v>405</v>
      </c>
      <c r="O1222" t="s">
        <v>134</v>
      </c>
      <c r="Q1222" t="s">
        <v>230</v>
      </c>
      <c r="R1222" t="s">
        <v>183</v>
      </c>
      <c r="S1222" t="s">
        <v>128</v>
      </c>
      <c r="T1222" t="s">
        <v>220</v>
      </c>
      <c r="U1222" t="s">
        <v>129</v>
      </c>
      <c r="V1222" t="s">
        <v>77</v>
      </c>
      <c r="W1222" s="58">
        <v>43351</v>
      </c>
      <c r="X1222" s="59">
        <v>0.36458333333333331</v>
      </c>
      <c r="Y1222" s="59">
        <v>0.40625</v>
      </c>
      <c r="Z1222" s="59">
        <v>4.1666666666666664E-2</v>
      </c>
      <c r="AA1222">
        <v>0</v>
      </c>
      <c r="AC1222">
        <v>23</v>
      </c>
      <c r="AD1222">
        <v>11</v>
      </c>
      <c r="AE1222" s="59">
        <v>0.36458333333333331</v>
      </c>
      <c r="AF1222" s="59">
        <v>0.4055555555555555</v>
      </c>
    </row>
    <row r="1223" spans="1:32" x14ac:dyDescent="0.25">
      <c r="A1223" t="s">
        <v>274</v>
      </c>
      <c r="B1223" t="s">
        <v>321</v>
      </c>
      <c r="C1223" t="s">
        <v>322</v>
      </c>
      <c r="D1223" t="s">
        <v>323</v>
      </c>
      <c r="E1223" t="s">
        <v>324</v>
      </c>
      <c r="F1223" t="s">
        <v>134</v>
      </c>
      <c r="H1223" t="s">
        <v>184</v>
      </c>
      <c r="I1223" t="s">
        <v>147</v>
      </c>
      <c r="J1223" t="s">
        <v>258</v>
      </c>
      <c r="K1223" t="s">
        <v>403</v>
      </c>
      <c r="L1223" t="s">
        <v>404</v>
      </c>
      <c r="N1223" t="s">
        <v>405</v>
      </c>
      <c r="O1223" t="s">
        <v>134</v>
      </c>
      <c r="Q1223" t="s">
        <v>230</v>
      </c>
      <c r="R1223" t="s">
        <v>185</v>
      </c>
      <c r="S1223" t="s">
        <v>128</v>
      </c>
      <c r="T1223" t="s">
        <v>220</v>
      </c>
      <c r="U1223" t="s">
        <v>151</v>
      </c>
      <c r="V1223" t="s">
        <v>77</v>
      </c>
      <c r="W1223" s="58">
        <v>43351</v>
      </c>
      <c r="X1223" s="59">
        <v>0.41666666666666669</v>
      </c>
      <c r="Y1223" s="59">
        <v>0.45833333333333331</v>
      </c>
      <c r="Z1223" s="59">
        <v>4.1666666666666664E-2</v>
      </c>
      <c r="AA1223">
        <v>4</v>
      </c>
      <c r="AB1223">
        <v>2.2181999999999999</v>
      </c>
      <c r="AC1223">
        <v>20</v>
      </c>
      <c r="AD1223">
        <v>11</v>
      </c>
      <c r="AE1223" s="59">
        <v>0.41666666666666669</v>
      </c>
      <c r="AF1223" s="59">
        <v>0.45763888888888887</v>
      </c>
    </row>
    <row r="1224" spans="1:32" x14ac:dyDescent="0.25">
      <c r="A1224" t="s">
        <v>258</v>
      </c>
      <c r="B1224" t="s">
        <v>325</v>
      </c>
      <c r="C1224" t="s">
        <v>326</v>
      </c>
      <c r="E1224" t="s">
        <v>327</v>
      </c>
      <c r="F1224" t="s">
        <v>134</v>
      </c>
      <c r="H1224" t="s">
        <v>182</v>
      </c>
      <c r="I1224" t="s">
        <v>147</v>
      </c>
      <c r="J1224" t="s">
        <v>258</v>
      </c>
      <c r="K1224" t="s">
        <v>403</v>
      </c>
      <c r="L1224" t="s">
        <v>404</v>
      </c>
      <c r="N1224" t="s">
        <v>405</v>
      </c>
      <c r="O1224" t="s">
        <v>134</v>
      </c>
      <c r="Q1224" t="s">
        <v>230</v>
      </c>
      <c r="R1224" t="s">
        <v>183</v>
      </c>
      <c r="S1224" t="s">
        <v>128</v>
      </c>
      <c r="T1224" t="s">
        <v>220</v>
      </c>
      <c r="U1224" t="s">
        <v>129</v>
      </c>
      <c r="V1224" t="s">
        <v>77</v>
      </c>
      <c r="W1224" s="58">
        <v>43351</v>
      </c>
      <c r="X1224" s="59">
        <v>0.5</v>
      </c>
      <c r="Y1224" s="59">
        <v>0.54166666666666663</v>
      </c>
      <c r="Z1224" s="59">
        <v>4.1666666666666664E-2</v>
      </c>
      <c r="AA1224">
        <v>4</v>
      </c>
      <c r="AB1224">
        <v>2.2181999999999999</v>
      </c>
      <c r="AC1224">
        <v>23</v>
      </c>
      <c r="AD1224">
        <v>11</v>
      </c>
      <c r="AE1224" s="59">
        <v>0.5</v>
      </c>
      <c r="AF1224" s="59">
        <v>0.54097222222222219</v>
      </c>
    </row>
    <row r="1225" spans="1:32" x14ac:dyDescent="0.25">
      <c r="A1225" t="s">
        <v>258</v>
      </c>
      <c r="B1225" t="s">
        <v>281</v>
      </c>
      <c r="C1225" t="s">
        <v>282</v>
      </c>
      <c r="E1225" t="s">
        <v>283</v>
      </c>
      <c r="F1225" t="s">
        <v>134</v>
      </c>
      <c r="G1225" t="s">
        <v>218</v>
      </c>
      <c r="H1225" t="s">
        <v>146</v>
      </c>
      <c r="I1225" t="s">
        <v>147</v>
      </c>
      <c r="J1225" t="s">
        <v>258</v>
      </c>
      <c r="K1225" t="s">
        <v>403</v>
      </c>
      <c r="L1225" t="s">
        <v>404</v>
      </c>
      <c r="N1225" t="s">
        <v>405</v>
      </c>
      <c r="O1225" t="s">
        <v>134</v>
      </c>
      <c r="Q1225" t="s">
        <v>230</v>
      </c>
      <c r="R1225" t="s">
        <v>148</v>
      </c>
      <c r="S1225" t="s">
        <v>128</v>
      </c>
      <c r="T1225" t="s">
        <v>220</v>
      </c>
      <c r="U1225" t="s">
        <v>129</v>
      </c>
      <c r="V1225" t="s">
        <v>77</v>
      </c>
      <c r="W1225" s="58">
        <v>43351</v>
      </c>
      <c r="X1225" s="59">
        <v>0.75</v>
      </c>
      <c r="Y1225" s="59">
        <v>0.79166666666666663</v>
      </c>
      <c r="Z1225" s="59">
        <v>4.1666666666666664E-2</v>
      </c>
      <c r="AA1225">
        <v>0</v>
      </c>
      <c r="AC1225">
        <v>23</v>
      </c>
      <c r="AD1225">
        <v>11</v>
      </c>
      <c r="AE1225" s="59">
        <v>0.75</v>
      </c>
      <c r="AF1225" s="59">
        <v>0.7909722222222223</v>
      </c>
    </row>
    <row r="1226" spans="1:32" x14ac:dyDescent="0.25">
      <c r="A1226" t="s">
        <v>274</v>
      </c>
      <c r="B1226" t="s">
        <v>321</v>
      </c>
      <c r="C1226" t="s">
        <v>322</v>
      </c>
      <c r="D1226" t="s">
        <v>323</v>
      </c>
      <c r="E1226" t="s">
        <v>324</v>
      </c>
      <c r="F1226" t="s">
        <v>134</v>
      </c>
      <c r="H1226" t="s">
        <v>184</v>
      </c>
      <c r="I1226" t="s">
        <v>147</v>
      </c>
      <c r="J1226" t="s">
        <v>258</v>
      </c>
      <c r="K1226" t="s">
        <v>403</v>
      </c>
      <c r="L1226" t="s">
        <v>404</v>
      </c>
      <c r="N1226" t="s">
        <v>405</v>
      </c>
      <c r="O1226" t="s">
        <v>134</v>
      </c>
      <c r="Q1226" t="s">
        <v>230</v>
      </c>
      <c r="R1226" t="s">
        <v>185</v>
      </c>
      <c r="S1226" t="s">
        <v>128</v>
      </c>
      <c r="T1226" t="s">
        <v>220</v>
      </c>
      <c r="U1226" t="s">
        <v>151</v>
      </c>
      <c r="V1226" t="s">
        <v>77</v>
      </c>
      <c r="W1226" s="58">
        <v>43351</v>
      </c>
      <c r="X1226" s="59">
        <v>0.84375</v>
      </c>
      <c r="Y1226" s="59">
        <v>0.875</v>
      </c>
      <c r="Z1226" s="59">
        <v>3.125E-2</v>
      </c>
      <c r="AA1226">
        <v>3</v>
      </c>
      <c r="AB1226">
        <v>1.9272</v>
      </c>
      <c r="AC1226">
        <v>15</v>
      </c>
      <c r="AD1226">
        <v>8.25</v>
      </c>
      <c r="AE1226" s="59">
        <v>0.84375</v>
      </c>
      <c r="AF1226" s="59">
        <v>0.87430555555555556</v>
      </c>
    </row>
    <row r="1227" spans="1:32" x14ac:dyDescent="0.25">
      <c r="A1227" t="s">
        <v>274</v>
      </c>
      <c r="B1227" t="s">
        <v>321</v>
      </c>
      <c r="C1227" t="s">
        <v>322</v>
      </c>
      <c r="D1227" t="s">
        <v>323</v>
      </c>
      <c r="E1227" t="s">
        <v>324</v>
      </c>
      <c r="F1227" t="s">
        <v>134</v>
      </c>
      <c r="H1227" t="s">
        <v>184</v>
      </c>
      <c r="I1227" t="s">
        <v>147</v>
      </c>
      <c r="J1227" t="s">
        <v>258</v>
      </c>
      <c r="K1227" t="s">
        <v>403</v>
      </c>
      <c r="L1227" t="s">
        <v>404</v>
      </c>
      <c r="N1227" t="s">
        <v>405</v>
      </c>
      <c r="O1227" t="s">
        <v>134</v>
      </c>
      <c r="Q1227" t="s">
        <v>230</v>
      </c>
      <c r="R1227" t="s">
        <v>185</v>
      </c>
      <c r="S1227" t="s">
        <v>128</v>
      </c>
      <c r="T1227" t="s">
        <v>220</v>
      </c>
      <c r="U1227" t="s">
        <v>151</v>
      </c>
      <c r="V1227" t="s">
        <v>72</v>
      </c>
      <c r="W1227" s="58">
        <v>43353</v>
      </c>
      <c r="X1227" s="59">
        <v>0.8125</v>
      </c>
      <c r="Y1227" s="59">
        <v>0.84375</v>
      </c>
      <c r="Z1227" s="59">
        <v>3.125E-2</v>
      </c>
      <c r="AA1227">
        <v>0</v>
      </c>
      <c r="AC1227">
        <v>15</v>
      </c>
      <c r="AD1227">
        <v>7.5</v>
      </c>
      <c r="AE1227" s="59">
        <v>0.8125</v>
      </c>
      <c r="AF1227" s="59">
        <v>0.84305555555555556</v>
      </c>
    </row>
    <row r="1228" spans="1:32" x14ac:dyDescent="0.25">
      <c r="A1228" t="s">
        <v>274</v>
      </c>
      <c r="B1228" t="s">
        <v>321</v>
      </c>
      <c r="C1228" t="s">
        <v>322</v>
      </c>
      <c r="D1228" t="s">
        <v>323</v>
      </c>
      <c r="E1228" t="s">
        <v>324</v>
      </c>
      <c r="F1228" t="s">
        <v>134</v>
      </c>
      <c r="H1228" t="s">
        <v>184</v>
      </c>
      <c r="I1228" t="s">
        <v>147</v>
      </c>
      <c r="J1228" t="s">
        <v>258</v>
      </c>
      <c r="K1228" t="s">
        <v>403</v>
      </c>
      <c r="L1228" t="s">
        <v>404</v>
      </c>
      <c r="N1228" t="s">
        <v>405</v>
      </c>
      <c r="O1228" t="s">
        <v>134</v>
      </c>
      <c r="Q1228" t="s">
        <v>230</v>
      </c>
      <c r="R1228" t="s">
        <v>185</v>
      </c>
      <c r="S1228" t="s">
        <v>128</v>
      </c>
      <c r="T1228" t="s">
        <v>220</v>
      </c>
      <c r="U1228" t="s">
        <v>151</v>
      </c>
      <c r="V1228" t="s">
        <v>73</v>
      </c>
      <c r="W1228" s="58">
        <v>43354</v>
      </c>
      <c r="X1228" s="59">
        <v>0.8125</v>
      </c>
      <c r="Y1228" s="59">
        <v>0.84375</v>
      </c>
      <c r="Z1228" s="59">
        <v>3.125E-2</v>
      </c>
      <c r="AA1228">
        <v>0</v>
      </c>
      <c r="AC1228">
        <v>15</v>
      </c>
      <c r="AD1228">
        <v>7.5</v>
      </c>
      <c r="AE1228" s="59">
        <v>0.8125</v>
      </c>
      <c r="AF1228" s="59">
        <v>0.84305555555555556</v>
      </c>
    </row>
    <row r="1229" spans="1:32" x14ac:dyDescent="0.25">
      <c r="A1229" t="s">
        <v>274</v>
      </c>
      <c r="B1229" t="s">
        <v>321</v>
      </c>
      <c r="C1229" t="s">
        <v>322</v>
      </c>
      <c r="D1229" t="s">
        <v>323</v>
      </c>
      <c r="E1229" t="s">
        <v>324</v>
      </c>
      <c r="F1229" t="s">
        <v>134</v>
      </c>
      <c r="H1229" t="s">
        <v>184</v>
      </c>
      <c r="I1229" t="s">
        <v>147</v>
      </c>
      <c r="J1229" t="s">
        <v>258</v>
      </c>
      <c r="K1229" t="s">
        <v>403</v>
      </c>
      <c r="L1229" t="s">
        <v>404</v>
      </c>
      <c r="N1229" t="s">
        <v>405</v>
      </c>
      <c r="O1229" t="s">
        <v>134</v>
      </c>
      <c r="Q1229" t="s">
        <v>230</v>
      </c>
      <c r="R1229" t="s">
        <v>185</v>
      </c>
      <c r="S1229" t="s">
        <v>128</v>
      </c>
      <c r="T1229" t="s">
        <v>220</v>
      </c>
      <c r="U1229" t="s">
        <v>151</v>
      </c>
      <c r="V1229" t="s">
        <v>74</v>
      </c>
      <c r="W1229" s="58">
        <v>43355</v>
      </c>
      <c r="X1229" s="59">
        <v>0.84236111111111101</v>
      </c>
      <c r="Y1229" s="59">
        <v>0.87361111111111101</v>
      </c>
      <c r="Z1229" s="59">
        <v>3.125E-2</v>
      </c>
      <c r="AA1229">
        <v>0</v>
      </c>
      <c r="AC1229">
        <v>15</v>
      </c>
      <c r="AD1229">
        <v>7.5</v>
      </c>
      <c r="AE1229" s="59">
        <v>0.84236111111111101</v>
      </c>
      <c r="AF1229" s="59">
        <v>0.87291666666666667</v>
      </c>
    </row>
    <row r="1230" spans="1:32" x14ac:dyDescent="0.25">
      <c r="A1230" t="s">
        <v>258</v>
      </c>
      <c r="B1230" t="s">
        <v>325</v>
      </c>
      <c r="C1230" t="s">
        <v>326</v>
      </c>
      <c r="E1230" t="s">
        <v>327</v>
      </c>
      <c r="F1230" t="s">
        <v>134</v>
      </c>
      <c r="H1230" t="s">
        <v>182</v>
      </c>
      <c r="I1230" t="s">
        <v>147</v>
      </c>
      <c r="J1230" t="s">
        <v>258</v>
      </c>
      <c r="K1230" t="s">
        <v>403</v>
      </c>
      <c r="L1230" t="s">
        <v>404</v>
      </c>
      <c r="N1230" t="s">
        <v>405</v>
      </c>
      <c r="O1230" t="s">
        <v>134</v>
      </c>
      <c r="Q1230" t="s">
        <v>230</v>
      </c>
      <c r="R1230" t="s">
        <v>183</v>
      </c>
      <c r="S1230" t="s">
        <v>128</v>
      </c>
      <c r="T1230" t="s">
        <v>220</v>
      </c>
      <c r="U1230" t="s">
        <v>129</v>
      </c>
      <c r="V1230" t="s">
        <v>76</v>
      </c>
      <c r="W1230" s="58">
        <v>43357</v>
      </c>
      <c r="X1230" s="59">
        <v>0.36458333333333331</v>
      </c>
      <c r="Y1230" s="59">
        <v>0.40625</v>
      </c>
      <c r="Z1230" s="59">
        <v>4.1666666666666664E-2</v>
      </c>
      <c r="AA1230">
        <v>0</v>
      </c>
      <c r="AC1230">
        <v>23</v>
      </c>
      <c r="AD1230">
        <v>10</v>
      </c>
      <c r="AE1230" s="59">
        <v>0.36458333333333331</v>
      </c>
      <c r="AF1230" s="59">
        <v>0.4055555555555555</v>
      </c>
    </row>
    <row r="1231" spans="1:32" x14ac:dyDescent="0.25">
      <c r="A1231" t="s">
        <v>274</v>
      </c>
      <c r="B1231" t="s">
        <v>321</v>
      </c>
      <c r="C1231" t="s">
        <v>322</v>
      </c>
      <c r="D1231" t="s">
        <v>323</v>
      </c>
      <c r="E1231" t="s">
        <v>324</v>
      </c>
      <c r="F1231" t="s">
        <v>134</v>
      </c>
      <c r="H1231" t="s">
        <v>184</v>
      </c>
      <c r="I1231" t="s">
        <v>147</v>
      </c>
      <c r="J1231" t="s">
        <v>258</v>
      </c>
      <c r="K1231" t="s">
        <v>403</v>
      </c>
      <c r="L1231" t="s">
        <v>404</v>
      </c>
      <c r="N1231" t="s">
        <v>405</v>
      </c>
      <c r="O1231" t="s">
        <v>134</v>
      </c>
      <c r="Q1231" t="s">
        <v>230</v>
      </c>
      <c r="R1231" t="s">
        <v>185</v>
      </c>
      <c r="S1231" t="s">
        <v>128</v>
      </c>
      <c r="T1231" t="s">
        <v>220</v>
      </c>
      <c r="U1231" t="s">
        <v>151</v>
      </c>
      <c r="V1231" t="s">
        <v>76</v>
      </c>
      <c r="W1231" s="58">
        <v>43357</v>
      </c>
      <c r="X1231" s="59">
        <v>0.41666666666666669</v>
      </c>
      <c r="Y1231" s="59">
        <v>0.47916666666666669</v>
      </c>
      <c r="Z1231" s="59">
        <v>6.25E-2</v>
      </c>
      <c r="AA1231">
        <v>4</v>
      </c>
      <c r="AB1231">
        <v>2.2181999999999999</v>
      </c>
      <c r="AC1231">
        <v>30</v>
      </c>
      <c r="AD1231">
        <v>15</v>
      </c>
      <c r="AE1231" s="59">
        <v>0.41666666666666669</v>
      </c>
      <c r="AF1231" s="59">
        <v>0.45763888888888887</v>
      </c>
    </row>
    <row r="1232" spans="1:32" x14ac:dyDescent="0.25">
      <c r="A1232" t="s">
        <v>258</v>
      </c>
      <c r="B1232" t="s">
        <v>342</v>
      </c>
      <c r="C1232" t="s">
        <v>343</v>
      </c>
      <c r="E1232" t="s">
        <v>344</v>
      </c>
      <c r="F1232" t="s">
        <v>134</v>
      </c>
      <c r="H1232" t="s">
        <v>197</v>
      </c>
      <c r="I1232" t="s">
        <v>198</v>
      </c>
      <c r="J1232" t="s">
        <v>266</v>
      </c>
      <c r="K1232" t="s">
        <v>406</v>
      </c>
      <c r="L1232" t="s">
        <v>407</v>
      </c>
      <c r="N1232" t="s">
        <v>408</v>
      </c>
      <c r="O1232" t="s">
        <v>134</v>
      </c>
      <c r="Q1232" t="s">
        <v>231</v>
      </c>
      <c r="R1232" t="s">
        <v>199</v>
      </c>
      <c r="S1232" t="s">
        <v>128</v>
      </c>
      <c r="T1232" t="s">
        <v>162</v>
      </c>
      <c r="U1232" t="s">
        <v>151</v>
      </c>
      <c r="V1232" t="s">
        <v>72</v>
      </c>
      <c r="W1232" s="58">
        <v>43311</v>
      </c>
      <c r="X1232" s="59">
        <v>0.8125</v>
      </c>
      <c r="Y1232" s="59">
        <v>0.85416666666666663</v>
      </c>
      <c r="Z1232" s="59">
        <v>4.1666666666666664E-2</v>
      </c>
      <c r="AA1232">
        <v>0</v>
      </c>
      <c r="AC1232">
        <v>20</v>
      </c>
      <c r="AD1232">
        <v>10</v>
      </c>
      <c r="AE1232" s="59">
        <v>0.8125</v>
      </c>
      <c r="AF1232" s="59">
        <v>0.8534722222222223</v>
      </c>
    </row>
    <row r="1233" spans="1:32" x14ac:dyDescent="0.25">
      <c r="A1233" t="s">
        <v>258</v>
      </c>
      <c r="B1233" t="s">
        <v>310</v>
      </c>
      <c r="C1233" t="s">
        <v>311</v>
      </c>
      <c r="D1233" t="s">
        <v>312</v>
      </c>
      <c r="E1233" t="s">
        <v>313</v>
      </c>
      <c r="F1233" t="s">
        <v>134</v>
      </c>
      <c r="H1233" t="s">
        <v>175</v>
      </c>
      <c r="I1233" t="s">
        <v>127</v>
      </c>
      <c r="J1233" t="s">
        <v>266</v>
      </c>
      <c r="K1233" t="s">
        <v>406</v>
      </c>
      <c r="L1233" t="s">
        <v>407</v>
      </c>
      <c r="N1233" t="s">
        <v>408</v>
      </c>
      <c r="O1233" t="s">
        <v>134</v>
      </c>
      <c r="Q1233" t="s">
        <v>231</v>
      </c>
      <c r="R1233" t="s">
        <v>176</v>
      </c>
      <c r="S1233" t="s">
        <v>128</v>
      </c>
      <c r="T1233" t="s">
        <v>162</v>
      </c>
      <c r="U1233" t="s">
        <v>151</v>
      </c>
      <c r="V1233" t="s">
        <v>72</v>
      </c>
      <c r="W1233" s="58">
        <v>43311</v>
      </c>
      <c r="X1233" s="59">
        <v>0.86458333333333337</v>
      </c>
      <c r="Y1233" s="59">
        <v>0.88541666666666663</v>
      </c>
      <c r="Z1233" s="59">
        <v>2.0833333333333332E-2</v>
      </c>
      <c r="AA1233">
        <v>0</v>
      </c>
      <c r="AB1233">
        <v>5.3818000000000001</v>
      </c>
      <c r="AC1233">
        <v>10</v>
      </c>
      <c r="AD1233">
        <v>5</v>
      </c>
      <c r="AE1233" s="59">
        <v>0.86458333333333337</v>
      </c>
      <c r="AF1233" s="59">
        <v>0.8847222222222223</v>
      </c>
    </row>
    <row r="1234" spans="1:32" x14ac:dyDescent="0.25">
      <c r="A1234" t="s">
        <v>258</v>
      </c>
      <c r="B1234" t="s">
        <v>342</v>
      </c>
      <c r="C1234" t="s">
        <v>343</v>
      </c>
      <c r="E1234" t="s">
        <v>344</v>
      </c>
      <c r="F1234" t="s">
        <v>134</v>
      </c>
      <c r="H1234" t="s">
        <v>197</v>
      </c>
      <c r="I1234" t="s">
        <v>198</v>
      </c>
      <c r="J1234" t="s">
        <v>266</v>
      </c>
      <c r="K1234" t="s">
        <v>406</v>
      </c>
      <c r="L1234" t="s">
        <v>407</v>
      </c>
      <c r="N1234" t="s">
        <v>408</v>
      </c>
      <c r="O1234" t="s">
        <v>134</v>
      </c>
      <c r="Q1234" t="s">
        <v>231</v>
      </c>
      <c r="R1234" t="s">
        <v>199</v>
      </c>
      <c r="S1234" t="s">
        <v>128</v>
      </c>
      <c r="T1234" t="s">
        <v>162</v>
      </c>
      <c r="U1234" t="s">
        <v>151</v>
      </c>
      <c r="V1234" t="s">
        <v>73</v>
      </c>
      <c r="W1234" s="58">
        <v>43312</v>
      </c>
      <c r="X1234" s="59">
        <v>0.33333333333333331</v>
      </c>
      <c r="Y1234" s="59">
        <v>0.375</v>
      </c>
      <c r="Z1234" s="59">
        <v>4.1666666666666664E-2</v>
      </c>
      <c r="AA1234">
        <v>0</v>
      </c>
      <c r="AC1234">
        <v>20</v>
      </c>
      <c r="AD1234">
        <v>10</v>
      </c>
      <c r="AE1234" s="59">
        <v>0.33333333333333331</v>
      </c>
      <c r="AF1234" s="59">
        <v>0.3743055555555555</v>
      </c>
    </row>
    <row r="1235" spans="1:32" x14ac:dyDescent="0.25">
      <c r="A1235" t="s">
        <v>258</v>
      </c>
      <c r="B1235" t="s">
        <v>342</v>
      </c>
      <c r="C1235" t="s">
        <v>343</v>
      </c>
      <c r="E1235" t="s">
        <v>344</v>
      </c>
      <c r="F1235" t="s">
        <v>134</v>
      </c>
      <c r="H1235" t="s">
        <v>197</v>
      </c>
      <c r="I1235" t="s">
        <v>198</v>
      </c>
      <c r="J1235" t="s">
        <v>266</v>
      </c>
      <c r="K1235" t="s">
        <v>406</v>
      </c>
      <c r="L1235" t="s">
        <v>407</v>
      </c>
      <c r="N1235" t="s">
        <v>408</v>
      </c>
      <c r="O1235" t="s">
        <v>134</v>
      </c>
      <c r="Q1235" t="s">
        <v>231</v>
      </c>
      <c r="R1235" t="s">
        <v>199</v>
      </c>
      <c r="S1235" t="s">
        <v>128</v>
      </c>
      <c r="T1235" t="s">
        <v>162</v>
      </c>
      <c r="U1235" t="s">
        <v>151</v>
      </c>
      <c r="V1235" t="s">
        <v>75</v>
      </c>
      <c r="W1235" s="58">
        <v>43314</v>
      </c>
      <c r="X1235" s="59">
        <v>0.33333333333333331</v>
      </c>
      <c r="Y1235" s="59">
        <v>0.375</v>
      </c>
      <c r="Z1235" s="59">
        <v>4.1666666666666664E-2</v>
      </c>
      <c r="AA1235">
        <v>0</v>
      </c>
      <c r="AC1235">
        <v>20</v>
      </c>
      <c r="AD1235">
        <v>10</v>
      </c>
      <c r="AE1235" s="59">
        <v>0.33333333333333331</v>
      </c>
      <c r="AF1235" s="59">
        <v>0.3743055555555555</v>
      </c>
    </row>
    <row r="1236" spans="1:32" x14ac:dyDescent="0.25">
      <c r="A1236" t="s">
        <v>258</v>
      </c>
      <c r="B1236" t="s">
        <v>342</v>
      </c>
      <c r="C1236" t="s">
        <v>343</v>
      </c>
      <c r="E1236" t="s">
        <v>344</v>
      </c>
      <c r="F1236" t="s">
        <v>134</v>
      </c>
      <c r="H1236" t="s">
        <v>197</v>
      </c>
      <c r="I1236" t="s">
        <v>198</v>
      </c>
      <c r="J1236" t="s">
        <v>266</v>
      </c>
      <c r="K1236" t="s">
        <v>406</v>
      </c>
      <c r="L1236" t="s">
        <v>407</v>
      </c>
      <c r="N1236" t="s">
        <v>408</v>
      </c>
      <c r="O1236" t="s">
        <v>134</v>
      </c>
      <c r="Q1236" t="s">
        <v>231</v>
      </c>
      <c r="R1236" t="s">
        <v>199</v>
      </c>
      <c r="S1236" t="s">
        <v>128</v>
      </c>
      <c r="T1236" t="s">
        <v>162</v>
      </c>
      <c r="U1236" t="s">
        <v>151</v>
      </c>
      <c r="V1236" t="s">
        <v>76</v>
      </c>
      <c r="W1236" s="58">
        <v>43315</v>
      </c>
      <c r="X1236" s="59">
        <v>0.33333333333333331</v>
      </c>
      <c r="Y1236" s="59">
        <v>0.375</v>
      </c>
      <c r="Z1236" s="59">
        <v>4.1666666666666664E-2</v>
      </c>
      <c r="AA1236">
        <v>0</v>
      </c>
      <c r="AC1236">
        <v>20</v>
      </c>
      <c r="AD1236">
        <v>10</v>
      </c>
      <c r="AE1236" s="59">
        <v>0.33333333333333331</v>
      </c>
      <c r="AF1236" s="59">
        <v>0.3743055555555555</v>
      </c>
    </row>
    <row r="1237" spans="1:32" x14ac:dyDescent="0.25">
      <c r="A1237" t="s">
        <v>274</v>
      </c>
      <c r="B1237" t="s">
        <v>334</v>
      </c>
      <c r="C1237" t="s">
        <v>285</v>
      </c>
      <c r="E1237" t="s">
        <v>335</v>
      </c>
      <c r="F1237" t="s">
        <v>134</v>
      </c>
      <c r="H1237" t="s">
        <v>192</v>
      </c>
      <c r="I1237" t="s">
        <v>155</v>
      </c>
      <c r="J1237" t="s">
        <v>266</v>
      </c>
      <c r="K1237" t="s">
        <v>406</v>
      </c>
      <c r="L1237" t="s">
        <v>407</v>
      </c>
      <c r="N1237" t="s">
        <v>408</v>
      </c>
      <c r="O1237" t="s">
        <v>134</v>
      </c>
      <c r="Q1237" t="s">
        <v>231</v>
      </c>
      <c r="R1237" t="s">
        <v>193</v>
      </c>
      <c r="S1237" t="s">
        <v>128</v>
      </c>
      <c r="T1237" t="s">
        <v>162</v>
      </c>
      <c r="U1237" t="s">
        <v>129</v>
      </c>
      <c r="V1237" t="s">
        <v>76</v>
      </c>
      <c r="W1237" s="58">
        <v>43315</v>
      </c>
      <c r="X1237" s="59">
        <v>0.75</v>
      </c>
      <c r="Y1237" s="59">
        <v>0.79166666666666663</v>
      </c>
      <c r="Z1237" s="59">
        <v>4.1666666666666664E-2</v>
      </c>
      <c r="AA1237">
        <v>0</v>
      </c>
      <c r="AC1237">
        <v>23</v>
      </c>
      <c r="AD1237">
        <v>10</v>
      </c>
      <c r="AE1237" s="59">
        <v>0.75</v>
      </c>
      <c r="AF1237" s="59">
        <v>0.7909722222222223</v>
      </c>
    </row>
    <row r="1238" spans="1:32" x14ac:dyDescent="0.25">
      <c r="A1238" t="s">
        <v>368</v>
      </c>
      <c r="B1238" t="s">
        <v>369</v>
      </c>
      <c r="C1238" t="s">
        <v>370</v>
      </c>
      <c r="E1238" t="s">
        <v>292</v>
      </c>
      <c r="F1238" t="s">
        <v>134</v>
      </c>
      <c r="H1238" t="s">
        <v>154</v>
      </c>
      <c r="I1238" t="s">
        <v>155</v>
      </c>
      <c r="J1238" t="s">
        <v>266</v>
      </c>
      <c r="K1238" t="s">
        <v>406</v>
      </c>
      <c r="L1238" t="s">
        <v>407</v>
      </c>
      <c r="N1238" t="s">
        <v>408</v>
      </c>
      <c r="O1238" t="s">
        <v>134</v>
      </c>
      <c r="Q1238" t="s">
        <v>231</v>
      </c>
      <c r="R1238" t="s">
        <v>212</v>
      </c>
      <c r="S1238" t="s">
        <v>128</v>
      </c>
      <c r="T1238" t="s">
        <v>162</v>
      </c>
      <c r="U1238" t="s">
        <v>151</v>
      </c>
      <c r="V1238" t="s">
        <v>77</v>
      </c>
      <c r="W1238" s="58">
        <v>43316</v>
      </c>
      <c r="X1238" s="59">
        <v>0.6875</v>
      </c>
      <c r="Y1238" s="59">
        <v>0.94791666666666663</v>
      </c>
      <c r="Z1238" s="59">
        <v>0.26041666666666669</v>
      </c>
      <c r="AA1238">
        <v>0</v>
      </c>
      <c r="AC1238">
        <v>125</v>
      </c>
      <c r="AD1238">
        <v>68.75</v>
      </c>
      <c r="AE1238" s="59">
        <v>0.6875</v>
      </c>
      <c r="AF1238" s="59">
        <v>0.87430555555555556</v>
      </c>
    </row>
    <row r="1239" spans="1:32" x14ac:dyDescent="0.25">
      <c r="A1239" t="s">
        <v>258</v>
      </c>
      <c r="B1239" t="s">
        <v>342</v>
      </c>
      <c r="C1239" t="s">
        <v>343</v>
      </c>
      <c r="E1239" t="s">
        <v>344</v>
      </c>
      <c r="F1239" t="s">
        <v>134</v>
      </c>
      <c r="H1239" t="s">
        <v>197</v>
      </c>
      <c r="I1239" t="s">
        <v>198</v>
      </c>
      <c r="J1239" t="s">
        <v>266</v>
      </c>
      <c r="K1239" t="s">
        <v>406</v>
      </c>
      <c r="L1239" t="s">
        <v>407</v>
      </c>
      <c r="N1239" t="s">
        <v>408</v>
      </c>
      <c r="O1239" t="s">
        <v>134</v>
      </c>
      <c r="Q1239" t="s">
        <v>231</v>
      </c>
      <c r="R1239" t="s">
        <v>199</v>
      </c>
      <c r="S1239" t="s">
        <v>128</v>
      </c>
      <c r="T1239" t="s">
        <v>162</v>
      </c>
      <c r="U1239" t="s">
        <v>151</v>
      </c>
      <c r="V1239" t="s">
        <v>71</v>
      </c>
      <c r="W1239" s="58">
        <v>43317</v>
      </c>
      <c r="X1239" s="59">
        <v>0.33333333333333331</v>
      </c>
      <c r="Y1239" s="59">
        <v>0.375</v>
      </c>
      <c r="Z1239" s="59">
        <v>4.1666666666666664E-2</v>
      </c>
      <c r="AA1239">
        <v>6</v>
      </c>
      <c r="AC1239">
        <v>20</v>
      </c>
      <c r="AD1239">
        <v>11</v>
      </c>
      <c r="AE1239" s="59">
        <v>0.33333333333333331</v>
      </c>
      <c r="AF1239" s="59">
        <v>0.3743055555555555</v>
      </c>
    </row>
    <row r="1240" spans="1:32" x14ac:dyDescent="0.25">
      <c r="A1240" t="s">
        <v>274</v>
      </c>
      <c r="B1240" t="s">
        <v>334</v>
      </c>
      <c r="C1240" t="s">
        <v>285</v>
      </c>
      <c r="E1240" t="s">
        <v>335</v>
      </c>
      <c r="F1240" t="s">
        <v>134</v>
      </c>
      <c r="H1240" t="s">
        <v>192</v>
      </c>
      <c r="I1240" t="s">
        <v>155</v>
      </c>
      <c r="J1240" t="s">
        <v>266</v>
      </c>
      <c r="K1240" t="s">
        <v>406</v>
      </c>
      <c r="L1240" t="s">
        <v>407</v>
      </c>
      <c r="N1240" t="s">
        <v>408</v>
      </c>
      <c r="O1240" t="s">
        <v>134</v>
      </c>
      <c r="Q1240" t="s">
        <v>231</v>
      </c>
      <c r="R1240" t="s">
        <v>193</v>
      </c>
      <c r="S1240" t="s">
        <v>128</v>
      </c>
      <c r="T1240" t="s">
        <v>162</v>
      </c>
      <c r="U1240" t="s">
        <v>129</v>
      </c>
      <c r="V1240" t="s">
        <v>71</v>
      </c>
      <c r="W1240" s="58">
        <v>43317</v>
      </c>
      <c r="X1240" s="59">
        <v>0.39583333333333331</v>
      </c>
      <c r="Y1240" s="59">
        <v>0.4375</v>
      </c>
      <c r="Z1240" s="59">
        <v>4.1666666666666664E-2</v>
      </c>
      <c r="AA1240">
        <v>4</v>
      </c>
      <c r="AB1240">
        <v>2.1818</v>
      </c>
      <c r="AC1240">
        <v>23</v>
      </c>
      <c r="AD1240">
        <v>11</v>
      </c>
      <c r="AE1240" s="59">
        <v>0.39583333333333331</v>
      </c>
      <c r="AF1240" s="59">
        <v>0.4368055555555555</v>
      </c>
    </row>
    <row r="1241" spans="1:32" x14ac:dyDescent="0.25">
      <c r="A1241" t="s">
        <v>258</v>
      </c>
      <c r="B1241" t="s">
        <v>342</v>
      </c>
      <c r="C1241" t="s">
        <v>343</v>
      </c>
      <c r="E1241" t="s">
        <v>344</v>
      </c>
      <c r="F1241" t="s">
        <v>134</v>
      </c>
      <c r="H1241" t="s">
        <v>197</v>
      </c>
      <c r="I1241" t="s">
        <v>198</v>
      </c>
      <c r="J1241" t="s">
        <v>266</v>
      </c>
      <c r="K1241" t="s">
        <v>406</v>
      </c>
      <c r="L1241" t="s">
        <v>407</v>
      </c>
      <c r="N1241" t="s">
        <v>408</v>
      </c>
      <c r="O1241" t="s">
        <v>134</v>
      </c>
      <c r="Q1241" t="s">
        <v>231</v>
      </c>
      <c r="R1241" t="s">
        <v>199</v>
      </c>
      <c r="S1241" t="s">
        <v>128</v>
      </c>
      <c r="T1241" t="s">
        <v>162</v>
      </c>
      <c r="U1241" t="s">
        <v>151</v>
      </c>
      <c r="V1241" t="s">
        <v>72</v>
      </c>
      <c r="W1241" s="58">
        <v>43318</v>
      </c>
      <c r="X1241" s="59">
        <v>0.33333333333333331</v>
      </c>
      <c r="Y1241" s="59">
        <v>0.375</v>
      </c>
      <c r="Z1241" s="59">
        <v>4.1666666666666664E-2</v>
      </c>
      <c r="AA1241">
        <v>0</v>
      </c>
      <c r="AC1241">
        <v>20</v>
      </c>
      <c r="AD1241">
        <v>10</v>
      </c>
      <c r="AE1241" s="59">
        <v>0.33333333333333331</v>
      </c>
      <c r="AF1241" s="59">
        <v>0.3743055555555555</v>
      </c>
    </row>
    <row r="1242" spans="1:32" x14ac:dyDescent="0.25">
      <c r="A1242" t="s">
        <v>258</v>
      </c>
      <c r="B1242" t="s">
        <v>342</v>
      </c>
      <c r="C1242" t="s">
        <v>343</v>
      </c>
      <c r="E1242" t="s">
        <v>344</v>
      </c>
      <c r="F1242" t="s">
        <v>134</v>
      </c>
      <c r="H1242" t="s">
        <v>197</v>
      </c>
      <c r="I1242" t="s">
        <v>198</v>
      </c>
      <c r="J1242" t="s">
        <v>266</v>
      </c>
      <c r="K1242" t="s">
        <v>406</v>
      </c>
      <c r="L1242" t="s">
        <v>407</v>
      </c>
      <c r="N1242" t="s">
        <v>408</v>
      </c>
      <c r="O1242" t="s">
        <v>134</v>
      </c>
      <c r="Q1242" t="s">
        <v>231</v>
      </c>
      <c r="R1242" t="s">
        <v>199</v>
      </c>
      <c r="S1242" t="s">
        <v>128</v>
      </c>
      <c r="T1242" t="s">
        <v>162</v>
      </c>
      <c r="U1242" t="s">
        <v>151</v>
      </c>
      <c r="V1242" t="s">
        <v>76</v>
      </c>
      <c r="W1242" s="58">
        <v>43322</v>
      </c>
      <c r="X1242" s="59">
        <v>0.33333333333333331</v>
      </c>
      <c r="Y1242" s="59">
        <v>0.375</v>
      </c>
      <c r="Z1242" s="59">
        <v>4.1666666666666664E-2</v>
      </c>
      <c r="AA1242">
        <v>0</v>
      </c>
      <c r="AC1242">
        <v>20</v>
      </c>
      <c r="AD1242">
        <v>10</v>
      </c>
      <c r="AE1242" s="59">
        <v>0.33333333333333331</v>
      </c>
      <c r="AF1242" s="59">
        <v>0.3743055555555555</v>
      </c>
    </row>
    <row r="1243" spans="1:32" x14ac:dyDescent="0.25">
      <c r="A1243" t="s">
        <v>258</v>
      </c>
      <c r="B1243" t="s">
        <v>342</v>
      </c>
      <c r="C1243" t="s">
        <v>343</v>
      </c>
      <c r="E1243" t="s">
        <v>344</v>
      </c>
      <c r="F1243" t="s">
        <v>134</v>
      </c>
      <c r="H1243" t="s">
        <v>197</v>
      </c>
      <c r="I1243" t="s">
        <v>198</v>
      </c>
      <c r="J1243" t="s">
        <v>266</v>
      </c>
      <c r="K1243" t="s">
        <v>406</v>
      </c>
      <c r="L1243" t="s">
        <v>407</v>
      </c>
      <c r="N1243" t="s">
        <v>408</v>
      </c>
      <c r="O1243" t="s">
        <v>134</v>
      </c>
      <c r="Q1243" t="s">
        <v>231</v>
      </c>
      <c r="R1243" t="s">
        <v>199</v>
      </c>
      <c r="S1243" t="s">
        <v>128</v>
      </c>
      <c r="T1243" t="s">
        <v>162</v>
      </c>
      <c r="U1243" t="s">
        <v>151</v>
      </c>
      <c r="V1243" t="s">
        <v>77</v>
      </c>
      <c r="W1243" s="58">
        <v>43330</v>
      </c>
      <c r="X1243" s="59">
        <v>0.33333333333333331</v>
      </c>
      <c r="Y1243" s="59">
        <v>0.375</v>
      </c>
      <c r="Z1243" s="59">
        <v>4.1666666666666664E-2</v>
      </c>
      <c r="AA1243">
        <v>0</v>
      </c>
      <c r="AC1243">
        <v>20</v>
      </c>
      <c r="AD1243">
        <v>11</v>
      </c>
      <c r="AE1243" s="59">
        <v>0.33333333333333331</v>
      </c>
      <c r="AF1243" s="59">
        <v>0.3743055555555555</v>
      </c>
    </row>
    <row r="1244" spans="1:32" x14ac:dyDescent="0.25">
      <c r="A1244" t="s">
        <v>368</v>
      </c>
      <c r="B1244" t="s">
        <v>369</v>
      </c>
      <c r="C1244" t="s">
        <v>370</v>
      </c>
      <c r="E1244" t="s">
        <v>292</v>
      </c>
      <c r="F1244" t="s">
        <v>134</v>
      </c>
      <c r="H1244" t="s">
        <v>154</v>
      </c>
      <c r="I1244" t="s">
        <v>155</v>
      </c>
      <c r="J1244" t="s">
        <v>266</v>
      </c>
      <c r="K1244" t="s">
        <v>406</v>
      </c>
      <c r="L1244" t="s">
        <v>407</v>
      </c>
      <c r="N1244" t="s">
        <v>408</v>
      </c>
      <c r="O1244" t="s">
        <v>134</v>
      </c>
      <c r="Q1244" t="s">
        <v>231</v>
      </c>
      <c r="R1244" t="s">
        <v>212</v>
      </c>
      <c r="S1244" t="s">
        <v>128</v>
      </c>
      <c r="T1244" t="s">
        <v>162</v>
      </c>
      <c r="U1244" t="s">
        <v>213</v>
      </c>
      <c r="V1244" t="s">
        <v>77</v>
      </c>
      <c r="W1244" s="58">
        <v>43330</v>
      </c>
      <c r="X1244" s="59">
        <v>0.41666666666666669</v>
      </c>
      <c r="Y1244" s="59">
        <v>0.59375</v>
      </c>
      <c r="Z1244" s="59">
        <v>0.17708333333333334</v>
      </c>
      <c r="AA1244">
        <v>0</v>
      </c>
      <c r="AB1244">
        <v>2.4521999999999999</v>
      </c>
      <c r="AC1244">
        <v>85</v>
      </c>
      <c r="AD1244">
        <v>46.75</v>
      </c>
      <c r="AE1244" s="59">
        <v>0.41666666666666669</v>
      </c>
      <c r="AF1244" s="59">
        <v>0.58263888888888882</v>
      </c>
    </row>
    <row r="1245" spans="1:32" x14ac:dyDescent="0.25">
      <c r="A1245" t="s">
        <v>368</v>
      </c>
      <c r="B1245" t="s">
        <v>369</v>
      </c>
      <c r="C1245" t="s">
        <v>370</v>
      </c>
      <c r="E1245" t="s">
        <v>292</v>
      </c>
      <c r="F1245" t="s">
        <v>134</v>
      </c>
      <c r="H1245" t="s">
        <v>154</v>
      </c>
      <c r="I1245" t="s">
        <v>155</v>
      </c>
      <c r="J1245" t="s">
        <v>266</v>
      </c>
      <c r="K1245" t="s">
        <v>406</v>
      </c>
      <c r="L1245" t="s">
        <v>407</v>
      </c>
      <c r="N1245" t="s">
        <v>408</v>
      </c>
      <c r="O1245" t="s">
        <v>134</v>
      </c>
      <c r="Q1245" t="s">
        <v>231</v>
      </c>
      <c r="R1245" t="s">
        <v>212</v>
      </c>
      <c r="S1245" t="s">
        <v>128</v>
      </c>
      <c r="T1245" t="s">
        <v>162</v>
      </c>
      <c r="U1245" t="s">
        <v>213</v>
      </c>
      <c r="V1245" t="s">
        <v>77</v>
      </c>
      <c r="W1245" s="58">
        <v>43330</v>
      </c>
      <c r="X1245" s="59">
        <v>0.58333333333333337</v>
      </c>
      <c r="Y1245" s="59">
        <v>0.69791666666666663</v>
      </c>
      <c r="Z1245" s="59">
        <v>0.11458333333333333</v>
      </c>
      <c r="AA1245">
        <v>0</v>
      </c>
      <c r="AB1245">
        <v>0</v>
      </c>
      <c r="AC1245">
        <v>55</v>
      </c>
      <c r="AD1245">
        <v>30.25</v>
      </c>
      <c r="AE1245" s="59">
        <v>0.58333333333333337</v>
      </c>
      <c r="AF1245" s="59">
        <v>0.70763888888888893</v>
      </c>
    </row>
    <row r="1246" spans="1:32" x14ac:dyDescent="0.25">
      <c r="A1246" t="s">
        <v>258</v>
      </c>
      <c r="B1246" t="s">
        <v>342</v>
      </c>
      <c r="C1246" t="s">
        <v>343</v>
      </c>
      <c r="E1246" t="s">
        <v>344</v>
      </c>
      <c r="F1246" t="s">
        <v>134</v>
      </c>
      <c r="H1246" t="s">
        <v>197</v>
      </c>
      <c r="I1246" t="s">
        <v>198</v>
      </c>
      <c r="J1246" t="s">
        <v>266</v>
      </c>
      <c r="K1246" t="s">
        <v>406</v>
      </c>
      <c r="L1246" t="s">
        <v>407</v>
      </c>
      <c r="N1246" t="s">
        <v>408</v>
      </c>
      <c r="O1246" t="s">
        <v>134</v>
      </c>
      <c r="Q1246" t="s">
        <v>231</v>
      </c>
      <c r="R1246" t="s">
        <v>199</v>
      </c>
      <c r="S1246" t="s">
        <v>128</v>
      </c>
      <c r="T1246" t="s">
        <v>162</v>
      </c>
      <c r="U1246" t="s">
        <v>151</v>
      </c>
      <c r="V1246" t="s">
        <v>71</v>
      </c>
      <c r="W1246" s="58">
        <v>43331</v>
      </c>
      <c r="X1246" s="59">
        <v>0.33333333333333331</v>
      </c>
      <c r="Y1246" s="59">
        <v>0.375</v>
      </c>
      <c r="Z1246" s="59">
        <v>4.1666666666666664E-2</v>
      </c>
      <c r="AA1246">
        <v>0</v>
      </c>
      <c r="AC1246">
        <v>20</v>
      </c>
      <c r="AD1246">
        <v>11</v>
      </c>
      <c r="AE1246" s="59">
        <v>0.33333333333333331</v>
      </c>
      <c r="AF1246" s="59">
        <v>0.3743055555555555</v>
      </c>
    </row>
    <row r="1247" spans="1:32" x14ac:dyDescent="0.25">
      <c r="A1247" t="s">
        <v>368</v>
      </c>
      <c r="B1247" t="s">
        <v>369</v>
      </c>
      <c r="C1247" t="s">
        <v>370</v>
      </c>
      <c r="E1247" t="s">
        <v>292</v>
      </c>
      <c r="F1247" t="s">
        <v>134</v>
      </c>
      <c r="H1247" t="s">
        <v>154</v>
      </c>
      <c r="I1247" t="s">
        <v>155</v>
      </c>
      <c r="J1247" t="s">
        <v>266</v>
      </c>
      <c r="K1247" t="s">
        <v>406</v>
      </c>
      <c r="L1247" t="s">
        <v>407</v>
      </c>
      <c r="N1247" t="s">
        <v>408</v>
      </c>
      <c r="O1247" t="s">
        <v>134</v>
      </c>
      <c r="Q1247" t="s">
        <v>231</v>
      </c>
      <c r="R1247" t="s">
        <v>212</v>
      </c>
      <c r="S1247" t="s">
        <v>128</v>
      </c>
      <c r="T1247" t="s">
        <v>162</v>
      </c>
      <c r="U1247" t="s">
        <v>213</v>
      </c>
      <c r="V1247" t="s">
        <v>71</v>
      </c>
      <c r="W1247" s="58">
        <v>43331</v>
      </c>
      <c r="X1247" s="59">
        <v>0.41666666666666669</v>
      </c>
      <c r="Y1247" s="59">
        <v>0.61458333333333337</v>
      </c>
      <c r="Z1247" s="59">
        <v>0.19791666666666666</v>
      </c>
      <c r="AA1247">
        <v>0</v>
      </c>
      <c r="AB1247">
        <v>2.4521999999999999</v>
      </c>
      <c r="AC1247">
        <v>95</v>
      </c>
      <c r="AD1247">
        <v>52.25</v>
      </c>
      <c r="AE1247" s="59">
        <v>0.41666666666666669</v>
      </c>
      <c r="AF1247" s="59">
        <v>0.60347222222222219</v>
      </c>
    </row>
    <row r="1248" spans="1:32" x14ac:dyDescent="0.25">
      <c r="A1248" t="s">
        <v>274</v>
      </c>
      <c r="B1248" t="s">
        <v>334</v>
      </c>
      <c r="C1248" t="s">
        <v>285</v>
      </c>
      <c r="E1248" t="s">
        <v>335</v>
      </c>
      <c r="F1248" t="s">
        <v>134</v>
      </c>
      <c r="H1248" t="s">
        <v>192</v>
      </c>
      <c r="I1248" t="s">
        <v>155</v>
      </c>
      <c r="J1248" t="s">
        <v>266</v>
      </c>
      <c r="K1248" t="s">
        <v>406</v>
      </c>
      <c r="L1248" t="s">
        <v>407</v>
      </c>
      <c r="N1248" t="s">
        <v>408</v>
      </c>
      <c r="O1248" t="s">
        <v>134</v>
      </c>
      <c r="Q1248" t="s">
        <v>231</v>
      </c>
      <c r="R1248" t="s">
        <v>193</v>
      </c>
      <c r="S1248" t="s">
        <v>128</v>
      </c>
      <c r="T1248" t="s">
        <v>162</v>
      </c>
      <c r="U1248" t="s">
        <v>129</v>
      </c>
      <c r="V1248" t="s">
        <v>73</v>
      </c>
      <c r="W1248" s="58">
        <v>43333</v>
      </c>
      <c r="X1248" s="59">
        <v>0.72916666666666663</v>
      </c>
      <c r="Y1248" s="59">
        <v>0.77083333333333337</v>
      </c>
      <c r="Z1248" s="59">
        <v>4.1666666666666664E-2</v>
      </c>
      <c r="AA1248">
        <v>0</v>
      </c>
      <c r="AC1248">
        <v>23</v>
      </c>
      <c r="AD1248">
        <v>10</v>
      </c>
      <c r="AE1248" s="59">
        <v>0.72916666666666663</v>
      </c>
      <c r="AF1248" s="59">
        <v>0.77013888888888893</v>
      </c>
    </row>
    <row r="1249" spans="1:33" x14ac:dyDescent="0.25">
      <c r="A1249" t="s">
        <v>368</v>
      </c>
      <c r="B1249" t="s">
        <v>369</v>
      </c>
      <c r="C1249" t="s">
        <v>370</v>
      </c>
      <c r="E1249" t="s">
        <v>292</v>
      </c>
      <c r="F1249" t="s">
        <v>134</v>
      </c>
      <c r="H1249" t="s">
        <v>154</v>
      </c>
      <c r="I1249" t="s">
        <v>155</v>
      </c>
      <c r="J1249" t="s">
        <v>266</v>
      </c>
      <c r="K1249" t="s">
        <v>406</v>
      </c>
      <c r="L1249" t="s">
        <v>407</v>
      </c>
      <c r="N1249" t="s">
        <v>408</v>
      </c>
      <c r="O1249" t="s">
        <v>134</v>
      </c>
      <c r="Q1249" t="s">
        <v>231</v>
      </c>
      <c r="R1249" t="s">
        <v>212</v>
      </c>
      <c r="S1249" t="s">
        <v>128</v>
      </c>
      <c r="T1249" t="s">
        <v>162</v>
      </c>
      <c r="U1249" t="s">
        <v>213</v>
      </c>
      <c r="V1249" t="s">
        <v>76</v>
      </c>
      <c r="W1249" s="58">
        <v>43350</v>
      </c>
      <c r="X1249" s="59">
        <v>0.44791666666666669</v>
      </c>
      <c r="Y1249" s="59">
        <v>0.75</v>
      </c>
      <c r="Z1249" s="59">
        <v>0.30208333333333331</v>
      </c>
      <c r="AA1249">
        <v>0</v>
      </c>
      <c r="AC1249">
        <v>145</v>
      </c>
      <c r="AD1249">
        <v>72.5</v>
      </c>
      <c r="AE1249" s="59">
        <v>0.44791666666666669</v>
      </c>
      <c r="AF1249" s="59">
        <v>0.74930555555555556</v>
      </c>
    </row>
    <row r="1250" spans="1:33" x14ac:dyDescent="0.25">
      <c r="A1250" t="s">
        <v>274</v>
      </c>
      <c r="B1250" t="s">
        <v>334</v>
      </c>
      <c r="C1250" t="s">
        <v>285</v>
      </c>
      <c r="E1250" t="s">
        <v>335</v>
      </c>
      <c r="F1250" t="s">
        <v>134</v>
      </c>
      <c r="H1250" t="s">
        <v>192</v>
      </c>
      <c r="I1250" t="s">
        <v>155</v>
      </c>
      <c r="J1250" t="s">
        <v>266</v>
      </c>
      <c r="K1250" t="s">
        <v>406</v>
      </c>
      <c r="L1250" t="s">
        <v>407</v>
      </c>
      <c r="N1250" t="s">
        <v>408</v>
      </c>
      <c r="O1250" t="s">
        <v>134</v>
      </c>
      <c r="Q1250" t="s">
        <v>231</v>
      </c>
      <c r="R1250" t="s">
        <v>193</v>
      </c>
      <c r="S1250" t="s">
        <v>128</v>
      </c>
      <c r="T1250" t="s">
        <v>162</v>
      </c>
      <c r="U1250" t="s">
        <v>129</v>
      </c>
      <c r="V1250" t="s">
        <v>77</v>
      </c>
      <c r="W1250" s="58">
        <v>43351</v>
      </c>
      <c r="X1250" s="59">
        <v>0.70833333333333337</v>
      </c>
      <c r="Y1250" s="59">
        <v>0.75</v>
      </c>
      <c r="Z1250" s="59">
        <v>4.1666666666666664E-2</v>
      </c>
      <c r="AA1250">
        <v>0</v>
      </c>
      <c r="AC1250">
        <v>23</v>
      </c>
      <c r="AD1250">
        <v>11</v>
      </c>
      <c r="AE1250" s="59">
        <v>0.70833333333333337</v>
      </c>
      <c r="AF1250" s="59">
        <v>0.74930555555555556</v>
      </c>
    </row>
    <row r="1251" spans="1:33" x14ac:dyDescent="0.25">
      <c r="A1251" t="s">
        <v>258</v>
      </c>
      <c r="B1251" t="s">
        <v>342</v>
      </c>
      <c r="C1251" t="s">
        <v>343</v>
      </c>
      <c r="E1251" t="s">
        <v>344</v>
      </c>
      <c r="F1251" t="s">
        <v>134</v>
      </c>
      <c r="H1251" t="s">
        <v>197</v>
      </c>
      <c r="I1251" t="s">
        <v>198</v>
      </c>
      <c r="J1251" t="s">
        <v>266</v>
      </c>
      <c r="K1251" t="s">
        <v>406</v>
      </c>
      <c r="L1251" t="s">
        <v>407</v>
      </c>
      <c r="N1251" t="s">
        <v>408</v>
      </c>
      <c r="O1251" t="s">
        <v>134</v>
      </c>
      <c r="Q1251" t="s">
        <v>231</v>
      </c>
      <c r="R1251" t="s">
        <v>199</v>
      </c>
      <c r="S1251" t="s">
        <v>128</v>
      </c>
      <c r="T1251" t="s">
        <v>162</v>
      </c>
      <c r="U1251" t="s">
        <v>151</v>
      </c>
      <c r="V1251" t="s">
        <v>71</v>
      </c>
      <c r="W1251" s="58">
        <v>43352</v>
      </c>
      <c r="X1251" s="59">
        <v>0.8125</v>
      </c>
      <c r="Y1251" s="59">
        <v>0.85416666666666663</v>
      </c>
      <c r="Z1251" s="59">
        <v>4.1666666666666664E-2</v>
      </c>
      <c r="AA1251">
        <v>0</v>
      </c>
      <c r="AC1251">
        <v>20</v>
      </c>
      <c r="AD1251">
        <v>11</v>
      </c>
      <c r="AE1251" s="59">
        <v>0.8125</v>
      </c>
      <c r="AF1251" s="59">
        <v>0.8534722222222223</v>
      </c>
    </row>
    <row r="1252" spans="1:33" x14ac:dyDescent="0.25">
      <c r="A1252" t="s">
        <v>274</v>
      </c>
      <c r="B1252" t="s">
        <v>334</v>
      </c>
      <c r="C1252" t="s">
        <v>285</v>
      </c>
      <c r="E1252" t="s">
        <v>335</v>
      </c>
      <c r="F1252" t="s">
        <v>134</v>
      </c>
      <c r="H1252" t="s">
        <v>192</v>
      </c>
      <c r="I1252" t="s">
        <v>155</v>
      </c>
      <c r="J1252" t="s">
        <v>266</v>
      </c>
      <c r="K1252" t="s">
        <v>406</v>
      </c>
      <c r="L1252" t="s">
        <v>407</v>
      </c>
      <c r="N1252" t="s">
        <v>408</v>
      </c>
      <c r="O1252" t="s">
        <v>134</v>
      </c>
      <c r="Q1252" t="s">
        <v>231</v>
      </c>
      <c r="R1252" t="s">
        <v>193</v>
      </c>
      <c r="S1252" t="s">
        <v>128</v>
      </c>
      <c r="T1252" t="s">
        <v>162</v>
      </c>
      <c r="U1252" t="s">
        <v>129</v>
      </c>
      <c r="V1252" t="s">
        <v>72</v>
      </c>
      <c r="W1252" s="58">
        <v>43353</v>
      </c>
      <c r="X1252" s="59">
        <v>0.70833333333333337</v>
      </c>
      <c r="Y1252" s="59">
        <v>0.75</v>
      </c>
      <c r="Z1252" s="59">
        <v>4.1666666666666664E-2</v>
      </c>
      <c r="AA1252">
        <v>0</v>
      </c>
      <c r="AC1252">
        <v>23</v>
      </c>
      <c r="AD1252">
        <v>10</v>
      </c>
      <c r="AE1252" s="59">
        <v>0.70833333333333337</v>
      </c>
      <c r="AF1252" s="59">
        <v>0.74930555555555556</v>
      </c>
    </row>
    <row r="1253" spans="1:33" x14ac:dyDescent="0.25">
      <c r="A1253" t="s">
        <v>274</v>
      </c>
      <c r="B1253" t="s">
        <v>334</v>
      </c>
      <c r="C1253" t="s">
        <v>285</v>
      </c>
      <c r="E1253" t="s">
        <v>335</v>
      </c>
      <c r="F1253" t="s">
        <v>134</v>
      </c>
      <c r="H1253" t="s">
        <v>192</v>
      </c>
      <c r="I1253" t="s">
        <v>155</v>
      </c>
      <c r="J1253" t="s">
        <v>266</v>
      </c>
      <c r="K1253" t="s">
        <v>406</v>
      </c>
      <c r="L1253" t="s">
        <v>407</v>
      </c>
      <c r="N1253" t="s">
        <v>408</v>
      </c>
      <c r="O1253" t="s">
        <v>134</v>
      </c>
      <c r="Q1253" t="s">
        <v>231</v>
      </c>
      <c r="R1253" t="s">
        <v>193</v>
      </c>
      <c r="S1253" t="s">
        <v>128</v>
      </c>
      <c r="T1253" t="s">
        <v>162</v>
      </c>
      <c r="U1253" t="s">
        <v>129</v>
      </c>
      <c r="V1253" t="s">
        <v>73</v>
      </c>
      <c r="W1253" s="58">
        <v>43354</v>
      </c>
      <c r="X1253" s="59">
        <v>0.70833333333333337</v>
      </c>
      <c r="Y1253" s="59">
        <v>0.75</v>
      </c>
      <c r="Z1253" s="59">
        <v>4.1666666666666664E-2</v>
      </c>
      <c r="AA1253">
        <v>0</v>
      </c>
      <c r="AC1253">
        <v>23</v>
      </c>
      <c r="AD1253">
        <v>10</v>
      </c>
      <c r="AE1253" s="59">
        <v>0.70833333333333337</v>
      </c>
      <c r="AF1253" s="59">
        <v>0.74930555555555556</v>
      </c>
    </row>
    <row r="1254" spans="1:33" x14ac:dyDescent="0.25">
      <c r="A1254" t="s">
        <v>274</v>
      </c>
      <c r="B1254" t="s">
        <v>334</v>
      </c>
      <c r="C1254" t="s">
        <v>285</v>
      </c>
      <c r="E1254" t="s">
        <v>335</v>
      </c>
      <c r="F1254" t="s">
        <v>134</v>
      </c>
      <c r="H1254" t="s">
        <v>192</v>
      </c>
      <c r="I1254" t="s">
        <v>155</v>
      </c>
      <c r="J1254" t="s">
        <v>266</v>
      </c>
      <c r="K1254" t="s">
        <v>406</v>
      </c>
      <c r="L1254" t="s">
        <v>407</v>
      </c>
      <c r="N1254" t="s">
        <v>408</v>
      </c>
      <c r="O1254" t="s">
        <v>134</v>
      </c>
      <c r="Q1254" t="s">
        <v>231</v>
      </c>
      <c r="R1254" t="s">
        <v>193</v>
      </c>
      <c r="S1254" t="s">
        <v>128</v>
      </c>
      <c r="T1254" t="s">
        <v>162</v>
      </c>
      <c r="U1254" t="s">
        <v>129</v>
      </c>
      <c r="V1254" t="s">
        <v>74</v>
      </c>
      <c r="W1254" s="58">
        <v>43355</v>
      </c>
      <c r="X1254" s="59">
        <v>0.70833333333333337</v>
      </c>
      <c r="Y1254" s="59">
        <v>0.75</v>
      </c>
      <c r="Z1254" s="59">
        <v>4.1666666666666664E-2</v>
      </c>
      <c r="AA1254">
        <v>0</v>
      </c>
      <c r="AC1254">
        <v>23</v>
      </c>
      <c r="AD1254">
        <v>10</v>
      </c>
      <c r="AE1254" s="59">
        <v>0.70833333333333337</v>
      </c>
      <c r="AF1254" s="59">
        <v>0.74930555555555556</v>
      </c>
    </row>
    <row r="1255" spans="1:33" x14ac:dyDescent="0.25">
      <c r="A1255" t="s">
        <v>258</v>
      </c>
      <c r="B1255" t="s">
        <v>342</v>
      </c>
      <c r="C1255" t="s">
        <v>343</v>
      </c>
      <c r="E1255" t="s">
        <v>344</v>
      </c>
      <c r="F1255" t="s">
        <v>134</v>
      </c>
      <c r="H1255" t="s">
        <v>197</v>
      </c>
      <c r="I1255" t="s">
        <v>198</v>
      </c>
      <c r="J1255" t="s">
        <v>266</v>
      </c>
      <c r="K1255" t="s">
        <v>406</v>
      </c>
      <c r="L1255" t="s">
        <v>407</v>
      </c>
      <c r="N1255" t="s">
        <v>408</v>
      </c>
      <c r="O1255" t="s">
        <v>134</v>
      </c>
      <c r="Q1255" t="s">
        <v>231</v>
      </c>
      <c r="R1255" t="s">
        <v>199</v>
      </c>
      <c r="S1255" t="s">
        <v>128</v>
      </c>
      <c r="T1255" t="s">
        <v>162</v>
      </c>
      <c r="U1255" t="s">
        <v>151</v>
      </c>
      <c r="V1255" t="s">
        <v>74</v>
      </c>
      <c r="W1255" s="58">
        <v>43355</v>
      </c>
      <c r="X1255" s="59">
        <v>0.8125</v>
      </c>
      <c r="Y1255" s="59">
        <v>0.85416666666666663</v>
      </c>
      <c r="Z1255" s="59">
        <v>4.1666666666666664E-2</v>
      </c>
      <c r="AA1255">
        <v>4</v>
      </c>
      <c r="AB1255">
        <v>2.1772</v>
      </c>
      <c r="AC1255">
        <v>20</v>
      </c>
      <c r="AD1255">
        <v>10</v>
      </c>
      <c r="AE1255" s="59">
        <v>0.8125</v>
      </c>
      <c r="AF1255" s="59">
        <v>0.8534722222222223</v>
      </c>
    </row>
    <row r="1256" spans="1:33" x14ac:dyDescent="0.25">
      <c r="A1256" t="s">
        <v>274</v>
      </c>
      <c r="B1256" t="s">
        <v>334</v>
      </c>
      <c r="C1256" t="s">
        <v>285</v>
      </c>
      <c r="E1256" t="s">
        <v>335</v>
      </c>
      <c r="F1256" t="s">
        <v>134</v>
      </c>
      <c r="H1256" t="s">
        <v>192</v>
      </c>
      <c r="I1256" t="s">
        <v>155</v>
      </c>
      <c r="J1256" t="s">
        <v>266</v>
      </c>
      <c r="K1256" t="s">
        <v>406</v>
      </c>
      <c r="L1256" t="s">
        <v>407</v>
      </c>
      <c r="N1256" t="s">
        <v>408</v>
      </c>
      <c r="O1256" t="s">
        <v>134</v>
      </c>
      <c r="Q1256" t="s">
        <v>231</v>
      </c>
      <c r="R1256" t="s">
        <v>193</v>
      </c>
      <c r="S1256" t="s">
        <v>128</v>
      </c>
      <c r="T1256" t="s">
        <v>162</v>
      </c>
      <c r="U1256" t="s">
        <v>129</v>
      </c>
      <c r="V1256" t="s">
        <v>75</v>
      </c>
      <c r="W1256" s="58">
        <v>43356</v>
      </c>
      <c r="X1256" s="59">
        <v>0.70833333333333337</v>
      </c>
      <c r="Y1256" s="59">
        <v>0.75</v>
      </c>
      <c r="Z1256" s="59">
        <v>4.1666666666666664E-2</v>
      </c>
      <c r="AA1256">
        <v>0</v>
      </c>
      <c r="AC1256">
        <v>23</v>
      </c>
      <c r="AD1256">
        <v>10</v>
      </c>
      <c r="AE1256" s="59">
        <v>0.70833333333333337</v>
      </c>
      <c r="AF1256" s="59">
        <v>0.74930555555555556</v>
      </c>
    </row>
    <row r="1257" spans="1:33" x14ac:dyDescent="0.25">
      <c r="A1257" t="s">
        <v>258</v>
      </c>
      <c r="B1257" t="s">
        <v>342</v>
      </c>
      <c r="C1257" t="s">
        <v>343</v>
      </c>
      <c r="E1257" t="s">
        <v>344</v>
      </c>
      <c r="F1257" t="s">
        <v>134</v>
      </c>
      <c r="H1257" t="s">
        <v>197</v>
      </c>
      <c r="I1257" t="s">
        <v>198</v>
      </c>
      <c r="J1257" t="s">
        <v>266</v>
      </c>
      <c r="K1257" t="s">
        <v>406</v>
      </c>
      <c r="L1257" t="s">
        <v>407</v>
      </c>
      <c r="N1257" t="s">
        <v>408</v>
      </c>
      <c r="O1257" t="s">
        <v>134</v>
      </c>
      <c r="Q1257" t="s">
        <v>231</v>
      </c>
      <c r="R1257" t="s">
        <v>199</v>
      </c>
      <c r="S1257" t="s">
        <v>128</v>
      </c>
      <c r="T1257" t="s">
        <v>162</v>
      </c>
      <c r="U1257" t="s">
        <v>151</v>
      </c>
      <c r="V1257" t="s">
        <v>76</v>
      </c>
      <c r="W1257" s="58">
        <v>43357</v>
      </c>
      <c r="X1257" s="59">
        <v>0.45833333333333331</v>
      </c>
      <c r="Y1257" s="59">
        <v>0.61458333333333337</v>
      </c>
      <c r="Z1257" s="59">
        <v>0.15625</v>
      </c>
      <c r="AA1257">
        <v>0</v>
      </c>
      <c r="AC1257">
        <v>75</v>
      </c>
      <c r="AD1257">
        <v>37.5</v>
      </c>
      <c r="AE1257" s="59">
        <v>0.45833333333333331</v>
      </c>
      <c r="AF1257" s="59">
        <v>0.58263888888888882</v>
      </c>
    </row>
    <row r="1258" spans="1:33" x14ac:dyDescent="0.25">
      <c r="A1258" t="s">
        <v>274</v>
      </c>
      <c r="B1258" t="s">
        <v>334</v>
      </c>
      <c r="C1258" t="s">
        <v>285</v>
      </c>
      <c r="E1258" t="s">
        <v>335</v>
      </c>
      <c r="F1258" t="s">
        <v>134</v>
      </c>
      <c r="H1258" t="s">
        <v>192</v>
      </c>
      <c r="I1258" t="s">
        <v>155</v>
      </c>
      <c r="J1258" t="s">
        <v>266</v>
      </c>
      <c r="K1258" t="s">
        <v>406</v>
      </c>
      <c r="L1258" t="s">
        <v>407</v>
      </c>
      <c r="N1258" t="s">
        <v>408</v>
      </c>
      <c r="O1258" t="s">
        <v>134</v>
      </c>
      <c r="Q1258" t="s">
        <v>231</v>
      </c>
      <c r="R1258" t="s">
        <v>193</v>
      </c>
      <c r="S1258" t="s">
        <v>128</v>
      </c>
      <c r="T1258" t="s">
        <v>162</v>
      </c>
      <c r="U1258" t="s">
        <v>129</v>
      </c>
      <c r="V1258" t="s">
        <v>76</v>
      </c>
      <c r="W1258" s="58">
        <v>43357</v>
      </c>
      <c r="X1258" s="59">
        <v>0.70833333333333337</v>
      </c>
      <c r="Y1258" s="59">
        <v>0.75</v>
      </c>
      <c r="Z1258" s="59">
        <v>4.1666666666666664E-2</v>
      </c>
      <c r="AA1258">
        <v>4</v>
      </c>
      <c r="AB1258">
        <v>2.1818</v>
      </c>
      <c r="AC1258">
        <v>23</v>
      </c>
      <c r="AD1258">
        <v>10</v>
      </c>
      <c r="AE1258" s="59">
        <v>0.70833333333333337</v>
      </c>
      <c r="AF1258" s="59">
        <v>0.74930555555555556</v>
      </c>
    </row>
    <row r="1259" spans="1:33" x14ac:dyDescent="0.25">
      <c r="A1259" t="s">
        <v>258</v>
      </c>
      <c r="B1259" t="s">
        <v>262</v>
      </c>
      <c r="C1259" t="s">
        <v>263</v>
      </c>
      <c r="D1259" t="s">
        <v>264</v>
      </c>
      <c r="E1259" t="s">
        <v>265</v>
      </c>
      <c r="F1259" t="s">
        <v>134</v>
      </c>
      <c r="H1259" t="s">
        <v>132</v>
      </c>
      <c r="I1259" t="s">
        <v>133</v>
      </c>
      <c r="J1259" t="s">
        <v>266</v>
      </c>
      <c r="K1259" t="s">
        <v>409</v>
      </c>
      <c r="L1259" t="s">
        <v>410</v>
      </c>
      <c r="N1259" t="s">
        <v>411</v>
      </c>
      <c r="O1259" t="s">
        <v>134</v>
      </c>
      <c r="Q1259" t="s">
        <v>232</v>
      </c>
      <c r="R1259" t="s">
        <v>136</v>
      </c>
      <c r="S1259" t="s">
        <v>128</v>
      </c>
      <c r="T1259" t="s">
        <v>165</v>
      </c>
      <c r="U1259" t="s">
        <v>129</v>
      </c>
      <c r="V1259" t="s">
        <v>77</v>
      </c>
      <c r="W1259" s="58">
        <v>43309</v>
      </c>
      <c r="X1259" s="59">
        <v>0.65625</v>
      </c>
      <c r="Y1259" s="59">
        <v>0.69791666666666663</v>
      </c>
      <c r="Z1259" s="59">
        <v>4.1666666666666664E-2</v>
      </c>
      <c r="AA1259">
        <v>0</v>
      </c>
      <c r="AC1259">
        <v>23</v>
      </c>
      <c r="AD1259">
        <v>10</v>
      </c>
      <c r="AE1259" s="59">
        <v>0.65625</v>
      </c>
      <c r="AF1259" s="59">
        <v>0.6972222222222223</v>
      </c>
      <c r="AG1259">
        <v>16</v>
      </c>
    </row>
    <row r="1260" spans="1:33" x14ac:dyDescent="0.25">
      <c r="A1260" t="s">
        <v>258</v>
      </c>
      <c r="B1260" t="s">
        <v>314</v>
      </c>
      <c r="C1260" t="s">
        <v>315</v>
      </c>
      <c r="D1260">
        <v>72</v>
      </c>
      <c r="E1260" t="s">
        <v>316</v>
      </c>
      <c r="F1260" t="s">
        <v>317</v>
      </c>
      <c r="G1260" t="s">
        <v>218</v>
      </c>
      <c r="H1260" t="s">
        <v>168</v>
      </c>
      <c r="I1260" t="s">
        <v>169</v>
      </c>
      <c r="J1260" t="s">
        <v>266</v>
      </c>
      <c r="K1260" t="s">
        <v>409</v>
      </c>
      <c r="L1260" t="s">
        <v>410</v>
      </c>
      <c r="N1260" t="s">
        <v>411</v>
      </c>
      <c r="O1260" t="s">
        <v>134</v>
      </c>
      <c r="Q1260" t="s">
        <v>232</v>
      </c>
      <c r="R1260" t="s">
        <v>170</v>
      </c>
      <c r="S1260" t="s">
        <v>128</v>
      </c>
      <c r="T1260" t="s">
        <v>165</v>
      </c>
      <c r="U1260" t="s">
        <v>129</v>
      </c>
      <c r="V1260" t="s">
        <v>77</v>
      </c>
      <c r="W1260" s="58">
        <v>43309</v>
      </c>
      <c r="X1260" s="59">
        <v>0.70833333333333337</v>
      </c>
      <c r="Y1260" s="59">
        <v>0.75</v>
      </c>
      <c r="Z1260" s="59">
        <v>4.1666666666666664E-2</v>
      </c>
      <c r="AA1260">
        <v>0</v>
      </c>
      <c r="AB1260">
        <v>7.9555999999999996</v>
      </c>
      <c r="AC1260">
        <v>23</v>
      </c>
      <c r="AD1260">
        <v>10</v>
      </c>
      <c r="AE1260" s="59">
        <v>0.70833333333333337</v>
      </c>
      <c r="AF1260" s="59">
        <v>0.74930555555555556</v>
      </c>
      <c r="AG1260">
        <v>16</v>
      </c>
    </row>
    <row r="1261" spans="1:33" x14ac:dyDescent="0.25">
      <c r="A1261" t="s">
        <v>258</v>
      </c>
      <c r="B1261" t="s">
        <v>310</v>
      </c>
      <c r="C1261" t="s">
        <v>311</v>
      </c>
      <c r="D1261" t="s">
        <v>312</v>
      </c>
      <c r="E1261" t="s">
        <v>313</v>
      </c>
      <c r="F1261" t="s">
        <v>134</v>
      </c>
      <c r="H1261" t="s">
        <v>175</v>
      </c>
      <c r="I1261" t="s">
        <v>127</v>
      </c>
      <c r="J1261" t="s">
        <v>266</v>
      </c>
      <c r="K1261" t="s">
        <v>409</v>
      </c>
      <c r="L1261" t="s">
        <v>410</v>
      </c>
      <c r="N1261" t="s">
        <v>411</v>
      </c>
      <c r="O1261" t="s">
        <v>134</v>
      </c>
      <c r="Q1261" t="s">
        <v>232</v>
      </c>
      <c r="R1261" t="s">
        <v>176</v>
      </c>
      <c r="S1261" t="s">
        <v>128</v>
      </c>
      <c r="T1261" t="s">
        <v>165</v>
      </c>
      <c r="U1261" t="s">
        <v>151</v>
      </c>
      <c r="V1261" t="s">
        <v>77</v>
      </c>
      <c r="W1261" s="58">
        <v>43309</v>
      </c>
      <c r="X1261" s="59">
        <v>0.78263888888888899</v>
      </c>
      <c r="Y1261" s="59">
        <v>0.80347222222222225</v>
      </c>
      <c r="Z1261" s="59">
        <v>2.0833333333333332E-2</v>
      </c>
      <c r="AA1261">
        <v>0</v>
      </c>
      <c r="AB1261">
        <v>1.4703999999999999</v>
      </c>
      <c r="AC1261">
        <v>10</v>
      </c>
      <c r="AD1261">
        <v>5</v>
      </c>
      <c r="AE1261" s="59">
        <v>0.78263888888888899</v>
      </c>
      <c r="AF1261" s="59">
        <v>0.8027777777777777</v>
      </c>
      <c r="AG1261">
        <v>16</v>
      </c>
    </row>
    <row r="1262" spans="1:33" x14ac:dyDescent="0.25">
      <c r="A1262" t="s">
        <v>258</v>
      </c>
      <c r="B1262" t="s">
        <v>342</v>
      </c>
      <c r="C1262" t="s">
        <v>343</v>
      </c>
      <c r="E1262" t="s">
        <v>344</v>
      </c>
      <c r="F1262" t="s">
        <v>134</v>
      </c>
      <c r="H1262" t="s">
        <v>197</v>
      </c>
      <c r="I1262" t="s">
        <v>198</v>
      </c>
      <c r="J1262" t="s">
        <v>266</v>
      </c>
      <c r="K1262" t="s">
        <v>409</v>
      </c>
      <c r="L1262" t="s">
        <v>410</v>
      </c>
      <c r="N1262" t="s">
        <v>411</v>
      </c>
      <c r="O1262" t="s">
        <v>134</v>
      </c>
      <c r="Q1262" t="s">
        <v>232</v>
      </c>
      <c r="R1262" t="s">
        <v>199</v>
      </c>
      <c r="S1262" t="s">
        <v>128</v>
      </c>
      <c r="T1262" t="s">
        <v>165</v>
      </c>
      <c r="U1262" t="s">
        <v>151</v>
      </c>
      <c r="V1262" t="s">
        <v>77</v>
      </c>
      <c r="W1262" s="58">
        <v>43309</v>
      </c>
      <c r="X1262" s="59">
        <v>0.8125</v>
      </c>
      <c r="Y1262" s="59">
        <v>0.85416666666666663</v>
      </c>
      <c r="Z1262" s="59">
        <v>4.1666666666666664E-2</v>
      </c>
      <c r="AA1262">
        <v>0</v>
      </c>
      <c r="AB1262">
        <v>5.4012000000000002</v>
      </c>
      <c r="AC1262">
        <v>20</v>
      </c>
      <c r="AD1262">
        <v>10</v>
      </c>
      <c r="AE1262" s="59">
        <v>0.8125</v>
      </c>
      <c r="AF1262" s="59">
        <v>0.8534722222222223</v>
      </c>
      <c r="AG1262">
        <v>16</v>
      </c>
    </row>
    <row r="1263" spans="1:33" x14ac:dyDescent="0.25">
      <c r="A1263" t="s">
        <v>258</v>
      </c>
      <c r="B1263" t="s">
        <v>262</v>
      </c>
      <c r="C1263" t="s">
        <v>263</v>
      </c>
      <c r="D1263" t="s">
        <v>264</v>
      </c>
      <c r="E1263" t="s">
        <v>265</v>
      </c>
      <c r="F1263" t="s">
        <v>134</v>
      </c>
      <c r="H1263" t="s">
        <v>132</v>
      </c>
      <c r="I1263" t="s">
        <v>133</v>
      </c>
      <c r="J1263" t="s">
        <v>266</v>
      </c>
      <c r="K1263" t="s">
        <v>409</v>
      </c>
      <c r="L1263" t="s">
        <v>410</v>
      </c>
      <c r="N1263" t="s">
        <v>411</v>
      </c>
      <c r="O1263" t="s">
        <v>134</v>
      </c>
      <c r="Q1263" t="s">
        <v>232</v>
      </c>
      <c r="R1263" t="s">
        <v>136</v>
      </c>
      <c r="S1263" t="s">
        <v>128</v>
      </c>
      <c r="T1263" t="s">
        <v>165</v>
      </c>
      <c r="U1263" t="s">
        <v>129</v>
      </c>
      <c r="V1263" t="s">
        <v>71</v>
      </c>
      <c r="W1263" s="58">
        <v>43310</v>
      </c>
      <c r="X1263" s="59">
        <v>0.65625</v>
      </c>
      <c r="Y1263" s="59">
        <v>0.69791666666666663</v>
      </c>
      <c r="Z1263" s="59">
        <v>4.1666666666666664E-2</v>
      </c>
      <c r="AA1263">
        <v>0</v>
      </c>
      <c r="AC1263">
        <v>23</v>
      </c>
      <c r="AD1263">
        <v>10</v>
      </c>
      <c r="AE1263" s="59">
        <v>0.65625</v>
      </c>
      <c r="AF1263" s="59">
        <v>0.6972222222222223</v>
      </c>
      <c r="AG1263">
        <v>16</v>
      </c>
    </row>
    <row r="1264" spans="1:33" x14ac:dyDescent="0.25">
      <c r="A1264" t="s">
        <v>258</v>
      </c>
      <c r="B1264" t="s">
        <v>314</v>
      </c>
      <c r="C1264" t="s">
        <v>315</v>
      </c>
      <c r="D1264">
        <v>72</v>
      </c>
      <c r="E1264" t="s">
        <v>316</v>
      </c>
      <c r="F1264" t="s">
        <v>317</v>
      </c>
      <c r="G1264" t="s">
        <v>218</v>
      </c>
      <c r="H1264" t="s">
        <v>168</v>
      </c>
      <c r="I1264" t="s">
        <v>169</v>
      </c>
      <c r="J1264" t="s">
        <v>266</v>
      </c>
      <c r="K1264" t="s">
        <v>409</v>
      </c>
      <c r="L1264" t="s">
        <v>410</v>
      </c>
      <c r="N1264" t="s">
        <v>411</v>
      </c>
      <c r="O1264" t="s">
        <v>134</v>
      </c>
      <c r="Q1264" t="s">
        <v>232</v>
      </c>
      <c r="R1264" t="s">
        <v>170</v>
      </c>
      <c r="S1264" t="s">
        <v>128</v>
      </c>
      <c r="T1264" t="s">
        <v>165</v>
      </c>
      <c r="U1264" t="s">
        <v>129</v>
      </c>
      <c r="V1264" t="s">
        <v>71</v>
      </c>
      <c r="W1264" s="58">
        <v>43310</v>
      </c>
      <c r="X1264" s="59">
        <v>0.70833333333333337</v>
      </c>
      <c r="Y1264" s="59">
        <v>0.75</v>
      </c>
      <c r="Z1264" s="59">
        <v>4.1666666666666664E-2</v>
      </c>
      <c r="AA1264">
        <v>0</v>
      </c>
      <c r="AB1264">
        <v>7.9555999999999996</v>
      </c>
      <c r="AC1264">
        <v>23</v>
      </c>
      <c r="AD1264">
        <v>10</v>
      </c>
      <c r="AE1264" s="59">
        <v>0.70833333333333337</v>
      </c>
      <c r="AF1264" s="59">
        <v>0.74930555555555556</v>
      </c>
      <c r="AG1264">
        <v>16</v>
      </c>
    </row>
    <row r="1265" spans="1:33" x14ac:dyDescent="0.25">
      <c r="A1265" t="s">
        <v>258</v>
      </c>
      <c r="B1265" t="s">
        <v>310</v>
      </c>
      <c r="C1265" t="s">
        <v>311</v>
      </c>
      <c r="D1265" t="s">
        <v>312</v>
      </c>
      <c r="E1265" t="s">
        <v>313</v>
      </c>
      <c r="F1265" t="s">
        <v>134</v>
      </c>
      <c r="H1265" t="s">
        <v>175</v>
      </c>
      <c r="I1265" t="s">
        <v>127</v>
      </c>
      <c r="J1265" t="s">
        <v>266</v>
      </c>
      <c r="K1265" t="s">
        <v>409</v>
      </c>
      <c r="L1265" t="s">
        <v>410</v>
      </c>
      <c r="N1265" t="s">
        <v>411</v>
      </c>
      <c r="O1265" t="s">
        <v>134</v>
      </c>
      <c r="Q1265" t="s">
        <v>232</v>
      </c>
      <c r="R1265" t="s">
        <v>176</v>
      </c>
      <c r="S1265" t="s">
        <v>128</v>
      </c>
      <c r="T1265" t="s">
        <v>165</v>
      </c>
      <c r="U1265" t="s">
        <v>151</v>
      </c>
      <c r="V1265" t="s">
        <v>71</v>
      </c>
      <c r="W1265" s="58">
        <v>43310</v>
      </c>
      <c r="X1265" s="59">
        <v>0.78263888888888899</v>
      </c>
      <c r="Y1265" s="59">
        <v>0.80347222222222225</v>
      </c>
      <c r="Z1265" s="59">
        <v>2.0833333333333332E-2</v>
      </c>
      <c r="AA1265">
        <v>0</v>
      </c>
      <c r="AB1265">
        <v>1.4703999999999999</v>
      </c>
      <c r="AC1265">
        <v>10</v>
      </c>
      <c r="AD1265">
        <v>5</v>
      </c>
      <c r="AE1265" s="59">
        <v>0.78263888888888899</v>
      </c>
      <c r="AF1265" s="59">
        <v>0.8027777777777777</v>
      </c>
      <c r="AG1265">
        <v>16</v>
      </c>
    </row>
    <row r="1266" spans="1:33" x14ac:dyDescent="0.25">
      <c r="A1266" t="s">
        <v>258</v>
      </c>
      <c r="B1266" t="s">
        <v>342</v>
      </c>
      <c r="C1266" t="s">
        <v>343</v>
      </c>
      <c r="E1266" t="s">
        <v>344</v>
      </c>
      <c r="F1266" t="s">
        <v>134</v>
      </c>
      <c r="H1266" t="s">
        <v>197</v>
      </c>
      <c r="I1266" t="s">
        <v>198</v>
      </c>
      <c r="J1266" t="s">
        <v>266</v>
      </c>
      <c r="K1266" t="s">
        <v>409</v>
      </c>
      <c r="L1266" t="s">
        <v>410</v>
      </c>
      <c r="N1266" t="s">
        <v>411</v>
      </c>
      <c r="O1266" t="s">
        <v>134</v>
      </c>
      <c r="Q1266" t="s">
        <v>232</v>
      </c>
      <c r="R1266" t="s">
        <v>199</v>
      </c>
      <c r="S1266" t="s">
        <v>128</v>
      </c>
      <c r="T1266" t="s">
        <v>165</v>
      </c>
      <c r="U1266" t="s">
        <v>151</v>
      </c>
      <c r="V1266" t="s">
        <v>71</v>
      </c>
      <c r="W1266" s="58">
        <v>43310</v>
      </c>
      <c r="X1266" s="59">
        <v>0.8125</v>
      </c>
      <c r="Y1266" s="59">
        <v>0.85416666666666663</v>
      </c>
      <c r="Z1266" s="59">
        <v>4.1666666666666664E-2</v>
      </c>
      <c r="AA1266">
        <v>0</v>
      </c>
      <c r="AB1266">
        <v>5.4012000000000002</v>
      </c>
      <c r="AC1266">
        <v>20</v>
      </c>
      <c r="AD1266">
        <v>10</v>
      </c>
      <c r="AE1266" s="59">
        <v>0.8125</v>
      </c>
      <c r="AF1266" s="59">
        <v>0.8534722222222223</v>
      </c>
      <c r="AG1266">
        <v>16</v>
      </c>
    </row>
    <row r="1267" spans="1:33" x14ac:dyDescent="0.25">
      <c r="A1267" t="s">
        <v>258</v>
      </c>
      <c r="B1267" t="s">
        <v>314</v>
      </c>
      <c r="C1267" t="s">
        <v>315</v>
      </c>
      <c r="D1267">
        <v>72</v>
      </c>
      <c r="E1267" t="s">
        <v>316</v>
      </c>
      <c r="F1267" t="s">
        <v>317</v>
      </c>
      <c r="G1267" t="s">
        <v>218</v>
      </c>
      <c r="H1267" t="s">
        <v>168</v>
      </c>
      <c r="I1267" t="s">
        <v>169</v>
      </c>
      <c r="J1267" t="s">
        <v>266</v>
      </c>
      <c r="K1267" t="s">
        <v>409</v>
      </c>
      <c r="L1267" t="s">
        <v>410</v>
      </c>
      <c r="N1267" t="s">
        <v>411</v>
      </c>
      <c r="O1267" t="s">
        <v>134</v>
      </c>
      <c r="Q1267" t="s">
        <v>232</v>
      </c>
      <c r="R1267" t="s">
        <v>170</v>
      </c>
      <c r="S1267" t="s">
        <v>128</v>
      </c>
      <c r="T1267" t="s">
        <v>165</v>
      </c>
      <c r="U1267" t="s">
        <v>129</v>
      </c>
      <c r="V1267" t="s">
        <v>76</v>
      </c>
      <c r="W1267" s="58">
        <v>43315</v>
      </c>
      <c r="X1267" s="59">
        <v>0.70833333333333337</v>
      </c>
      <c r="Y1267" s="59">
        <v>0.75</v>
      </c>
      <c r="Z1267" s="59">
        <v>4.1666666666666664E-2</v>
      </c>
      <c r="AA1267">
        <v>0</v>
      </c>
      <c r="AC1267">
        <v>23</v>
      </c>
      <c r="AD1267">
        <v>9</v>
      </c>
      <c r="AE1267" s="59">
        <v>0.70833333333333337</v>
      </c>
      <c r="AF1267" s="59">
        <v>0.74930555555555556</v>
      </c>
      <c r="AG1267">
        <v>16</v>
      </c>
    </row>
    <row r="1268" spans="1:33" x14ac:dyDescent="0.25">
      <c r="A1268" t="s">
        <v>258</v>
      </c>
      <c r="B1268" t="s">
        <v>342</v>
      </c>
      <c r="C1268" t="s">
        <v>343</v>
      </c>
      <c r="E1268" t="s">
        <v>344</v>
      </c>
      <c r="F1268" t="s">
        <v>134</v>
      </c>
      <c r="H1268" t="s">
        <v>197</v>
      </c>
      <c r="I1268" t="s">
        <v>198</v>
      </c>
      <c r="J1268" t="s">
        <v>266</v>
      </c>
      <c r="K1268" t="s">
        <v>409</v>
      </c>
      <c r="L1268" t="s">
        <v>410</v>
      </c>
      <c r="N1268" t="s">
        <v>411</v>
      </c>
      <c r="O1268" t="s">
        <v>134</v>
      </c>
      <c r="Q1268" t="s">
        <v>232</v>
      </c>
      <c r="R1268" t="s">
        <v>199</v>
      </c>
      <c r="S1268" t="s">
        <v>128</v>
      </c>
      <c r="T1268" t="s">
        <v>165</v>
      </c>
      <c r="U1268" t="s">
        <v>151</v>
      </c>
      <c r="V1268" t="s">
        <v>76</v>
      </c>
      <c r="W1268" s="58">
        <v>43315</v>
      </c>
      <c r="X1268" s="59">
        <v>0.8125</v>
      </c>
      <c r="Y1268" s="59">
        <v>0.85416666666666663</v>
      </c>
      <c r="Z1268" s="59">
        <v>4.1666666666666664E-2</v>
      </c>
      <c r="AA1268">
        <v>0</v>
      </c>
      <c r="AB1268">
        <v>7.242</v>
      </c>
      <c r="AC1268">
        <v>20</v>
      </c>
      <c r="AD1268">
        <v>9</v>
      </c>
      <c r="AE1268" s="59">
        <v>0.8125</v>
      </c>
      <c r="AF1268" s="59">
        <v>0.8534722222222223</v>
      </c>
      <c r="AG1268">
        <v>16</v>
      </c>
    </row>
    <row r="1269" spans="1:33" x14ac:dyDescent="0.25">
      <c r="A1269" t="s">
        <v>258</v>
      </c>
      <c r="B1269" t="s">
        <v>310</v>
      </c>
      <c r="C1269" t="s">
        <v>311</v>
      </c>
      <c r="D1269" t="s">
        <v>312</v>
      </c>
      <c r="E1269" t="s">
        <v>313</v>
      </c>
      <c r="F1269" t="s">
        <v>134</v>
      </c>
      <c r="H1269" t="s">
        <v>175</v>
      </c>
      <c r="I1269" t="s">
        <v>127</v>
      </c>
      <c r="J1269" t="s">
        <v>266</v>
      </c>
      <c r="K1269" t="s">
        <v>409</v>
      </c>
      <c r="L1269" t="s">
        <v>410</v>
      </c>
      <c r="N1269" t="s">
        <v>411</v>
      </c>
      <c r="O1269" t="s">
        <v>134</v>
      </c>
      <c r="Q1269" t="s">
        <v>232</v>
      </c>
      <c r="R1269" t="s">
        <v>176</v>
      </c>
      <c r="S1269" t="s">
        <v>128</v>
      </c>
      <c r="T1269" t="s">
        <v>165</v>
      </c>
      <c r="U1269" t="s">
        <v>151</v>
      </c>
      <c r="V1269" t="s">
        <v>76</v>
      </c>
      <c r="W1269" s="58">
        <v>43315</v>
      </c>
      <c r="X1269" s="59">
        <v>0.86458333333333337</v>
      </c>
      <c r="Y1269" s="59">
        <v>0.88541666666666663</v>
      </c>
      <c r="Z1269" s="59">
        <v>2.0833333333333332E-2</v>
      </c>
      <c r="AA1269">
        <v>0</v>
      </c>
      <c r="AB1269">
        <v>5.3818000000000001</v>
      </c>
      <c r="AC1269">
        <v>10</v>
      </c>
      <c r="AD1269">
        <v>4.5</v>
      </c>
      <c r="AE1269" s="59">
        <v>0.86458333333333337</v>
      </c>
      <c r="AF1269" s="59">
        <v>0.8847222222222223</v>
      </c>
      <c r="AG1269">
        <v>16</v>
      </c>
    </row>
    <row r="1270" spans="1:33" x14ac:dyDescent="0.25">
      <c r="A1270" t="s">
        <v>258</v>
      </c>
      <c r="B1270" t="s">
        <v>262</v>
      </c>
      <c r="C1270" t="s">
        <v>263</v>
      </c>
      <c r="D1270" t="s">
        <v>264</v>
      </c>
      <c r="E1270" t="s">
        <v>265</v>
      </c>
      <c r="F1270" t="s">
        <v>134</v>
      </c>
      <c r="H1270" t="s">
        <v>132</v>
      </c>
      <c r="I1270" t="s">
        <v>133</v>
      </c>
      <c r="J1270" t="s">
        <v>266</v>
      </c>
      <c r="K1270" t="s">
        <v>409</v>
      </c>
      <c r="L1270" t="s">
        <v>410</v>
      </c>
      <c r="N1270" t="s">
        <v>411</v>
      </c>
      <c r="O1270" t="s">
        <v>134</v>
      </c>
      <c r="Q1270" t="s">
        <v>232</v>
      </c>
      <c r="R1270" t="s">
        <v>136</v>
      </c>
      <c r="S1270" t="s">
        <v>128</v>
      </c>
      <c r="T1270" t="s">
        <v>165</v>
      </c>
      <c r="U1270" t="s">
        <v>129</v>
      </c>
      <c r="V1270" t="s">
        <v>77</v>
      </c>
      <c r="W1270" s="58">
        <v>43316</v>
      </c>
      <c r="X1270" s="59">
        <v>0.65625</v>
      </c>
      <c r="Y1270" s="59">
        <v>0.69791666666666663</v>
      </c>
      <c r="Z1270" s="59">
        <v>4.1666666666666664E-2</v>
      </c>
      <c r="AA1270">
        <v>0</v>
      </c>
      <c r="AC1270">
        <v>23</v>
      </c>
      <c r="AD1270">
        <v>10</v>
      </c>
      <c r="AE1270" s="59">
        <v>0.65625</v>
      </c>
      <c r="AF1270" s="59">
        <v>0.6972222222222223</v>
      </c>
      <c r="AG1270">
        <v>16</v>
      </c>
    </row>
    <row r="1271" spans="1:33" x14ac:dyDescent="0.25">
      <c r="A1271" t="s">
        <v>258</v>
      </c>
      <c r="B1271" t="s">
        <v>314</v>
      </c>
      <c r="C1271" t="s">
        <v>315</v>
      </c>
      <c r="D1271">
        <v>72</v>
      </c>
      <c r="E1271" t="s">
        <v>316</v>
      </c>
      <c r="F1271" t="s">
        <v>317</v>
      </c>
      <c r="G1271" t="s">
        <v>218</v>
      </c>
      <c r="H1271" t="s">
        <v>168</v>
      </c>
      <c r="I1271" t="s">
        <v>169</v>
      </c>
      <c r="J1271" t="s">
        <v>266</v>
      </c>
      <c r="K1271" t="s">
        <v>409</v>
      </c>
      <c r="L1271" t="s">
        <v>410</v>
      </c>
      <c r="N1271" t="s">
        <v>411</v>
      </c>
      <c r="O1271" t="s">
        <v>134</v>
      </c>
      <c r="Q1271" t="s">
        <v>232</v>
      </c>
      <c r="R1271" t="s">
        <v>170</v>
      </c>
      <c r="S1271" t="s">
        <v>128</v>
      </c>
      <c r="T1271" t="s">
        <v>165</v>
      </c>
      <c r="U1271" t="s">
        <v>129</v>
      </c>
      <c r="V1271" t="s">
        <v>77</v>
      </c>
      <c r="W1271" s="58">
        <v>43316</v>
      </c>
      <c r="X1271" s="59">
        <v>0.70833333333333337</v>
      </c>
      <c r="Y1271" s="59">
        <v>0.75</v>
      </c>
      <c r="Z1271" s="59">
        <v>4.1666666666666664E-2</v>
      </c>
      <c r="AA1271">
        <v>0</v>
      </c>
      <c r="AB1271">
        <v>7.9555999999999996</v>
      </c>
      <c r="AC1271">
        <v>23</v>
      </c>
      <c r="AD1271">
        <v>10</v>
      </c>
      <c r="AE1271" s="59">
        <v>0.70833333333333337</v>
      </c>
      <c r="AF1271" s="59">
        <v>0.74930555555555556</v>
      </c>
      <c r="AG1271">
        <v>16</v>
      </c>
    </row>
    <row r="1272" spans="1:33" x14ac:dyDescent="0.25">
      <c r="A1272" t="s">
        <v>258</v>
      </c>
      <c r="B1272" t="s">
        <v>342</v>
      </c>
      <c r="C1272" t="s">
        <v>343</v>
      </c>
      <c r="E1272" t="s">
        <v>344</v>
      </c>
      <c r="F1272" t="s">
        <v>134</v>
      </c>
      <c r="H1272" t="s">
        <v>197</v>
      </c>
      <c r="I1272" t="s">
        <v>198</v>
      </c>
      <c r="J1272" t="s">
        <v>266</v>
      </c>
      <c r="K1272" t="s">
        <v>409</v>
      </c>
      <c r="L1272" t="s">
        <v>410</v>
      </c>
      <c r="N1272" t="s">
        <v>411</v>
      </c>
      <c r="O1272" t="s">
        <v>134</v>
      </c>
      <c r="Q1272" t="s">
        <v>232</v>
      </c>
      <c r="R1272" t="s">
        <v>199</v>
      </c>
      <c r="S1272" t="s">
        <v>128</v>
      </c>
      <c r="T1272" t="s">
        <v>165</v>
      </c>
      <c r="U1272" t="s">
        <v>151</v>
      </c>
      <c r="V1272" t="s">
        <v>77</v>
      </c>
      <c r="W1272" s="58">
        <v>43316</v>
      </c>
      <c r="X1272" s="59">
        <v>0.8125</v>
      </c>
      <c r="Y1272" s="59">
        <v>0.85416666666666663</v>
      </c>
      <c r="Z1272" s="59">
        <v>4.1666666666666664E-2</v>
      </c>
      <c r="AA1272">
        <v>0</v>
      </c>
      <c r="AB1272">
        <v>7.242</v>
      </c>
      <c r="AC1272">
        <v>20</v>
      </c>
      <c r="AD1272">
        <v>10</v>
      </c>
      <c r="AE1272" s="59">
        <v>0.8125</v>
      </c>
      <c r="AF1272" s="59">
        <v>0.8534722222222223</v>
      </c>
      <c r="AG1272">
        <v>16</v>
      </c>
    </row>
    <row r="1273" spans="1:33" x14ac:dyDescent="0.25">
      <c r="A1273" t="s">
        <v>258</v>
      </c>
      <c r="B1273" t="s">
        <v>310</v>
      </c>
      <c r="C1273" t="s">
        <v>311</v>
      </c>
      <c r="D1273" t="s">
        <v>312</v>
      </c>
      <c r="E1273" t="s">
        <v>313</v>
      </c>
      <c r="F1273" t="s">
        <v>134</v>
      </c>
      <c r="H1273" t="s">
        <v>175</v>
      </c>
      <c r="I1273" t="s">
        <v>127</v>
      </c>
      <c r="J1273" t="s">
        <v>266</v>
      </c>
      <c r="K1273" t="s">
        <v>409</v>
      </c>
      <c r="L1273" t="s">
        <v>410</v>
      </c>
      <c r="N1273" t="s">
        <v>411</v>
      </c>
      <c r="O1273" t="s">
        <v>134</v>
      </c>
      <c r="Q1273" t="s">
        <v>232</v>
      </c>
      <c r="R1273" t="s">
        <v>176</v>
      </c>
      <c r="S1273" t="s">
        <v>128</v>
      </c>
      <c r="T1273" t="s">
        <v>165</v>
      </c>
      <c r="U1273" t="s">
        <v>151</v>
      </c>
      <c r="V1273" t="s">
        <v>77</v>
      </c>
      <c r="W1273" s="58">
        <v>43316</v>
      </c>
      <c r="X1273" s="59">
        <v>0.86458333333333337</v>
      </c>
      <c r="Y1273" s="59">
        <v>0.88541666666666663</v>
      </c>
      <c r="Z1273" s="59">
        <v>2.0833333333333332E-2</v>
      </c>
      <c r="AA1273">
        <v>0</v>
      </c>
      <c r="AB1273">
        <v>5.3818000000000001</v>
      </c>
      <c r="AC1273">
        <v>10</v>
      </c>
      <c r="AD1273">
        <v>5</v>
      </c>
      <c r="AE1273" s="59">
        <v>0.86458333333333337</v>
      </c>
      <c r="AF1273" s="59">
        <v>0.8847222222222223</v>
      </c>
      <c r="AG1273">
        <v>16</v>
      </c>
    </row>
    <row r="1274" spans="1:33" x14ac:dyDescent="0.25">
      <c r="A1274" t="s">
        <v>258</v>
      </c>
      <c r="B1274" t="s">
        <v>270</v>
      </c>
      <c r="C1274" t="s">
        <v>271</v>
      </c>
      <c r="D1274" t="s">
        <v>272</v>
      </c>
      <c r="E1274" t="s">
        <v>273</v>
      </c>
      <c r="F1274" t="s">
        <v>134</v>
      </c>
      <c r="H1274" t="s">
        <v>138</v>
      </c>
      <c r="I1274" t="s">
        <v>139</v>
      </c>
      <c r="J1274" t="s">
        <v>266</v>
      </c>
      <c r="K1274" t="s">
        <v>409</v>
      </c>
      <c r="L1274" t="s">
        <v>410</v>
      </c>
      <c r="N1274" t="s">
        <v>411</v>
      </c>
      <c r="O1274" t="s">
        <v>134</v>
      </c>
      <c r="Q1274" t="s">
        <v>232</v>
      </c>
      <c r="R1274" t="s">
        <v>140</v>
      </c>
      <c r="S1274" t="s">
        <v>128</v>
      </c>
      <c r="T1274" t="s">
        <v>165</v>
      </c>
      <c r="U1274" t="s">
        <v>129</v>
      </c>
      <c r="V1274" t="s">
        <v>71</v>
      </c>
      <c r="W1274" s="58">
        <v>43317</v>
      </c>
      <c r="X1274" s="59">
        <v>0.76041666666666663</v>
      </c>
      <c r="Y1274" s="59">
        <v>0.80208333333333337</v>
      </c>
      <c r="Z1274" s="59">
        <v>4.1666666666666664E-2</v>
      </c>
      <c r="AA1274">
        <v>0</v>
      </c>
      <c r="AC1274">
        <v>23</v>
      </c>
      <c r="AD1274">
        <v>10</v>
      </c>
      <c r="AE1274" s="59">
        <v>0.76041666666666663</v>
      </c>
      <c r="AF1274" s="59">
        <v>0.80138888888888893</v>
      </c>
      <c r="AG1274">
        <v>16</v>
      </c>
    </row>
    <row r="1275" spans="1:33" x14ac:dyDescent="0.25">
      <c r="A1275" t="s">
        <v>274</v>
      </c>
      <c r="B1275" t="s">
        <v>275</v>
      </c>
      <c r="C1275" t="s">
        <v>276</v>
      </c>
      <c r="E1275" t="s">
        <v>277</v>
      </c>
      <c r="F1275" t="s">
        <v>134</v>
      </c>
      <c r="H1275" t="s">
        <v>141</v>
      </c>
      <c r="I1275" t="s">
        <v>142</v>
      </c>
      <c r="J1275" t="s">
        <v>266</v>
      </c>
      <c r="K1275" t="s">
        <v>409</v>
      </c>
      <c r="L1275" t="s">
        <v>410</v>
      </c>
      <c r="N1275" t="s">
        <v>411</v>
      </c>
      <c r="O1275" t="s">
        <v>134</v>
      </c>
      <c r="Q1275" t="s">
        <v>232</v>
      </c>
      <c r="R1275" t="s">
        <v>143</v>
      </c>
      <c r="S1275" t="s">
        <v>128</v>
      </c>
      <c r="T1275" t="s">
        <v>165</v>
      </c>
      <c r="U1275" t="s">
        <v>129</v>
      </c>
      <c r="V1275" t="s">
        <v>71</v>
      </c>
      <c r="W1275" s="58">
        <v>43317</v>
      </c>
      <c r="X1275" s="59">
        <v>0.8125</v>
      </c>
      <c r="Y1275" s="59">
        <v>0.83333333333333337</v>
      </c>
      <c r="Z1275" s="59">
        <v>2.0833333333333332E-2</v>
      </c>
      <c r="AA1275">
        <v>0</v>
      </c>
      <c r="AB1275">
        <v>0.9</v>
      </c>
      <c r="AC1275">
        <v>11.5</v>
      </c>
      <c r="AD1275">
        <v>5</v>
      </c>
      <c r="AE1275" s="59">
        <v>0.8125</v>
      </c>
      <c r="AF1275" s="59">
        <v>0.83263888888888893</v>
      </c>
      <c r="AG1275">
        <v>16</v>
      </c>
    </row>
    <row r="1276" spans="1:33" x14ac:dyDescent="0.25">
      <c r="A1276" t="s">
        <v>258</v>
      </c>
      <c r="B1276" t="s">
        <v>310</v>
      </c>
      <c r="C1276" t="s">
        <v>311</v>
      </c>
      <c r="D1276" t="s">
        <v>312</v>
      </c>
      <c r="E1276" t="s">
        <v>313</v>
      </c>
      <c r="F1276" t="s">
        <v>134</v>
      </c>
      <c r="H1276" t="s">
        <v>175</v>
      </c>
      <c r="I1276" t="s">
        <v>127</v>
      </c>
      <c r="J1276" t="s">
        <v>266</v>
      </c>
      <c r="K1276" t="s">
        <v>409</v>
      </c>
      <c r="L1276" t="s">
        <v>410</v>
      </c>
      <c r="N1276" t="s">
        <v>411</v>
      </c>
      <c r="O1276" t="s">
        <v>134</v>
      </c>
      <c r="Q1276" t="s">
        <v>232</v>
      </c>
      <c r="R1276" t="s">
        <v>176</v>
      </c>
      <c r="S1276" t="s">
        <v>128</v>
      </c>
      <c r="T1276" t="s">
        <v>165</v>
      </c>
      <c r="U1276" t="s">
        <v>151</v>
      </c>
      <c r="V1276" t="s">
        <v>71</v>
      </c>
      <c r="W1276" s="58">
        <v>43317</v>
      </c>
      <c r="X1276" s="59">
        <v>0.86458333333333337</v>
      </c>
      <c r="Y1276" s="59">
        <v>0.88541666666666663</v>
      </c>
      <c r="Z1276" s="59">
        <v>2.0833333333333332E-2</v>
      </c>
      <c r="AA1276">
        <v>0</v>
      </c>
      <c r="AB1276">
        <v>4.8555999999999999</v>
      </c>
      <c r="AC1276">
        <v>10</v>
      </c>
      <c r="AD1276">
        <v>5</v>
      </c>
      <c r="AE1276" s="59">
        <v>0.86458333333333337</v>
      </c>
      <c r="AF1276" s="59">
        <v>0.8847222222222223</v>
      </c>
      <c r="AG1276">
        <v>16</v>
      </c>
    </row>
    <row r="1277" spans="1:33" x14ac:dyDescent="0.25">
      <c r="B1277" t="s">
        <v>307</v>
      </c>
      <c r="C1277" t="s">
        <v>308</v>
      </c>
      <c r="D1277" t="s">
        <v>309</v>
      </c>
      <c r="E1277" t="s">
        <v>134</v>
      </c>
      <c r="H1277" t="s">
        <v>171</v>
      </c>
      <c r="I1277" t="s">
        <v>169</v>
      </c>
      <c r="J1277" t="s">
        <v>266</v>
      </c>
      <c r="K1277" t="s">
        <v>409</v>
      </c>
      <c r="L1277" t="s">
        <v>410</v>
      </c>
      <c r="N1277" t="s">
        <v>411</v>
      </c>
      <c r="O1277" t="s">
        <v>134</v>
      </c>
      <c r="Q1277" t="s">
        <v>232</v>
      </c>
      <c r="R1277" t="s">
        <v>172</v>
      </c>
      <c r="S1277" t="s">
        <v>128</v>
      </c>
      <c r="T1277" t="s">
        <v>165</v>
      </c>
      <c r="U1277" t="s">
        <v>129</v>
      </c>
      <c r="V1277" t="s">
        <v>73</v>
      </c>
      <c r="W1277" s="58">
        <v>43319</v>
      </c>
      <c r="X1277" s="59">
        <v>0.66666666666666663</v>
      </c>
      <c r="Y1277" s="59">
        <v>0.69791666666666663</v>
      </c>
      <c r="Z1277" s="59">
        <v>3.125E-2</v>
      </c>
      <c r="AA1277">
        <v>0</v>
      </c>
      <c r="AC1277">
        <v>17.25</v>
      </c>
      <c r="AD1277">
        <v>6.75</v>
      </c>
      <c r="AE1277" s="59">
        <v>0.66666666666666663</v>
      </c>
      <c r="AF1277" s="59">
        <v>0.6972222222222223</v>
      </c>
      <c r="AG1277">
        <v>16</v>
      </c>
    </row>
    <row r="1278" spans="1:33" x14ac:dyDescent="0.25">
      <c r="A1278" t="s">
        <v>258</v>
      </c>
      <c r="B1278" t="s">
        <v>314</v>
      </c>
      <c r="C1278" t="s">
        <v>315</v>
      </c>
      <c r="D1278">
        <v>72</v>
      </c>
      <c r="E1278" t="s">
        <v>316</v>
      </c>
      <c r="F1278" t="s">
        <v>317</v>
      </c>
      <c r="G1278" t="s">
        <v>218</v>
      </c>
      <c r="H1278" t="s">
        <v>168</v>
      </c>
      <c r="I1278" t="s">
        <v>169</v>
      </c>
      <c r="J1278" t="s">
        <v>266</v>
      </c>
      <c r="K1278" t="s">
        <v>409</v>
      </c>
      <c r="L1278" t="s">
        <v>410</v>
      </c>
      <c r="N1278" t="s">
        <v>411</v>
      </c>
      <c r="O1278" t="s">
        <v>134</v>
      </c>
      <c r="Q1278" t="s">
        <v>232</v>
      </c>
      <c r="R1278" t="s">
        <v>170</v>
      </c>
      <c r="S1278" t="s">
        <v>128</v>
      </c>
      <c r="T1278" t="s">
        <v>165</v>
      </c>
      <c r="U1278" t="s">
        <v>129</v>
      </c>
      <c r="V1278" t="s">
        <v>73</v>
      </c>
      <c r="W1278" s="58">
        <v>43319</v>
      </c>
      <c r="X1278" s="59">
        <v>0.70833333333333337</v>
      </c>
      <c r="Y1278" s="59">
        <v>0.75</v>
      </c>
      <c r="Z1278" s="59">
        <v>4.1666666666666664E-2</v>
      </c>
      <c r="AA1278">
        <v>0</v>
      </c>
      <c r="AB1278">
        <v>0.62839999999999996</v>
      </c>
      <c r="AC1278">
        <v>23</v>
      </c>
      <c r="AD1278">
        <v>9</v>
      </c>
      <c r="AE1278" s="59">
        <v>0.70833333333333337</v>
      </c>
      <c r="AF1278" s="59">
        <v>0.74930555555555556</v>
      </c>
      <c r="AG1278">
        <v>16</v>
      </c>
    </row>
    <row r="1279" spans="1:33" x14ac:dyDescent="0.25">
      <c r="A1279" t="s">
        <v>258</v>
      </c>
      <c r="B1279" t="s">
        <v>270</v>
      </c>
      <c r="C1279" t="s">
        <v>271</v>
      </c>
      <c r="D1279" t="s">
        <v>272</v>
      </c>
      <c r="E1279" t="s">
        <v>273</v>
      </c>
      <c r="F1279" t="s">
        <v>134</v>
      </c>
      <c r="H1279" t="s">
        <v>138</v>
      </c>
      <c r="I1279" t="s">
        <v>139</v>
      </c>
      <c r="J1279" t="s">
        <v>266</v>
      </c>
      <c r="K1279" t="s">
        <v>409</v>
      </c>
      <c r="L1279" t="s">
        <v>410</v>
      </c>
      <c r="N1279" t="s">
        <v>411</v>
      </c>
      <c r="O1279" t="s">
        <v>134</v>
      </c>
      <c r="Q1279" t="s">
        <v>232</v>
      </c>
      <c r="R1279" t="s">
        <v>140</v>
      </c>
      <c r="S1279" t="s">
        <v>128</v>
      </c>
      <c r="T1279" t="s">
        <v>165</v>
      </c>
      <c r="U1279" t="s">
        <v>129</v>
      </c>
      <c r="V1279" t="s">
        <v>73</v>
      </c>
      <c r="W1279" s="58">
        <v>43319</v>
      </c>
      <c r="X1279" s="59">
        <v>0.76041666666666663</v>
      </c>
      <c r="Y1279" s="59">
        <v>0.80208333333333337</v>
      </c>
      <c r="Z1279" s="59">
        <v>4.1666666666666664E-2</v>
      </c>
      <c r="AA1279">
        <v>0</v>
      </c>
      <c r="AB1279">
        <v>6.5953999999999997</v>
      </c>
      <c r="AC1279">
        <v>23</v>
      </c>
      <c r="AD1279">
        <v>9</v>
      </c>
      <c r="AE1279" s="59">
        <v>0.76041666666666663</v>
      </c>
      <c r="AF1279" s="59">
        <v>0.80138888888888893</v>
      </c>
      <c r="AG1279">
        <v>16</v>
      </c>
    </row>
    <row r="1280" spans="1:33" x14ac:dyDescent="0.25">
      <c r="A1280" t="s">
        <v>274</v>
      </c>
      <c r="B1280" t="s">
        <v>275</v>
      </c>
      <c r="C1280" t="s">
        <v>276</v>
      </c>
      <c r="E1280" t="s">
        <v>277</v>
      </c>
      <c r="F1280" t="s">
        <v>134</v>
      </c>
      <c r="H1280" t="s">
        <v>141</v>
      </c>
      <c r="I1280" t="s">
        <v>142</v>
      </c>
      <c r="J1280" t="s">
        <v>266</v>
      </c>
      <c r="K1280" t="s">
        <v>409</v>
      </c>
      <c r="L1280" t="s">
        <v>410</v>
      </c>
      <c r="N1280" t="s">
        <v>411</v>
      </c>
      <c r="O1280" t="s">
        <v>134</v>
      </c>
      <c r="Q1280" t="s">
        <v>232</v>
      </c>
      <c r="R1280" t="s">
        <v>143</v>
      </c>
      <c r="S1280" t="s">
        <v>128</v>
      </c>
      <c r="T1280" t="s">
        <v>165</v>
      </c>
      <c r="U1280" t="s">
        <v>129</v>
      </c>
      <c r="V1280" t="s">
        <v>73</v>
      </c>
      <c r="W1280" s="58">
        <v>43319</v>
      </c>
      <c r="X1280" s="59">
        <v>0.8125</v>
      </c>
      <c r="Y1280" s="59">
        <v>0.83333333333333337</v>
      </c>
      <c r="Z1280" s="59">
        <v>2.0833333333333332E-2</v>
      </c>
      <c r="AA1280">
        <v>0</v>
      </c>
      <c r="AB1280">
        <v>0.9</v>
      </c>
      <c r="AC1280">
        <v>11.5</v>
      </c>
      <c r="AD1280">
        <v>4.5</v>
      </c>
      <c r="AE1280" s="59">
        <v>0.8125</v>
      </c>
      <c r="AF1280" s="59">
        <v>0.83263888888888893</v>
      </c>
      <c r="AG1280">
        <v>16</v>
      </c>
    </row>
    <row r="1281" spans="1:33" x14ac:dyDescent="0.25">
      <c r="A1281" t="s">
        <v>258</v>
      </c>
      <c r="B1281" t="s">
        <v>310</v>
      </c>
      <c r="C1281" t="s">
        <v>311</v>
      </c>
      <c r="D1281" t="s">
        <v>312</v>
      </c>
      <c r="E1281" t="s">
        <v>313</v>
      </c>
      <c r="F1281" t="s">
        <v>134</v>
      </c>
      <c r="H1281" t="s">
        <v>175</v>
      </c>
      <c r="I1281" t="s">
        <v>127</v>
      </c>
      <c r="J1281" t="s">
        <v>266</v>
      </c>
      <c r="K1281" t="s">
        <v>409</v>
      </c>
      <c r="L1281" t="s">
        <v>410</v>
      </c>
      <c r="N1281" t="s">
        <v>411</v>
      </c>
      <c r="O1281" t="s">
        <v>134</v>
      </c>
      <c r="Q1281" t="s">
        <v>232</v>
      </c>
      <c r="R1281" t="s">
        <v>176</v>
      </c>
      <c r="S1281" t="s">
        <v>128</v>
      </c>
      <c r="T1281" t="s">
        <v>165</v>
      </c>
      <c r="U1281" t="s">
        <v>151</v>
      </c>
      <c r="V1281" t="s">
        <v>73</v>
      </c>
      <c r="W1281" s="58">
        <v>43319</v>
      </c>
      <c r="X1281" s="59">
        <v>0.84652777777777777</v>
      </c>
      <c r="Y1281" s="59">
        <v>0.86736111111111114</v>
      </c>
      <c r="Z1281" s="59">
        <v>2.0833333333333332E-2</v>
      </c>
      <c r="AA1281">
        <v>0</v>
      </c>
      <c r="AB1281">
        <v>4.8555999999999999</v>
      </c>
      <c r="AC1281">
        <v>10</v>
      </c>
      <c r="AD1281">
        <v>4.5</v>
      </c>
      <c r="AE1281" s="59">
        <v>0.84652777777777777</v>
      </c>
      <c r="AF1281" s="59">
        <v>0.8666666666666667</v>
      </c>
      <c r="AG1281">
        <v>16</v>
      </c>
    </row>
    <row r="1282" spans="1:33" x14ac:dyDescent="0.25">
      <c r="B1282" t="s">
        <v>307</v>
      </c>
      <c r="C1282" t="s">
        <v>308</v>
      </c>
      <c r="D1282" t="s">
        <v>309</v>
      </c>
      <c r="E1282" t="s">
        <v>134</v>
      </c>
      <c r="H1282" t="s">
        <v>171</v>
      </c>
      <c r="I1282" t="s">
        <v>169</v>
      </c>
      <c r="J1282" t="s">
        <v>266</v>
      </c>
      <c r="K1282" t="s">
        <v>409</v>
      </c>
      <c r="L1282" t="s">
        <v>410</v>
      </c>
      <c r="N1282" t="s">
        <v>411</v>
      </c>
      <c r="O1282" t="s">
        <v>134</v>
      </c>
      <c r="Q1282" t="s">
        <v>232</v>
      </c>
      <c r="R1282" t="s">
        <v>172</v>
      </c>
      <c r="S1282" t="s">
        <v>128</v>
      </c>
      <c r="T1282" t="s">
        <v>165</v>
      </c>
      <c r="U1282" t="s">
        <v>129</v>
      </c>
      <c r="V1282" t="s">
        <v>74</v>
      </c>
      <c r="W1282" s="58">
        <v>43320</v>
      </c>
      <c r="X1282" s="59">
        <v>0.66666666666666663</v>
      </c>
      <c r="Y1282" s="59">
        <v>0.69791666666666663</v>
      </c>
      <c r="Z1282" s="59">
        <v>3.125E-2</v>
      </c>
      <c r="AA1282">
        <v>0</v>
      </c>
      <c r="AC1282">
        <v>17.25</v>
      </c>
      <c r="AD1282">
        <v>6.75</v>
      </c>
      <c r="AE1282" s="59">
        <v>0.66666666666666663</v>
      </c>
      <c r="AF1282" s="59">
        <v>0.6972222222222223</v>
      </c>
      <c r="AG1282">
        <v>16</v>
      </c>
    </row>
    <row r="1283" spans="1:33" x14ac:dyDescent="0.25">
      <c r="A1283" t="s">
        <v>258</v>
      </c>
      <c r="B1283" t="s">
        <v>314</v>
      </c>
      <c r="C1283" t="s">
        <v>315</v>
      </c>
      <c r="D1283">
        <v>72</v>
      </c>
      <c r="E1283" t="s">
        <v>316</v>
      </c>
      <c r="F1283" t="s">
        <v>317</v>
      </c>
      <c r="G1283" t="s">
        <v>218</v>
      </c>
      <c r="H1283" t="s">
        <v>168</v>
      </c>
      <c r="I1283" t="s">
        <v>169</v>
      </c>
      <c r="J1283" t="s">
        <v>266</v>
      </c>
      <c r="K1283" t="s">
        <v>409</v>
      </c>
      <c r="L1283" t="s">
        <v>410</v>
      </c>
      <c r="N1283" t="s">
        <v>411</v>
      </c>
      <c r="O1283" t="s">
        <v>134</v>
      </c>
      <c r="Q1283" t="s">
        <v>232</v>
      </c>
      <c r="R1283" t="s">
        <v>170</v>
      </c>
      <c r="S1283" t="s">
        <v>128</v>
      </c>
      <c r="T1283" t="s">
        <v>165</v>
      </c>
      <c r="U1283" t="s">
        <v>129</v>
      </c>
      <c r="V1283" t="s">
        <v>74</v>
      </c>
      <c r="W1283" s="58">
        <v>43320</v>
      </c>
      <c r="X1283" s="59">
        <v>0.70833333333333337</v>
      </c>
      <c r="Y1283" s="59">
        <v>0.75</v>
      </c>
      <c r="Z1283" s="59">
        <v>4.1666666666666664E-2</v>
      </c>
      <c r="AA1283">
        <v>8</v>
      </c>
      <c r="AB1283">
        <v>0.62839999999999996</v>
      </c>
      <c r="AC1283">
        <v>23</v>
      </c>
      <c r="AD1283">
        <v>9</v>
      </c>
      <c r="AE1283" s="59">
        <v>0.70833333333333337</v>
      </c>
      <c r="AF1283" s="59">
        <v>0.74930555555555556</v>
      </c>
      <c r="AG1283">
        <v>16</v>
      </c>
    </row>
    <row r="1284" spans="1:33" x14ac:dyDescent="0.25">
      <c r="A1284" t="s">
        <v>258</v>
      </c>
      <c r="B1284" t="s">
        <v>342</v>
      </c>
      <c r="C1284" t="s">
        <v>343</v>
      </c>
      <c r="E1284" t="s">
        <v>344</v>
      </c>
      <c r="F1284" t="s">
        <v>134</v>
      </c>
      <c r="H1284" t="s">
        <v>197</v>
      </c>
      <c r="I1284" t="s">
        <v>198</v>
      </c>
      <c r="J1284" t="s">
        <v>266</v>
      </c>
      <c r="K1284" t="s">
        <v>409</v>
      </c>
      <c r="L1284" t="s">
        <v>410</v>
      </c>
      <c r="N1284" t="s">
        <v>411</v>
      </c>
      <c r="O1284" t="s">
        <v>134</v>
      </c>
      <c r="Q1284" t="s">
        <v>232</v>
      </c>
      <c r="R1284" t="s">
        <v>199</v>
      </c>
      <c r="S1284" t="s">
        <v>128</v>
      </c>
      <c r="T1284" t="s">
        <v>165</v>
      </c>
      <c r="U1284" t="s">
        <v>151</v>
      </c>
      <c r="V1284" t="s">
        <v>74</v>
      </c>
      <c r="W1284" s="58">
        <v>43320</v>
      </c>
      <c r="X1284" s="59">
        <v>0.8125</v>
      </c>
      <c r="Y1284" s="59">
        <v>0.85416666666666663</v>
      </c>
      <c r="Z1284" s="59">
        <v>4.1666666666666664E-2</v>
      </c>
      <c r="AA1284">
        <v>11</v>
      </c>
      <c r="AB1284">
        <v>7.242</v>
      </c>
      <c r="AC1284">
        <v>20</v>
      </c>
      <c r="AD1284">
        <v>9</v>
      </c>
      <c r="AE1284" s="59">
        <v>0.8125</v>
      </c>
      <c r="AF1284" s="59">
        <v>0.8534722222222223</v>
      </c>
      <c r="AG1284">
        <v>16</v>
      </c>
    </row>
    <row r="1285" spans="1:33" x14ac:dyDescent="0.25">
      <c r="A1285" t="s">
        <v>258</v>
      </c>
      <c r="B1285" t="s">
        <v>310</v>
      </c>
      <c r="C1285" t="s">
        <v>311</v>
      </c>
      <c r="D1285" t="s">
        <v>312</v>
      </c>
      <c r="E1285" t="s">
        <v>313</v>
      </c>
      <c r="F1285" t="s">
        <v>134</v>
      </c>
      <c r="H1285" t="s">
        <v>175</v>
      </c>
      <c r="I1285" t="s">
        <v>127</v>
      </c>
      <c r="J1285" t="s">
        <v>266</v>
      </c>
      <c r="K1285" t="s">
        <v>409</v>
      </c>
      <c r="L1285" t="s">
        <v>410</v>
      </c>
      <c r="N1285" t="s">
        <v>411</v>
      </c>
      <c r="O1285" t="s">
        <v>134</v>
      </c>
      <c r="Q1285" t="s">
        <v>232</v>
      </c>
      <c r="R1285" t="s">
        <v>176</v>
      </c>
      <c r="S1285" t="s">
        <v>128</v>
      </c>
      <c r="T1285" t="s">
        <v>165</v>
      </c>
      <c r="U1285" t="s">
        <v>151</v>
      </c>
      <c r="V1285" t="s">
        <v>74</v>
      </c>
      <c r="W1285" s="58">
        <v>43320</v>
      </c>
      <c r="X1285" s="59">
        <v>0.87013888888888891</v>
      </c>
      <c r="Y1285" s="59">
        <v>0.89097222222222217</v>
      </c>
      <c r="Z1285" s="59">
        <v>2.0833333333333332E-2</v>
      </c>
      <c r="AA1285">
        <v>12</v>
      </c>
      <c r="AB1285">
        <v>5.3818000000000001</v>
      </c>
      <c r="AC1285">
        <v>10</v>
      </c>
      <c r="AD1285">
        <v>4.5</v>
      </c>
      <c r="AE1285" s="59">
        <v>0.87013888888888891</v>
      </c>
      <c r="AF1285" s="59">
        <v>0.89027777777777783</v>
      </c>
      <c r="AG1285">
        <v>16</v>
      </c>
    </row>
    <row r="1286" spans="1:33" x14ac:dyDescent="0.25">
      <c r="B1286" t="s">
        <v>307</v>
      </c>
      <c r="C1286" t="s">
        <v>308</v>
      </c>
      <c r="D1286" t="s">
        <v>309</v>
      </c>
      <c r="E1286" t="s">
        <v>134</v>
      </c>
      <c r="H1286" t="s">
        <v>171</v>
      </c>
      <c r="I1286" t="s">
        <v>169</v>
      </c>
      <c r="J1286" t="s">
        <v>266</v>
      </c>
      <c r="K1286" t="s">
        <v>409</v>
      </c>
      <c r="L1286" t="s">
        <v>410</v>
      </c>
      <c r="N1286" t="s">
        <v>411</v>
      </c>
      <c r="O1286" t="s">
        <v>134</v>
      </c>
      <c r="Q1286" t="s">
        <v>232</v>
      </c>
      <c r="R1286" t="s">
        <v>172</v>
      </c>
      <c r="S1286" t="s">
        <v>128</v>
      </c>
      <c r="T1286" t="s">
        <v>165</v>
      </c>
      <c r="U1286" t="s">
        <v>129</v>
      </c>
      <c r="V1286" t="s">
        <v>76</v>
      </c>
      <c r="W1286" s="58">
        <v>43322</v>
      </c>
      <c r="X1286" s="59">
        <v>0.66666666666666663</v>
      </c>
      <c r="Y1286" s="59">
        <v>0.69791666666666663</v>
      </c>
      <c r="Z1286" s="59">
        <v>3.125E-2</v>
      </c>
      <c r="AA1286">
        <v>0</v>
      </c>
      <c r="AC1286">
        <v>17.25</v>
      </c>
      <c r="AD1286">
        <v>6.75</v>
      </c>
      <c r="AE1286" s="59">
        <v>0.66666666666666663</v>
      </c>
      <c r="AF1286" s="59">
        <v>0.6972222222222223</v>
      </c>
      <c r="AG1286">
        <v>16</v>
      </c>
    </row>
    <row r="1287" spans="1:33" x14ac:dyDescent="0.25">
      <c r="A1287" t="s">
        <v>258</v>
      </c>
      <c r="B1287" t="s">
        <v>314</v>
      </c>
      <c r="C1287" t="s">
        <v>315</v>
      </c>
      <c r="D1287">
        <v>72</v>
      </c>
      <c r="E1287" t="s">
        <v>316</v>
      </c>
      <c r="F1287" t="s">
        <v>317</v>
      </c>
      <c r="G1287" t="s">
        <v>218</v>
      </c>
      <c r="H1287" t="s">
        <v>168</v>
      </c>
      <c r="I1287" t="s">
        <v>169</v>
      </c>
      <c r="J1287" t="s">
        <v>266</v>
      </c>
      <c r="K1287" t="s">
        <v>409</v>
      </c>
      <c r="L1287" t="s">
        <v>410</v>
      </c>
      <c r="N1287" t="s">
        <v>411</v>
      </c>
      <c r="O1287" t="s">
        <v>134</v>
      </c>
      <c r="Q1287" t="s">
        <v>232</v>
      </c>
      <c r="R1287" t="s">
        <v>170</v>
      </c>
      <c r="S1287" t="s">
        <v>128</v>
      </c>
      <c r="T1287" t="s">
        <v>165</v>
      </c>
      <c r="U1287" t="s">
        <v>129</v>
      </c>
      <c r="V1287" t="s">
        <v>76</v>
      </c>
      <c r="W1287" s="58">
        <v>43322</v>
      </c>
      <c r="X1287" s="59">
        <v>0.70833333333333337</v>
      </c>
      <c r="Y1287" s="59">
        <v>0.75</v>
      </c>
      <c r="Z1287" s="59">
        <v>4.1666666666666664E-2</v>
      </c>
      <c r="AA1287">
        <v>0</v>
      </c>
      <c r="AB1287">
        <v>0.62839999999999996</v>
      </c>
      <c r="AC1287">
        <v>23</v>
      </c>
      <c r="AD1287">
        <v>9</v>
      </c>
      <c r="AE1287" s="59">
        <v>0.70833333333333337</v>
      </c>
      <c r="AF1287" s="59">
        <v>0.74930555555555556</v>
      </c>
      <c r="AG1287">
        <v>16</v>
      </c>
    </row>
    <row r="1288" spans="1:33" x14ac:dyDescent="0.25">
      <c r="A1288" t="s">
        <v>258</v>
      </c>
      <c r="B1288" t="s">
        <v>342</v>
      </c>
      <c r="C1288" t="s">
        <v>343</v>
      </c>
      <c r="E1288" t="s">
        <v>344</v>
      </c>
      <c r="F1288" t="s">
        <v>134</v>
      </c>
      <c r="H1288" t="s">
        <v>197</v>
      </c>
      <c r="I1288" t="s">
        <v>198</v>
      </c>
      <c r="J1288" t="s">
        <v>266</v>
      </c>
      <c r="K1288" t="s">
        <v>409</v>
      </c>
      <c r="L1288" t="s">
        <v>410</v>
      </c>
      <c r="N1288" t="s">
        <v>411</v>
      </c>
      <c r="O1288" t="s">
        <v>134</v>
      </c>
      <c r="Q1288" t="s">
        <v>232</v>
      </c>
      <c r="R1288" t="s">
        <v>199</v>
      </c>
      <c r="S1288" t="s">
        <v>128</v>
      </c>
      <c r="T1288" t="s">
        <v>165</v>
      </c>
      <c r="U1288" t="s">
        <v>151</v>
      </c>
      <c r="V1288" t="s">
        <v>76</v>
      </c>
      <c r="W1288" s="58">
        <v>43322</v>
      </c>
      <c r="X1288" s="59">
        <v>0.8125</v>
      </c>
      <c r="Y1288" s="59">
        <v>0.85416666666666663</v>
      </c>
      <c r="Z1288" s="59">
        <v>4.1666666666666664E-2</v>
      </c>
      <c r="AA1288">
        <v>0</v>
      </c>
      <c r="AB1288">
        <v>7.242</v>
      </c>
      <c r="AC1288">
        <v>20</v>
      </c>
      <c r="AD1288">
        <v>9</v>
      </c>
      <c r="AE1288" s="59">
        <v>0.8125</v>
      </c>
      <c r="AF1288" s="59">
        <v>0.8534722222222223</v>
      </c>
      <c r="AG1288">
        <v>16</v>
      </c>
    </row>
    <row r="1289" spans="1:33" x14ac:dyDescent="0.25">
      <c r="A1289" t="s">
        <v>258</v>
      </c>
      <c r="B1289" t="s">
        <v>310</v>
      </c>
      <c r="C1289" t="s">
        <v>311</v>
      </c>
      <c r="D1289" t="s">
        <v>312</v>
      </c>
      <c r="E1289" t="s">
        <v>313</v>
      </c>
      <c r="F1289" t="s">
        <v>134</v>
      </c>
      <c r="H1289" t="s">
        <v>175</v>
      </c>
      <c r="I1289" t="s">
        <v>127</v>
      </c>
      <c r="J1289" t="s">
        <v>266</v>
      </c>
      <c r="K1289" t="s">
        <v>409</v>
      </c>
      <c r="L1289" t="s">
        <v>410</v>
      </c>
      <c r="N1289" t="s">
        <v>411</v>
      </c>
      <c r="O1289" t="s">
        <v>134</v>
      </c>
      <c r="Q1289" t="s">
        <v>232</v>
      </c>
      <c r="R1289" t="s">
        <v>176</v>
      </c>
      <c r="S1289" t="s">
        <v>128</v>
      </c>
      <c r="T1289" t="s">
        <v>165</v>
      </c>
      <c r="U1289" t="s">
        <v>151</v>
      </c>
      <c r="V1289" t="s">
        <v>76</v>
      </c>
      <c r="W1289" s="58">
        <v>43322</v>
      </c>
      <c r="X1289" s="59">
        <v>0.87013888888888891</v>
      </c>
      <c r="Y1289" s="59">
        <v>0.89097222222222217</v>
      </c>
      <c r="Z1289" s="59">
        <v>2.0833333333333332E-2</v>
      </c>
      <c r="AA1289">
        <v>0</v>
      </c>
      <c r="AB1289">
        <v>5.3818000000000001</v>
      </c>
      <c r="AC1289">
        <v>10</v>
      </c>
      <c r="AD1289">
        <v>4.5</v>
      </c>
      <c r="AE1289" s="59">
        <v>0.87013888888888891</v>
      </c>
      <c r="AF1289" s="59">
        <v>0.89027777777777783</v>
      </c>
      <c r="AG1289">
        <v>16</v>
      </c>
    </row>
    <row r="1290" spans="1:33" x14ac:dyDescent="0.25">
      <c r="B1290" t="s">
        <v>307</v>
      </c>
      <c r="C1290" t="s">
        <v>308</v>
      </c>
      <c r="D1290" t="s">
        <v>309</v>
      </c>
      <c r="E1290" t="s">
        <v>134</v>
      </c>
      <c r="H1290" t="s">
        <v>171</v>
      </c>
      <c r="I1290" t="s">
        <v>169</v>
      </c>
      <c r="J1290" t="s">
        <v>266</v>
      </c>
      <c r="K1290" t="s">
        <v>409</v>
      </c>
      <c r="L1290" t="s">
        <v>410</v>
      </c>
      <c r="N1290" t="s">
        <v>411</v>
      </c>
      <c r="O1290" t="s">
        <v>134</v>
      </c>
      <c r="Q1290" t="s">
        <v>232</v>
      </c>
      <c r="R1290" t="s">
        <v>172</v>
      </c>
      <c r="S1290" t="s">
        <v>128</v>
      </c>
      <c r="T1290" t="s">
        <v>165</v>
      </c>
      <c r="U1290" t="s">
        <v>129</v>
      </c>
      <c r="V1290" t="s">
        <v>77</v>
      </c>
      <c r="W1290" s="58">
        <v>43323</v>
      </c>
      <c r="X1290" s="59">
        <v>0.66666666666666663</v>
      </c>
      <c r="Y1290" s="59">
        <v>0.69791666666666663</v>
      </c>
      <c r="Z1290" s="59">
        <v>3.125E-2</v>
      </c>
      <c r="AA1290">
        <v>0</v>
      </c>
      <c r="AC1290">
        <v>17.25</v>
      </c>
      <c r="AD1290">
        <v>7.5</v>
      </c>
      <c r="AE1290" s="59">
        <v>0.66666666666666663</v>
      </c>
      <c r="AF1290" s="59">
        <v>0.6972222222222223</v>
      </c>
      <c r="AG1290">
        <v>16</v>
      </c>
    </row>
    <row r="1291" spans="1:33" x14ac:dyDescent="0.25">
      <c r="A1291" t="s">
        <v>258</v>
      </c>
      <c r="B1291" t="s">
        <v>314</v>
      </c>
      <c r="C1291" t="s">
        <v>315</v>
      </c>
      <c r="D1291">
        <v>72</v>
      </c>
      <c r="E1291" t="s">
        <v>316</v>
      </c>
      <c r="F1291" t="s">
        <v>317</v>
      </c>
      <c r="G1291" t="s">
        <v>218</v>
      </c>
      <c r="H1291" t="s">
        <v>168</v>
      </c>
      <c r="I1291" t="s">
        <v>169</v>
      </c>
      <c r="J1291" t="s">
        <v>266</v>
      </c>
      <c r="K1291" t="s">
        <v>409</v>
      </c>
      <c r="L1291" t="s">
        <v>410</v>
      </c>
      <c r="N1291" t="s">
        <v>411</v>
      </c>
      <c r="O1291" t="s">
        <v>134</v>
      </c>
      <c r="Q1291" t="s">
        <v>232</v>
      </c>
      <c r="R1291" t="s">
        <v>170</v>
      </c>
      <c r="S1291" t="s">
        <v>128</v>
      </c>
      <c r="T1291" t="s">
        <v>165</v>
      </c>
      <c r="U1291" t="s">
        <v>129</v>
      </c>
      <c r="V1291" t="s">
        <v>77</v>
      </c>
      <c r="W1291" s="58">
        <v>43323</v>
      </c>
      <c r="X1291" s="59">
        <v>0.70833333333333337</v>
      </c>
      <c r="Y1291" s="59">
        <v>0.75</v>
      </c>
      <c r="Z1291" s="59">
        <v>4.1666666666666664E-2</v>
      </c>
      <c r="AA1291">
        <v>0</v>
      </c>
      <c r="AB1291">
        <v>0.62839999999999996</v>
      </c>
      <c r="AC1291">
        <v>23</v>
      </c>
      <c r="AD1291">
        <v>10</v>
      </c>
      <c r="AE1291" s="59">
        <v>0.70833333333333337</v>
      </c>
      <c r="AF1291" s="59">
        <v>0.74930555555555556</v>
      </c>
      <c r="AG1291">
        <v>16</v>
      </c>
    </row>
    <row r="1292" spans="1:33" x14ac:dyDescent="0.25">
      <c r="A1292" t="s">
        <v>258</v>
      </c>
      <c r="B1292" t="s">
        <v>342</v>
      </c>
      <c r="C1292" t="s">
        <v>343</v>
      </c>
      <c r="E1292" t="s">
        <v>344</v>
      </c>
      <c r="F1292" t="s">
        <v>134</v>
      </c>
      <c r="H1292" t="s">
        <v>197</v>
      </c>
      <c r="I1292" t="s">
        <v>198</v>
      </c>
      <c r="J1292" t="s">
        <v>266</v>
      </c>
      <c r="K1292" t="s">
        <v>409</v>
      </c>
      <c r="L1292" t="s">
        <v>410</v>
      </c>
      <c r="N1292" t="s">
        <v>411</v>
      </c>
      <c r="O1292" t="s">
        <v>134</v>
      </c>
      <c r="Q1292" t="s">
        <v>232</v>
      </c>
      <c r="R1292" t="s">
        <v>199</v>
      </c>
      <c r="S1292" t="s">
        <v>128</v>
      </c>
      <c r="T1292" t="s">
        <v>165</v>
      </c>
      <c r="U1292" t="s">
        <v>151</v>
      </c>
      <c r="V1292" t="s">
        <v>77</v>
      </c>
      <c r="W1292" s="58">
        <v>43323</v>
      </c>
      <c r="X1292" s="59">
        <v>0.8125</v>
      </c>
      <c r="Y1292" s="59">
        <v>0.85416666666666663</v>
      </c>
      <c r="Z1292" s="59">
        <v>4.1666666666666664E-2</v>
      </c>
      <c r="AA1292">
        <v>0</v>
      </c>
      <c r="AB1292">
        <v>7.242</v>
      </c>
      <c r="AC1292">
        <v>20</v>
      </c>
      <c r="AD1292">
        <v>10</v>
      </c>
      <c r="AE1292" s="59">
        <v>0.8125</v>
      </c>
      <c r="AF1292" s="59">
        <v>0.8534722222222223</v>
      </c>
      <c r="AG1292">
        <v>16</v>
      </c>
    </row>
    <row r="1293" spans="1:33" x14ac:dyDescent="0.25">
      <c r="A1293" t="s">
        <v>258</v>
      </c>
      <c r="B1293" t="s">
        <v>310</v>
      </c>
      <c r="C1293" t="s">
        <v>311</v>
      </c>
      <c r="D1293" t="s">
        <v>312</v>
      </c>
      <c r="E1293" t="s">
        <v>313</v>
      </c>
      <c r="F1293" t="s">
        <v>134</v>
      </c>
      <c r="H1293" t="s">
        <v>175</v>
      </c>
      <c r="I1293" t="s">
        <v>127</v>
      </c>
      <c r="J1293" t="s">
        <v>266</v>
      </c>
      <c r="K1293" t="s">
        <v>409</v>
      </c>
      <c r="L1293" t="s">
        <v>410</v>
      </c>
      <c r="N1293" t="s">
        <v>411</v>
      </c>
      <c r="O1293" t="s">
        <v>134</v>
      </c>
      <c r="Q1293" t="s">
        <v>232</v>
      </c>
      <c r="R1293" t="s">
        <v>176</v>
      </c>
      <c r="S1293" t="s">
        <v>128</v>
      </c>
      <c r="T1293" t="s">
        <v>165</v>
      </c>
      <c r="U1293" t="s">
        <v>151</v>
      </c>
      <c r="V1293" t="s">
        <v>77</v>
      </c>
      <c r="W1293" s="58">
        <v>43323</v>
      </c>
      <c r="X1293" s="59">
        <v>0.87013888888888891</v>
      </c>
      <c r="Y1293" s="59">
        <v>0.89097222222222217</v>
      </c>
      <c r="Z1293" s="59">
        <v>2.0833333333333332E-2</v>
      </c>
      <c r="AA1293">
        <v>0</v>
      </c>
      <c r="AB1293">
        <v>5.3818000000000001</v>
      </c>
      <c r="AC1293">
        <v>10</v>
      </c>
      <c r="AD1293">
        <v>5</v>
      </c>
      <c r="AE1293" s="59">
        <v>0.87013888888888891</v>
      </c>
      <c r="AF1293" s="59">
        <v>0.89027777777777783</v>
      </c>
      <c r="AG1293">
        <v>16</v>
      </c>
    </row>
    <row r="1294" spans="1:33" x14ac:dyDescent="0.25">
      <c r="B1294" t="s">
        <v>307</v>
      </c>
      <c r="C1294" t="s">
        <v>308</v>
      </c>
      <c r="D1294" t="s">
        <v>309</v>
      </c>
      <c r="E1294" t="s">
        <v>134</v>
      </c>
      <c r="H1294" t="s">
        <v>171</v>
      </c>
      <c r="I1294" t="s">
        <v>169</v>
      </c>
      <c r="J1294" t="s">
        <v>266</v>
      </c>
      <c r="K1294" t="s">
        <v>409</v>
      </c>
      <c r="L1294" t="s">
        <v>410</v>
      </c>
      <c r="N1294" t="s">
        <v>411</v>
      </c>
      <c r="O1294" t="s">
        <v>134</v>
      </c>
      <c r="Q1294" t="s">
        <v>232</v>
      </c>
      <c r="R1294" t="s">
        <v>172</v>
      </c>
      <c r="S1294" t="s">
        <v>128</v>
      </c>
      <c r="T1294" t="s">
        <v>165</v>
      </c>
      <c r="U1294" t="s">
        <v>129</v>
      </c>
      <c r="V1294" t="s">
        <v>71</v>
      </c>
      <c r="W1294" s="58">
        <v>43324</v>
      </c>
      <c r="X1294" s="59">
        <v>0.66666666666666663</v>
      </c>
      <c r="Y1294" s="59">
        <v>0.69791666666666663</v>
      </c>
      <c r="Z1294" s="59">
        <v>3.125E-2</v>
      </c>
      <c r="AA1294">
        <v>0</v>
      </c>
      <c r="AC1294">
        <v>17.25</v>
      </c>
      <c r="AD1294">
        <v>7.5</v>
      </c>
      <c r="AE1294" s="59">
        <v>0.66666666666666663</v>
      </c>
      <c r="AF1294" s="59">
        <v>0.6972222222222223</v>
      </c>
      <c r="AG1294">
        <v>16</v>
      </c>
    </row>
    <row r="1295" spans="1:33" x14ac:dyDescent="0.25">
      <c r="A1295" t="s">
        <v>258</v>
      </c>
      <c r="B1295" t="s">
        <v>314</v>
      </c>
      <c r="C1295" t="s">
        <v>315</v>
      </c>
      <c r="D1295">
        <v>72</v>
      </c>
      <c r="E1295" t="s">
        <v>316</v>
      </c>
      <c r="F1295" t="s">
        <v>317</v>
      </c>
      <c r="G1295" t="s">
        <v>218</v>
      </c>
      <c r="H1295" t="s">
        <v>168</v>
      </c>
      <c r="I1295" t="s">
        <v>169</v>
      </c>
      <c r="J1295" t="s">
        <v>266</v>
      </c>
      <c r="K1295" t="s">
        <v>409</v>
      </c>
      <c r="L1295" t="s">
        <v>410</v>
      </c>
      <c r="N1295" t="s">
        <v>411</v>
      </c>
      <c r="O1295" t="s">
        <v>134</v>
      </c>
      <c r="Q1295" t="s">
        <v>232</v>
      </c>
      <c r="R1295" t="s">
        <v>170</v>
      </c>
      <c r="S1295" t="s">
        <v>128</v>
      </c>
      <c r="T1295" t="s">
        <v>165</v>
      </c>
      <c r="U1295" t="s">
        <v>129</v>
      </c>
      <c r="V1295" t="s">
        <v>71</v>
      </c>
      <c r="W1295" s="58">
        <v>43324</v>
      </c>
      <c r="X1295" s="59">
        <v>0.70833333333333337</v>
      </c>
      <c r="Y1295" s="59">
        <v>0.75</v>
      </c>
      <c r="Z1295" s="59">
        <v>4.1666666666666664E-2</v>
      </c>
      <c r="AA1295">
        <v>0</v>
      </c>
      <c r="AB1295">
        <v>0.62839999999999996</v>
      </c>
      <c r="AC1295">
        <v>23</v>
      </c>
      <c r="AD1295">
        <v>10</v>
      </c>
      <c r="AE1295" s="59">
        <v>0.70833333333333337</v>
      </c>
      <c r="AF1295" s="59">
        <v>0.74930555555555556</v>
      </c>
      <c r="AG1295">
        <v>16</v>
      </c>
    </row>
    <row r="1296" spans="1:33" x14ac:dyDescent="0.25">
      <c r="A1296" t="s">
        <v>258</v>
      </c>
      <c r="B1296" t="s">
        <v>342</v>
      </c>
      <c r="C1296" t="s">
        <v>343</v>
      </c>
      <c r="E1296" t="s">
        <v>344</v>
      </c>
      <c r="F1296" t="s">
        <v>134</v>
      </c>
      <c r="H1296" t="s">
        <v>197</v>
      </c>
      <c r="I1296" t="s">
        <v>198</v>
      </c>
      <c r="J1296" t="s">
        <v>266</v>
      </c>
      <c r="K1296" t="s">
        <v>409</v>
      </c>
      <c r="L1296" t="s">
        <v>410</v>
      </c>
      <c r="N1296" t="s">
        <v>411</v>
      </c>
      <c r="O1296" t="s">
        <v>134</v>
      </c>
      <c r="Q1296" t="s">
        <v>232</v>
      </c>
      <c r="R1296" t="s">
        <v>199</v>
      </c>
      <c r="S1296" t="s">
        <v>128</v>
      </c>
      <c r="T1296" t="s">
        <v>165</v>
      </c>
      <c r="U1296" t="s">
        <v>151</v>
      </c>
      <c r="V1296" t="s">
        <v>71</v>
      </c>
      <c r="W1296" s="58">
        <v>43324</v>
      </c>
      <c r="X1296" s="59">
        <v>0.8125</v>
      </c>
      <c r="Y1296" s="59">
        <v>0.85416666666666663</v>
      </c>
      <c r="Z1296" s="59">
        <v>4.1666666666666664E-2</v>
      </c>
      <c r="AA1296">
        <v>0</v>
      </c>
      <c r="AB1296">
        <v>7.242</v>
      </c>
      <c r="AC1296">
        <v>20</v>
      </c>
      <c r="AD1296">
        <v>10</v>
      </c>
      <c r="AE1296" s="59">
        <v>0.8125</v>
      </c>
      <c r="AF1296" s="59">
        <v>0.8534722222222223</v>
      </c>
      <c r="AG1296">
        <v>16</v>
      </c>
    </row>
    <row r="1297" spans="1:33" x14ac:dyDescent="0.25">
      <c r="A1297" t="s">
        <v>258</v>
      </c>
      <c r="B1297" t="s">
        <v>310</v>
      </c>
      <c r="C1297" t="s">
        <v>311</v>
      </c>
      <c r="D1297" t="s">
        <v>312</v>
      </c>
      <c r="E1297" t="s">
        <v>313</v>
      </c>
      <c r="F1297" t="s">
        <v>134</v>
      </c>
      <c r="H1297" t="s">
        <v>175</v>
      </c>
      <c r="I1297" t="s">
        <v>127</v>
      </c>
      <c r="J1297" t="s">
        <v>266</v>
      </c>
      <c r="K1297" t="s">
        <v>409</v>
      </c>
      <c r="L1297" t="s">
        <v>410</v>
      </c>
      <c r="N1297" t="s">
        <v>411</v>
      </c>
      <c r="O1297" t="s">
        <v>134</v>
      </c>
      <c r="Q1297" t="s">
        <v>232</v>
      </c>
      <c r="R1297" t="s">
        <v>176</v>
      </c>
      <c r="S1297" t="s">
        <v>128</v>
      </c>
      <c r="T1297" t="s">
        <v>165</v>
      </c>
      <c r="U1297" t="s">
        <v>151</v>
      </c>
      <c r="V1297" t="s">
        <v>71</v>
      </c>
      <c r="W1297" s="58">
        <v>43324</v>
      </c>
      <c r="X1297" s="59">
        <v>0.87013888888888891</v>
      </c>
      <c r="Y1297" s="59">
        <v>0.89097222222222217</v>
      </c>
      <c r="Z1297" s="59">
        <v>2.0833333333333332E-2</v>
      </c>
      <c r="AA1297">
        <v>0</v>
      </c>
      <c r="AB1297">
        <v>5.3818000000000001</v>
      </c>
      <c r="AC1297">
        <v>10</v>
      </c>
      <c r="AD1297">
        <v>5</v>
      </c>
      <c r="AE1297" s="59">
        <v>0.87013888888888891</v>
      </c>
      <c r="AF1297" s="59">
        <v>0.89027777777777783</v>
      </c>
      <c r="AG1297">
        <v>16</v>
      </c>
    </row>
    <row r="1298" spans="1:33" x14ac:dyDescent="0.25">
      <c r="A1298" t="s">
        <v>258</v>
      </c>
      <c r="B1298" t="s">
        <v>281</v>
      </c>
      <c r="C1298" t="s">
        <v>282</v>
      </c>
      <c r="E1298" t="s">
        <v>283</v>
      </c>
      <c r="F1298" t="s">
        <v>134</v>
      </c>
      <c r="G1298" t="s">
        <v>218</v>
      </c>
      <c r="H1298" t="s">
        <v>146</v>
      </c>
      <c r="I1298" t="s">
        <v>147</v>
      </c>
      <c r="J1298" t="s">
        <v>266</v>
      </c>
      <c r="K1298" t="s">
        <v>409</v>
      </c>
      <c r="L1298" t="s">
        <v>410</v>
      </c>
      <c r="N1298" t="s">
        <v>411</v>
      </c>
      <c r="O1298" t="s">
        <v>134</v>
      </c>
      <c r="Q1298" t="s">
        <v>232</v>
      </c>
      <c r="R1298" t="s">
        <v>148</v>
      </c>
      <c r="S1298" t="s">
        <v>128</v>
      </c>
      <c r="T1298" t="s">
        <v>165</v>
      </c>
      <c r="U1298" t="s">
        <v>129</v>
      </c>
      <c r="V1298" t="s">
        <v>72</v>
      </c>
      <c r="W1298" s="58">
        <v>43325</v>
      </c>
      <c r="X1298" s="59">
        <v>0.75</v>
      </c>
      <c r="Y1298" s="59">
        <v>0.79166666666666663</v>
      </c>
      <c r="Z1298" s="59">
        <v>4.1666666666666664E-2</v>
      </c>
      <c r="AA1298">
        <v>0</v>
      </c>
      <c r="AC1298">
        <v>23</v>
      </c>
      <c r="AD1298">
        <v>9</v>
      </c>
      <c r="AE1298" s="59">
        <v>0.75</v>
      </c>
      <c r="AF1298" s="59">
        <v>0.7909722222222223</v>
      </c>
      <c r="AG1298">
        <v>16</v>
      </c>
    </row>
    <row r="1299" spans="1:33" x14ac:dyDescent="0.25">
      <c r="A1299" t="s">
        <v>258</v>
      </c>
      <c r="B1299" t="s">
        <v>342</v>
      </c>
      <c r="C1299" t="s">
        <v>343</v>
      </c>
      <c r="E1299" t="s">
        <v>344</v>
      </c>
      <c r="F1299" t="s">
        <v>134</v>
      </c>
      <c r="H1299" t="s">
        <v>197</v>
      </c>
      <c r="I1299" t="s">
        <v>198</v>
      </c>
      <c r="J1299" t="s">
        <v>266</v>
      </c>
      <c r="K1299" t="s">
        <v>409</v>
      </c>
      <c r="L1299" t="s">
        <v>410</v>
      </c>
      <c r="N1299" t="s">
        <v>411</v>
      </c>
      <c r="O1299" t="s">
        <v>134</v>
      </c>
      <c r="Q1299" t="s">
        <v>232</v>
      </c>
      <c r="R1299" t="s">
        <v>199</v>
      </c>
      <c r="S1299" t="s">
        <v>128</v>
      </c>
      <c r="T1299" t="s">
        <v>165</v>
      </c>
      <c r="U1299" t="s">
        <v>151</v>
      </c>
      <c r="V1299" t="s">
        <v>72</v>
      </c>
      <c r="W1299" s="58">
        <v>43325</v>
      </c>
      <c r="X1299" s="59">
        <v>0.8125</v>
      </c>
      <c r="Y1299" s="59">
        <v>0.85416666666666663</v>
      </c>
      <c r="Z1299" s="59">
        <v>4.1666666666666664E-2</v>
      </c>
      <c r="AA1299">
        <v>0</v>
      </c>
      <c r="AB1299">
        <v>5.7431999999999999</v>
      </c>
      <c r="AC1299">
        <v>20</v>
      </c>
      <c r="AD1299">
        <v>9</v>
      </c>
      <c r="AE1299" s="59">
        <v>0.8125</v>
      </c>
      <c r="AF1299" s="59">
        <v>0.8534722222222223</v>
      </c>
      <c r="AG1299">
        <v>16</v>
      </c>
    </row>
    <row r="1300" spans="1:33" x14ac:dyDescent="0.25">
      <c r="A1300" t="s">
        <v>258</v>
      </c>
      <c r="B1300" t="s">
        <v>310</v>
      </c>
      <c r="C1300" t="s">
        <v>311</v>
      </c>
      <c r="D1300" t="s">
        <v>312</v>
      </c>
      <c r="E1300" t="s">
        <v>313</v>
      </c>
      <c r="F1300" t="s">
        <v>134</v>
      </c>
      <c r="H1300" t="s">
        <v>175</v>
      </c>
      <c r="I1300" t="s">
        <v>127</v>
      </c>
      <c r="J1300" t="s">
        <v>266</v>
      </c>
      <c r="K1300" t="s">
        <v>409</v>
      </c>
      <c r="L1300" t="s">
        <v>410</v>
      </c>
      <c r="N1300" t="s">
        <v>411</v>
      </c>
      <c r="O1300" t="s">
        <v>134</v>
      </c>
      <c r="Q1300" t="s">
        <v>232</v>
      </c>
      <c r="R1300" t="s">
        <v>176</v>
      </c>
      <c r="S1300" t="s">
        <v>128</v>
      </c>
      <c r="T1300" t="s">
        <v>165</v>
      </c>
      <c r="U1300" t="s">
        <v>151</v>
      </c>
      <c r="V1300" t="s">
        <v>72</v>
      </c>
      <c r="W1300" s="58">
        <v>43325</v>
      </c>
      <c r="X1300" s="59">
        <v>0.87013888888888891</v>
      </c>
      <c r="Y1300" s="59">
        <v>0.89097222222222217</v>
      </c>
      <c r="Z1300" s="59">
        <v>2.0833333333333332E-2</v>
      </c>
      <c r="AA1300">
        <v>0</v>
      </c>
      <c r="AB1300">
        <v>5.3818000000000001</v>
      </c>
      <c r="AC1300">
        <v>10</v>
      </c>
      <c r="AD1300">
        <v>4.5</v>
      </c>
      <c r="AE1300" s="59">
        <v>0.87013888888888891</v>
      </c>
      <c r="AF1300" s="59">
        <v>0.89027777777777783</v>
      </c>
      <c r="AG1300">
        <v>16</v>
      </c>
    </row>
    <row r="1301" spans="1:33" x14ac:dyDescent="0.25">
      <c r="B1301" t="s">
        <v>307</v>
      </c>
      <c r="C1301" t="s">
        <v>308</v>
      </c>
      <c r="D1301" t="s">
        <v>309</v>
      </c>
      <c r="E1301" t="s">
        <v>134</v>
      </c>
      <c r="H1301" t="s">
        <v>171</v>
      </c>
      <c r="I1301" t="s">
        <v>169</v>
      </c>
      <c r="J1301" t="s">
        <v>266</v>
      </c>
      <c r="K1301" t="s">
        <v>409</v>
      </c>
      <c r="L1301" t="s">
        <v>410</v>
      </c>
      <c r="N1301" t="s">
        <v>411</v>
      </c>
      <c r="O1301" t="s">
        <v>134</v>
      </c>
      <c r="Q1301" t="s">
        <v>232</v>
      </c>
      <c r="R1301" t="s">
        <v>172</v>
      </c>
      <c r="S1301" t="s">
        <v>128</v>
      </c>
      <c r="T1301" t="s">
        <v>165</v>
      </c>
      <c r="U1301" t="s">
        <v>129</v>
      </c>
      <c r="V1301" t="s">
        <v>73</v>
      </c>
      <c r="W1301" s="58">
        <v>43326</v>
      </c>
      <c r="X1301" s="59">
        <v>0.66666666666666663</v>
      </c>
      <c r="Y1301" s="59">
        <v>0.69791666666666663</v>
      </c>
      <c r="Z1301" s="59">
        <v>3.125E-2</v>
      </c>
      <c r="AA1301">
        <v>0</v>
      </c>
      <c r="AC1301">
        <v>17.25</v>
      </c>
      <c r="AD1301">
        <v>6.75</v>
      </c>
      <c r="AE1301" s="59">
        <v>0.66666666666666663</v>
      </c>
      <c r="AF1301" s="59">
        <v>0.6972222222222223</v>
      </c>
      <c r="AG1301">
        <v>16</v>
      </c>
    </row>
    <row r="1302" spans="1:33" x14ac:dyDescent="0.25">
      <c r="A1302" t="s">
        <v>258</v>
      </c>
      <c r="B1302" t="s">
        <v>314</v>
      </c>
      <c r="C1302" t="s">
        <v>315</v>
      </c>
      <c r="D1302">
        <v>72</v>
      </c>
      <c r="E1302" t="s">
        <v>316</v>
      </c>
      <c r="F1302" t="s">
        <v>317</v>
      </c>
      <c r="G1302" t="s">
        <v>218</v>
      </c>
      <c r="H1302" t="s">
        <v>168</v>
      </c>
      <c r="I1302" t="s">
        <v>169</v>
      </c>
      <c r="J1302" t="s">
        <v>266</v>
      </c>
      <c r="K1302" t="s">
        <v>409</v>
      </c>
      <c r="L1302" t="s">
        <v>410</v>
      </c>
      <c r="N1302" t="s">
        <v>411</v>
      </c>
      <c r="O1302" t="s">
        <v>134</v>
      </c>
      <c r="Q1302" t="s">
        <v>232</v>
      </c>
      <c r="R1302" t="s">
        <v>170</v>
      </c>
      <c r="S1302" t="s">
        <v>128</v>
      </c>
      <c r="T1302" t="s">
        <v>165</v>
      </c>
      <c r="U1302" t="s">
        <v>129</v>
      </c>
      <c r="V1302" t="s">
        <v>73</v>
      </c>
      <c r="W1302" s="58">
        <v>43326</v>
      </c>
      <c r="X1302" s="59">
        <v>0.7006944444444444</v>
      </c>
      <c r="Y1302" s="59">
        <v>0.74236111111111114</v>
      </c>
      <c r="Z1302" s="59">
        <v>4.1666666666666664E-2</v>
      </c>
      <c r="AA1302">
        <v>0</v>
      </c>
      <c r="AB1302">
        <v>0.62839999999999996</v>
      </c>
      <c r="AC1302">
        <v>23</v>
      </c>
      <c r="AD1302">
        <v>9</v>
      </c>
      <c r="AE1302" s="59">
        <v>0.7006944444444444</v>
      </c>
      <c r="AF1302" s="59">
        <v>0.7416666666666667</v>
      </c>
      <c r="AG1302">
        <v>16</v>
      </c>
    </row>
    <row r="1303" spans="1:33" x14ac:dyDescent="0.25">
      <c r="A1303" t="s">
        <v>274</v>
      </c>
      <c r="B1303" t="s">
        <v>334</v>
      </c>
      <c r="C1303" t="s">
        <v>285</v>
      </c>
      <c r="E1303" t="s">
        <v>335</v>
      </c>
      <c r="F1303" t="s">
        <v>134</v>
      </c>
      <c r="H1303" t="s">
        <v>192</v>
      </c>
      <c r="I1303" t="s">
        <v>155</v>
      </c>
      <c r="J1303" t="s">
        <v>266</v>
      </c>
      <c r="K1303" t="s">
        <v>409</v>
      </c>
      <c r="L1303" t="s">
        <v>410</v>
      </c>
      <c r="N1303" t="s">
        <v>411</v>
      </c>
      <c r="O1303" t="s">
        <v>134</v>
      </c>
      <c r="Q1303" t="s">
        <v>232</v>
      </c>
      <c r="R1303" t="s">
        <v>193</v>
      </c>
      <c r="S1303" t="s">
        <v>128</v>
      </c>
      <c r="T1303" t="s">
        <v>165</v>
      </c>
      <c r="U1303" t="s">
        <v>129</v>
      </c>
      <c r="V1303" t="s">
        <v>73</v>
      </c>
      <c r="W1303" s="58">
        <v>43326</v>
      </c>
      <c r="X1303" s="59">
        <v>0.76041666666666663</v>
      </c>
      <c r="Y1303" s="59">
        <v>0.80208333333333337</v>
      </c>
      <c r="Z1303" s="59">
        <v>4.1666666666666664E-2</v>
      </c>
      <c r="AA1303">
        <v>0</v>
      </c>
      <c r="AB1303">
        <v>8.1636000000000006</v>
      </c>
      <c r="AC1303">
        <v>23</v>
      </c>
      <c r="AD1303">
        <v>9</v>
      </c>
      <c r="AE1303" s="59">
        <v>0.76041666666666663</v>
      </c>
      <c r="AF1303" s="59">
        <v>0.80138888888888893</v>
      </c>
      <c r="AG1303">
        <v>16</v>
      </c>
    </row>
    <row r="1304" spans="1:33" x14ac:dyDescent="0.25">
      <c r="A1304" t="s">
        <v>258</v>
      </c>
      <c r="B1304" t="s">
        <v>342</v>
      </c>
      <c r="C1304" t="s">
        <v>343</v>
      </c>
      <c r="E1304" t="s">
        <v>344</v>
      </c>
      <c r="F1304" t="s">
        <v>134</v>
      </c>
      <c r="H1304" t="s">
        <v>197</v>
      </c>
      <c r="I1304" t="s">
        <v>198</v>
      </c>
      <c r="J1304" t="s">
        <v>266</v>
      </c>
      <c r="K1304" t="s">
        <v>409</v>
      </c>
      <c r="L1304" t="s">
        <v>410</v>
      </c>
      <c r="N1304" t="s">
        <v>411</v>
      </c>
      <c r="O1304" t="s">
        <v>134</v>
      </c>
      <c r="Q1304" t="s">
        <v>232</v>
      </c>
      <c r="R1304" t="s">
        <v>199</v>
      </c>
      <c r="S1304" t="s">
        <v>128</v>
      </c>
      <c r="T1304" t="s">
        <v>165</v>
      </c>
      <c r="U1304" t="s">
        <v>151</v>
      </c>
      <c r="V1304" t="s">
        <v>73</v>
      </c>
      <c r="W1304" s="58">
        <v>43326</v>
      </c>
      <c r="X1304" s="59">
        <v>0.8125</v>
      </c>
      <c r="Y1304" s="59">
        <v>0.85416666666666663</v>
      </c>
      <c r="Z1304" s="59">
        <v>4.1666666666666664E-2</v>
      </c>
      <c r="AA1304">
        <v>0</v>
      </c>
      <c r="AB1304">
        <v>2.1772</v>
      </c>
      <c r="AC1304">
        <v>20</v>
      </c>
      <c r="AD1304">
        <v>9</v>
      </c>
      <c r="AE1304" s="59">
        <v>0.8125</v>
      </c>
      <c r="AF1304" s="59">
        <v>0.8534722222222223</v>
      </c>
      <c r="AG1304">
        <v>16</v>
      </c>
    </row>
    <row r="1305" spans="1:33" x14ac:dyDescent="0.25">
      <c r="A1305" t="s">
        <v>258</v>
      </c>
      <c r="B1305" t="s">
        <v>310</v>
      </c>
      <c r="C1305" t="s">
        <v>311</v>
      </c>
      <c r="D1305" t="s">
        <v>312</v>
      </c>
      <c r="E1305" t="s">
        <v>313</v>
      </c>
      <c r="F1305" t="s">
        <v>134</v>
      </c>
      <c r="H1305" t="s">
        <v>175</v>
      </c>
      <c r="I1305" t="s">
        <v>127</v>
      </c>
      <c r="J1305" t="s">
        <v>266</v>
      </c>
      <c r="K1305" t="s">
        <v>409</v>
      </c>
      <c r="L1305" t="s">
        <v>410</v>
      </c>
      <c r="N1305" t="s">
        <v>411</v>
      </c>
      <c r="O1305" t="s">
        <v>134</v>
      </c>
      <c r="Q1305" t="s">
        <v>232</v>
      </c>
      <c r="R1305" t="s">
        <v>176</v>
      </c>
      <c r="S1305" t="s">
        <v>128</v>
      </c>
      <c r="T1305" t="s">
        <v>165</v>
      </c>
      <c r="U1305" t="s">
        <v>151</v>
      </c>
      <c r="V1305" t="s">
        <v>73</v>
      </c>
      <c r="W1305" s="58">
        <v>43326</v>
      </c>
      <c r="X1305" s="59">
        <v>0.87013888888888891</v>
      </c>
      <c r="Y1305" s="59">
        <v>0.89097222222222217</v>
      </c>
      <c r="Z1305" s="59">
        <v>2.0833333333333332E-2</v>
      </c>
      <c r="AA1305">
        <v>0</v>
      </c>
      <c r="AB1305">
        <v>5.3818000000000001</v>
      </c>
      <c r="AC1305">
        <v>10</v>
      </c>
      <c r="AD1305">
        <v>4.5</v>
      </c>
      <c r="AE1305" s="59">
        <v>0.87013888888888891</v>
      </c>
      <c r="AF1305" s="59">
        <v>0.89027777777777783</v>
      </c>
      <c r="AG1305">
        <v>16</v>
      </c>
    </row>
    <row r="1306" spans="1:33" x14ac:dyDescent="0.25">
      <c r="B1306" t="s">
        <v>307</v>
      </c>
      <c r="C1306" t="s">
        <v>308</v>
      </c>
      <c r="D1306" t="s">
        <v>309</v>
      </c>
      <c r="E1306" t="s">
        <v>134</v>
      </c>
      <c r="H1306" t="s">
        <v>171</v>
      </c>
      <c r="I1306" t="s">
        <v>169</v>
      </c>
      <c r="J1306" t="s">
        <v>266</v>
      </c>
      <c r="K1306" t="s">
        <v>409</v>
      </c>
      <c r="L1306" t="s">
        <v>410</v>
      </c>
      <c r="N1306" t="s">
        <v>411</v>
      </c>
      <c r="O1306" t="s">
        <v>134</v>
      </c>
      <c r="Q1306" t="s">
        <v>232</v>
      </c>
      <c r="R1306" t="s">
        <v>172</v>
      </c>
      <c r="S1306" t="s">
        <v>128</v>
      </c>
      <c r="T1306" t="s">
        <v>165</v>
      </c>
      <c r="U1306" t="s">
        <v>129</v>
      </c>
      <c r="V1306" t="s">
        <v>76</v>
      </c>
      <c r="W1306" s="58">
        <v>43329</v>
      </c>
      <c r="X1306" s="59">
        <v>0.6645833333333333</v>
      </c>
      <c r="Y1306" s="59">
        <v>0.6958333333333333</v>
      </c>
      <c r="Z1306" s="59">
        <v>3.125E-2</v>
      </c>
      <c r="AA1306">
        <v>0</v>
      </c>
      <c r="AC1306">
        <v>17.25</v>
      </c>
      <c r="AD1306">
        <v>6.75</v>
      </c>
      <c r="AE1306" s="59">
        <v>0.6645833333333333</v>
      </c>
      <c r="AF1306" s="59">
        <v>0.69513888888888886</v>
      </c>
      <c r="AG1306">
        <v>16</v>
      </c>
    </row>
    <row r="1307" spans="1:33" x14ac:dyDescent="0.25">
      <c r="A1307" t="s">
        <v>258</v>
      </c>
      <c r="B1307" t="s">
        <v>314</v>
      </c>
      <c r="C1307" t="s">
        <v>315</v>
      </c>
      <c r="D1307">
        <v>72</v>
      </c>
      <c r="E1307" t="s">
        <v>316</v>
      </c>
      <c r="F1307" t="s">
        <v>317</v>
      </c>
      <c r="G1307" t="s">
        <v>218</v>
      </c>
      <c r="H1307" t="s">
        <v>168</v>
      </c>
      <c r="I1307" t="s">
        <v>169</v>
      </c>
      <c r="J1307" t="s">
        <v>266</v>
      </c>
      <c r="K1307" t="s">
        <v>409</v>
      </c>
      <c r="L1307" t="s">
        <v>410</v>
      </c>
      <c r="N1307" t="s">
        <v>411</v>
      </c>
      <c r="O1307" t="s">
        <v>134</v>
      </c>
      <c r="Q1307" t="s">
        <v>232</v>
      </c>
      <c r="R1307" t="s">
        <v>170</v>
      </c>
      <c r="S1307" t="s">
        <v>128</v>
      </c>
      <c r="T1307" t="s">
        <v>165</v>
      </c>
      <c r="U1307" t="s">
        <v>129</v>
      </c>
      <c r="V1307" t="s">
        <v>76</v>
      </c>
      <c r="W1307" s="58">
        <v>43329</v>
      </c>
      <c r="X1307" s="59">
        <v>0.70416666666666661</v>
      </c>
      <c r="Y1307" s="59">
        <v>0.74583333333333324</v>
      </c>
      <c r="Z1307" s="59">
        <v>4.1666666666666664E-2</v>
      </c>
      <c r="AA1307">
        <v>0</v>
      </c>
      <c r="AB1307">
        <v>0.62839999999999996</v>
      </c>
      <c r="AC1307">
        <v>23</v>
      </c>
      <c r="AD1307">
        <v>9</v>
      </c>
      <c r="AE1307" s="59">
        <v>0.70416666666666661</v>
      </c>
      <c r="AF1307" s="59">
        <v>0.74513888888888891</v>
      </c>
      <c r="AG1307">
        <v>16</v>
      </c>
    </row>
    <row r="1308" spans="1:33" x14ac:dyDescent="0.25">
      <c r="B1308" t="s">
        <v>307</v>
      </c>
      <c r="C1308" t="s">
        <v>308</v>
      </c>
      <c r="D1308" t="s">
        <v>309</v>
      </c>
      <c r="E1308" t="s">
        <v>134</v>
      </c>
      <c r="H1308" t="s">
        <v>171</v>
      </c>
      <c r="I1308" t="s">
        <v>169</v>
      </c>
      <c r="J1308" t="s">
        <v>266</v>
      </c>
      <c r="K1308" t="s">
        <v>409</v>
      </c>
      <c r="L1308" t="s">
        <v>410</v>
      </c>
      <c r="N1308" t="s">
        <v>411</v>
      </c>
      <c r="O1308" t="s">
        <v>134</v>
      </c>
      <c r="Q1308" t="s">
        <v>232</v>
      </c>
      <c r="R1308" t="s">
        <v>172</v>
      </c>
      <c r="S1308" t="s">
        <v>128</v>
      </c>
      <c r="T1308" t="s">
        <v>165</v>
      </c>
      <c r="U1308" t="s">
        <v>129</v>
      </c>
      <c r="V1308" t="s">
        <v>77</v>
      </c>
      <c r="W1308" s="58">
        <v>43330</v>
      </c>
      <c r="X1308" s="59">
        <v>0.65972222222222221</v>
      </c>
      <c r="Y1308" s="59">
        <v>0.69097222222222221</v>
      </c>
      <c r="Z1308" s="59">
        <v>3.125E-2</v>
      </c>
      <c r="AA1308">
        <v>0</v>
      </c>
      <c r="AC1308">
        <v>17.25</v>
      </c>
      <c r="AD1308">
        <v>7.5</v>
      </c>
      <c r="AE1308" s="59">
        <v>0.65972222222222221</v>
      </c>
      <c r="AF1308" s="59">
        <v>0.69027777777777777</v>
      </c>
      <c r="AG1308">
        <v>16</v>
      </c>
    </row>
    <row r="1309" spans="1:33" x14ac:dyDescent="0.25">
      <c r="A1309" t="s">
        <v>258</v>
      </c>
      <c r="B1309" t="s">
        <v>314</v>
      </c>
      <c r="C1309" t="s">
        <v>315</v>
      </c>
      <c r="D1309">
        <v>72</v>
      </c>
      <c r="E1309" t="s">
        <v>316</v>
      </c>
      <c r="F1309" t="s">
        <v>317</v>
      </c>
      <c r="G1309" t="s">
        <v>218</v>
      </c>
      <c r="H1309" t="s">
        <v>168</v>
      </c>
      <c r="I1309" t="s">
        <v>169</v>
      </c>
      <c r="J1309" t="s">
        <v>266</v>
      </c>
      <c r="K1309" t="s">
        <v>409</v>
      </c>
      <c r="L1309" t="s">
        <v>410</v>
      </c>
      <c r="N1309" t="s">
        <v>411</v>
      </c>
      <c r="O1309" t="s">
        <v>134</v>
      </c>
      <c r="Q1309" t="s">
        <v>232</v>
      </c>
      <c r="R1309" t="s">
        <v>170</v>
      </c>
      <c r="S1309" t="s">
        <v>128</v>
      </c>
      <c r="T1309" t="s">
        <v>165</v>
      </c>
      <c r="U1309" t="s">
        <v>129</v>
      </c>
      <c r="V1309" t="s">
        <v>77</v>
      </c>
      <c r="W1309" s="58">
        <v>43330</v>
      </c>
      <c r="X1309" s="59">
        <v>0.69791666666666663</v>
      </c>
      <c r="Y1309" s="59">
        <v>0.73958333333333337</v>
      </c>
      <c r="Z1309" s="59">
        <v>4.1666666666666664E-2</v>
      </c>
      <c r="AA1309">
        <v>0</v>
      </c>
      <c r="AB1309">
        <v>0.62839999999999996</v>
      </c>
      <c r="AC1309">
        <v>23</v>
      </c>
      <c r="AD1309">
        <v>10</v>
      </c>
      <c r="AE1309" s="59">
        <v>0.69791666666666663</v>
      </c>
      <c r="AF1309" s="59">
        <v>0.73888888888888893</v>
      </c>
      <c r="AG1309">
        <v>16</v>
      </c>
    </row>
    <row r="1310" spans="1:33" x14ac:dyDescent="0.25">
      <c r="A1310" t="s">
        <v>258</v>
      </c>
      <c r="B1310" t="s">
        <v>281</v>
      </c>
      <c r="C1310" t="s">
        <v>282</v>
      </c>
      <c r="E1310" t="s">
        <v>283</v>
      </c>
      <c r="F1310" t="s">
        <v>134</v>
      </c>
      <c r="G1310" t="s">
        <v>218</v>
      </c>
      <c r="H1310" t="s">
        <v>146</v>
      </c>
      <c r="I1310" t="s">
        <v>147</v>
      </c>
      <c r="J1310" t="s">
        <v>266</v>
      </c>
      <c r="K1310" t="s">
        <v>409</v>
      </c>
      <c r="L1310" t="s">
        <v>410</v>
      </c>
      <c r="N1310" t="s">
        <v>411</v>
      </c>
      <c r="O1310" t="s">
        <v>134</v>
      </c>
      <c r="Q1310" t="s">
        <v>232</v>
      </c>
      <c r="R1310" t="s">
        <v>148</v>
      </c>
      <c r="S1310" t="s">
        <v>128</v>
      </c>
      <c r="T1310" t="s">
        <v>165</v>
      </c>
      <c r="U1310" t="s">
        <v>129</v>
      </c>
      <c r="V1310" t="s">
        <v>77</v>
      </c>
      <c r="W1310" s="58">
        <v>43330</v>
      </c>
      <c r="X1310" s="59">
        <v>0.75</v>
      </c>
      <c r="Y1310" s="59">
        <v>0.79166666666666663</v>
      </c>
      <c r="Z1310" s="59">
        <v>4.1666666666666664E-2</v>
      </c>
      <c r="AA1310">
        <v>0</v>
      </c>
      <c r="AB1310">
        <v>3.6886000000000001</v>
      </c>
      <c r="AC1310">
        <v>23</v>
      </c>
      <c r="AD1310">
        <v>10</v>
      </c>
      <c r="AE1310" s="59">
        <v>0.75</v>
      </c>
      <c r="AF1310" s="59">
        <v>0.7909722222222223</v>
      </c>
      <c r="AG1310">
        <v>16</v>
      </c>
    </row>
    <row r="1311" spans="1:33" x14ac:dyDescent="0.25">
      <c r="A1311" t="s">
        <v>258</v>
      </c>
      <c r="B1311" t="s">
        <v>342</v>
      </c>
      <c r="C1311" t="s">
        <v>343</v>
      </c>
      <c r="E1311" t="s">
        <v>344</v>
      </c>
      <c r="F1311" t="s">
        <v>134</v>
      </c>
      <c r="H1311" t="s">
        <v>197</v>
      </c>
      <c r="I1311" t="s">
        <v>198</v>
      </c>
      <c r="J1311" t="s">
        <v>266</v>
      </c>
      <c r="K1311" t="s">
        <v>409</v>
      </c>
      <c r="L1311" t="s">
        <v>410</v>
      </c>
      <c r="N1311" t="s">
        <v>411</v>
      </c>
      <c r="O1311" t="s">
        <v>134</v>
      </c>
      <c r="Q1311" t="s">
        <v>232</v>
      </c>
      <c r="R1311" t="s">
        <v>199</v>
      </c>
      <c r="S1311" t="s">
        <v>128</v>
      </c>
      <c r="T1311" t="s">
        <v>165</v>
      </c>
      <c r="U1311" t="s">
        <v>151</v>
      </c>
      <c r="V1311" t="s">
        <v>77</v>
      </c>
      <c r="W1311" s="58">
        <v>43330</v>
      </c>
      <c r="X1311" s="59">
        <v>0.8125</v>
      </c>
      <c r="Y1311" s="59">
        <v>0.85416666666666663</v>
      </c>
      <c r="Z1311" s="59">
        <v>4.1666666666666664E-2</v>
      </c>
      <c r="AA1311">
        <v>0</v>
      </c>
      <c r="AB1311">
        <v>5.7431999999999999</v>
      </c>
      <c r="AC1311">
        <v>20</v>
      </c>
      <c r="AD1311">
        <v>10</v>
      </c>
      <c r="AE1311" s="59">
        <v>0.8125</v>
      </c>
      <c r="AF1311" s="59">
        <v>0.8534722222222223</v>
      </c>
      <c r="AG1311">
        <v>16</v>
      </c>
    </row>
    <row r="1312" spans="1:33" x14ac:dyDescent="0.25">
      <c r="A1312" t="s">
        <v>258</v>
      </c>
      <c r="B1312" t="s">
        <v>310</v>
      </c>
      <c r="C1312" t="s">
        <v>311</v>
      </c>
      <c r="D1312" t="s">
        <v>312</v>
      </c>
      <c r="E1312" t="s">
        <v>313</v>
      </c>
      <c r="F1312" t="s">
        <v>134</v>
      </c>
      <c r="H1312" t="s">
        <v>175</v>
      </c>
      <c r="I1312" t="s">
        <v>127</v>
      </c>
      <c r="J1312" t="s">
        <v>266</v>
      </c>
      <c r="K1312" t="s">
        <v>409</v>
      </c>
      <c r="L1312" t="s">
        <v>410</v>
      </c>
      <c r="N1312" t="s">
        <v>411</v>
      </c>
      <c r="O1312" t="s">
        <v>134</v>
      </c>
      <c r="Q1312" t="s">
        <v>232</v>
      </c>
      <c r="R1312" t="s">
        <v>176</v>
      </c>
      <c r="S1312" t="s">
        <v>128</v>
      </c>
      <c r="T1312" t="s">
        <v>165</v>
      </c>
      <c r="U1312" t="s">
        <v>151</v>
      </c>
      <c r="V1312" t="s">
        <v>77</v>
      </c>
      <c r="W1312" s="58">
        <v>43330</v>
      </c>
      <c r="X1312" s="59">
        <v>0.87013888888888891</v>
      </c>
      <c r="Y1312" s="59">
        <v>0.89097222222222217</v>
      </c>
      <c r="Z1312" s="59">
        <v>2.0833333333333332E-2</v>
      </c>
      <c r="AA1312">
        <v>0</v>
      </c>
      <c r="AB1312">
        <v>5.3818000000000001</v>
      </c>
      <c r="AC1312">
        <v>10</v>
      </c>
      <c r="AD1312">
        <v>5</v>
      </c>
      <c r="AE1312" s="59">
        <v>0.87013888888888891</v>
      </c>
      <c r="AF1312" s="59">
        <v>0.89027777777777783</v>
      </c>
      <c r="AG1312">
        <v>16</v>
      </c>
    </row>
    <row r="1313" spans="1:33" x14ac:dyDescent="0.25">
      <c r="B1313" t="s">
        <v>331</v>
      </c>
      <c r="C1313" t="s">
        <v>332</v>
      </c>
      <c r="E1313" t="s">
        <v>333</v>
      </c>
      <c r="F1313" t="s">
        <v>134</v>
      </c>
      <c r="G1313" t="s">
        <v>218</v>
      </c>
      <c r="H1313" t="s">
        <v>177</v>
      </c>
      <c r="I1313" t="s">
        <v>158</v>
      </c>
      <c r="J1313" t="s">
        <v>266</v>
      </c>
      <c r="K1313" t="s">
        <v>409</v>
      </c>
      <c r="L1313" t="s">
        <v>410</v>
      </c>
      <c r="N1313" t="s">
        <v>411</v>
      </c>
      <c r="O1313" t="s">
        <v>134</v>
      </c>
      <c r="Q1313" t="s">
        <v>232</v>
      </c>
      <c r="R1313" t="s">
        <v>179</v>
      </c>
      <c r="S1313" t="s">
        <v>128</v>
      </c>
      <c r="T1313" t="s">
        <v>165</v>
      </c>
      <c r="U1313" t="s">
        <v>129</v>
      </c>
      <c r="V1313" t="s">
        <v>73</v>
      </c>
      <c r="W1313" s="58">
        <v>43333</v>
      </c>
      <c r="X1313" s="59">
        <v>0.60416666666666663</v>
      </c>
      <c r="Y1313" s="59">
        <v>0.64583333333333337</v>
      </c>
      <c r="Z1313" s="59">
        <v>4.1666666666666664E-2</v>
      </c>
      <c r="AA1313">
        <v>0</v>
      </c>
      <c r="AD1313">
        <v>9</v>
      </c>
      <c r="AG1313">
        <v>16</v>
      </c>
    </row>
    <row r="1314" spans="1:33" x14ac:dyDescent="0.25">
      <c r="B1314" t="s">
        <v>307</v>
      </c>
      <c r="C1314" t="s">
        <v>308</v>
      </c>
      <c r="D1314" t="s">
        <v>309</v>
      </c>
      <c r="E1314" t="s">
        <v>134</v>
      </c>
      <c r="H1314" t="s">
        <v>171</v>
      </c>
      <c r="I1314" t="s">
        <v>169</v>
      </c>
      <c r="J1314" t="s">
        <v>266</v>
      </c>
      <c r="K1314" t="s">
        <v>409</v>
      </c>
      <c r="L1314" t="s">
        <v>410</v>
      </c>
      <c r="N1314" t="s">
        <v>411</v>
      </c>
      <c r="O1314" t="s">
        <v>134</v>
      </c>
      <c r="Q1314" t="s">
        <v>232</v>
      </c>
      <c r="R1314" t="s">
        <v>172</v>
      </c>
      <c r="S1314" t="s">
        <v>128</v>
      </c>
      <c r="T1314" t="s">
        <v>165</v>
      </c>
      <c r="U1314" t="s">
        <v>129</v>
      </c>
      <c r="V1314" t="s">
        <v>73</v>
      </c>
      <c r="W1314" s="58">
        <v>43333</v>
      </c>
      <c r="X1314" s="59">
        <v>0.66666666666666663</v>
      </c>
      <c r="Y1314" s="59">
        <v>0.69791666666666663</v>
      </c>
      <c r="Z1314" s="59">
        <v>3.125E-2</v>
      </c>
      <c r="AA1314">
        <v>0</v>
      </c>
      <c r="AB1314">
        <v>8.6771999999999991</v>
      </c>
      <c r="AC1314">
        <v>17.25</v>
      </c>
      <c r="AD1314">
        <v>6.75</v>
      </c>
      <c r="AE1314" s="59">
        <v>0.66666666666666663</v>
      </c>
      <c r="AF1314" s="59">
        <v>0.6972222222222223</v>
      </c>
      <c r="AG1314">
        <v>16</v>
      </c>
    </row>
    <row r="1315" spans="1:33" x14ac:dyDescent="0.25">
      <c r="A1315" t="s">
        <v>258</v>
      </c>
      <c r="B1315" t="s">
        <v>314</v>
      </c>
      <c r="C1315" t="s">
        <v>315</v>
      </c>
      <c r="D1315">
        <v>72</v>
      </c>
      <c r="E1315" t="s">
        <v>316</v>
      </c>
      <c r="F1315" t="s">
        <v>317</v>
      </c>
      <c r="G1315" t="s">
        <v>218</v>
      </c>
      <c r="H1315" t="s">
        <v>168</v>
      </c>
      <c r="I1315" t="s">
        <v>169</v>
      </c>
      <c r="J1315" t="s">
        <v>266</v>
      </c>
      <c r="K1315" t="s">
        <v>409</v>
      </c>
      <c r="L1315" t="s">
        <v>410</v>
      </c>
      <c r="N1315" t="s">
        <v>411</v>
      </c>
      <c r="O1315" t="s">
        <v>134</v>
      </c>
      <c r="Q1315" t="s">
        <v>232</v>
      </c>
      <c r="R1315" t="s">
        <v>170</v>
      </c>
      <c r="S1315" t="s">
        <v>128</v>
      </c>
      <c r="T1315" t="s">
        <v>165</v>
      </c>
      <c r="U1315" t="s">
        <v>129</v>
      </c>
      <c r="V1315" t="s">
        <v>73</v>
      </c>
      <c r="W1315" s="58">
        <v>43333</v>
      </c>
      <c r="X1315" s="59">
        <v>0.70833333333333337</v>
      </c>
      <c r="Y1315" s="59">
        <v>0.75</v>
      </c>
      <c r="Z1315" s="59">
        <v>4.1666666666666664E-2</v>
      </c>
      <c r="AA1315">
        <v>0</v>
      </c>
      <c r="AB1315">
        <v>0.62839999999999996</v>
      </c>
      <c r="AC1315">
        <v>23</v>
      </c>
      <c r="AD1315">
        <v>9</v>
      </c>
      <c r="AE1315" s="59">
        <v>0.70833333333333337</v>
      </c>
      <c r="AF1315" s="59">
        <v>0.74930555555555556</v>
      </c>
      <c r="AG1315">
        <v>16</v>
      </c>
    </row>
    <row r="1316" spans="1:33" x14ac:dyDescent="0.25">
      <c r="A1316" t="s">
        <v>258</v>
      </c>
      <c r="B1316" t="s">
        <v>342</v>
      </c>
      <c r="C1316" t="s">
        <v>343</v>
      </c>
      <c r="E1316" t="s">
        <v>344</v>
      </c>
      <c r="F1316" t="s">
        <v>134</v>
      </c>
      <c r="H1316" t="s">
        <v>197</v>
      </c>
      <c r="I1316" t="s">
        <v>198</v>
      </c>
      <c r="J1316" t="s">
        <v>266</v>
      </c>
      <c r="K1316" t="s">
        <v>409</v>
      </c>
      <c r="L1316" t="s">
        <v>410</v>
      </c>
      <c r="N1316" t="s">
        <v>411</v>
      </c>
      <c r="O1316" t="s">
        <v>134</v>
      </c>
      <c r="Q1316" t="s">
        <v>232</v>
      </c>
      <c r="R1316" t="s">
        <v>199</v>
      </c>
      <c r="S1316" t="s">
        <v>128</v>
      </c>
      <c r="T1316" t="s">
        <v>165</v>
      </c>
      <c r="U1316" t="s">
        <v>151</v>
      </c>
      <c r="V1316" t="s">
        <v>73</v>
      </c>
      <c r="W1316" s="58">
        <v>43333</v>
      </c>
      <c r="X1316" s="59">
        <v>0.8125</v>
      </c>
      <c r="Y1316" s="59">
        <v>0.85416666666666663</v>
      </c>
      <c r="Z1316" s="59">
        <v>4.1666666666666664E-2</v>
      </c>
      <c r="AA1316">
        <v>0</v>
      </c>
      <c r="AB1316">
        <v>7.242</v>
      </c>
      <c r="AC1316">
        <v>20</v>
      </c>
      <c r="AD1316">
        <v>9</v>
      </c>
      <c r="AE1316" s="59">
        <v>0.8125</v>
      </c>
      <c r="AF1316" s="59">
        <v>0.8534722222222223</v>
      </c>
      <c r="AG1316">
        <v>16</v>
      </c>
    </row>
    <row r="1317" spans="1:33" x14ac:dyDescent="0.25">
      <c r="A1317" t="s">
        <v>258</v>
      </c>
      <c r="B1317" t="s">
        <v>342</v>
      </c>
      <c r="C1317" t="s">
        <v>343</v>
      </c>
      <c r="E1317" t="s">
        <v>344</v>
      </c>
      <c r="F1317" t="s">
        <v>134</v>
      </c>
      <c r="H1317" t="s">
        <v>197</v>
      </c>
      <c r="I1317" t="s">
        <v>198</v>
      </c>
      <c r="J1317" t="s">
        <v>266</v>
      </c>
      <c r="K1317" t="s">
        <v>409</v>
      </c>
      <c r="L1317" t="s">
        <v>410</v>
      </c>
      <c r="N1317" t="s">
        <v>411</v>
      </c>
      <c r="O1317" t="s">
        <v>134</v>
      </c>
      <c r="Q1317" t="s">
        <v>232</v>
      </c>
      <c r="R1317" t="s">
        <v>199</v>
      </c>
      <c r="S1317" t="s">
        <v>128</v>
      </c>
      <c r="T1317" t="s">
        <v>165</v>
      </c>
      <c r="U1317" t="s">
        <v>151</v>
      </c>
      <c r="V1317" t="s">
        <v>74</v>
      </c>
      <c r="W1317" s="58">
        <v>43334</v>
      </c>
      <c r="X1317" s="59">
        <v>0.8125</v>
      </c>
      <c r="Y1317" s="59">
        <v>0.85416666666666663</v>
      </c>
      <c r="Z1317" s="59">
        <v>4.1666666666666664E-2</v>
      </c>
      <c r="AA1317">
        <v>11</v>
      </c>
      <c r="AC1317">
        <v>20</v>
      </c>
      <c r="AD1317">
        <v>9</v>
      </c>
      <c r="AE1317" s="59">
        <v>0.8125</v>
      </c>
      <c r="AF1317" s="59">
        <v>0.8534722222222223</v>
      </c>
      <c r="AG1317">
        <v>16</v>
      </c>
    </row>
    <row r="1318" spans="1:33" x14ac:dyDescent="0.25">
      <c r="A1318" t="s">
        <v>258</v>
      </c>
      <c r="B1318" t="s">
        <v>310</v>
      </c>
      <c r="C1318" t="s">
        <v>311</v>
      </c>
      <c r="D1318" t="s">
        <v>312</v>
      </c>
      <c r="E1318" t="s">
        <v>313</v>
      </c>
      <c r="F1318" t="s">
        <v>134</v>
      </c>
      <c r="H1318" t="s">
        <v>175</v>
      </c>
      <c r="I1318" t="s">
        <v>127</v>
      </c>
      <c r="J1318" t="s">
        <v>266</v>
      </c>
      <c r="K1318" t="s">
        <v>409</v>
      </c>
      <c r="L1318" t="s">
        <v>410</v>
      </c>
      <c r="N1318" t="s">
        <v>411</v>
      </c>
      <c r="O1318" t="s">
        <v>134</v>
      </c>
      <c r="Q1318" t="s">
        <v>232</v>
      </c>
      <c r="R1318" t="s">
        <v>176</v>
      </c>
      <c r="S1318" t="s">
        <v>128</v>
      </c>
      <c r="T1318" t="s">
        <v>165</v>
      </c>
      <c r="U1318" t="s">
        <v>151</v>
      </c>
      <c r="V1318" t="s">
        <v>74</v>
      </c>
      <c r="W1318" s="58">
        <v>43334</v>
      </c>
      <c r="X1318" s="59">
        <v>0.86319444444444438</v>
      </c>
      <c r="Y1318" s="59">
        <v>0.88402777777777775</v>
      </c>
      <c r="Z1318" s="59">
        <v>2.0833333333333332E-2</v>
      </c>
      <c r="AA1318">
        <v>0</v>
      </c>
      <c r="AB1318">
        <v>5.3818000000000001</v>
      </c>
      <c r="AC1318">
        <v>10</v>
      </c>
      <c r="AD1318">
        <v>4.5</v>
      </c>
      <c r="AE1318" s="59">
        <v>0.86319444444444438</v>
      </c>
      <c r="AF1318" s="59">
        <v>0.8833333333333333</v>
      </c>
      <c r="AG1318">
        <v>16</v>
      </c>
    </row>
    <row r="1319" spans="1:33" x14ac:dyDescent="0.25">
      <c r="A1319" t="s">
        <v>258</v>
      </c>
      <c r="B1319" t="s">
        <v>314</v>
      </c>
      <c r="C1319" t="s">
        <v>315</v>
      </c>
      <c r="D1319">
        <v>72</v>
      </c>
      <c r="E1319" t="s">
        <v>316</v>
      </c>
      <c r="F1319" t="s">
        <v>317</v>
      </c>
      <c r="G1319" t="s">
        <v>218</v>
      </c>
      <c r="H1319" t="s">
        <v>168</v>
      </c>
      <c r="I1319" t="s">
        <v>169</v>
      </c>
      <c r="J1319" t="s">
        <v>266</v>
      </c>
      <c r="K1319" t="s">
        <v>409</v>
      </c>
      <c r="L1319" t="s">
        <v>410</v>
      </c>
      <c r="N1319" t="s">
        <v>411</v>
      </c>
      <c r="O1319" t="s">
        <v>134</v>
      </c>
      <c r="Q1319" t="s">
        <v>232</v>
      </c>
      <c r="R1319" t="s">
        <v>170</v>
      </c>
      <c r="S1319" t="s">
        <v>128</v>
      </c>
      <c r="T1319" t="s">
        <v>165</v>
      </c>
      <c r="U1319" t="s">
        <v>129</v>
      </c>
      <c r="V1319" t="s">
        <v>75</v>
      </c>
      <c r="W1319" s="58">
        <v>43335</v>
      </c>
      <c r="X1319" s="59">
        <v>0.70833333333333337</v>
      </c>
      <c r="Y1319" s="59">
        <v>0.75</v>
      </c>
      <c r="Z1319" s="59">
        <v>4.1666666666666664E-2</v>
      </c>
      <c r="AA1319">
        <v>0</v>
      </c>
      <c r="AC1319">
        <v>23</v>
      </c>
      <c r="AD1319">
        <v>9</v>
      </c>
      <c r="AE1319" s="59">
        <v>0.70833333333333337</v>
      </c>
      <c r="AF1319" s="59">
        <v>0.74930555555555556</v>
      </c>
      <c r="AG1319">
        <v>16</v>
      </c>
    </row>
    <row r="1320" spans="1:33" x14ac:dyDescent="0.25">
      <c r="A1320" t="s">
        <v>274</v>
      </c>
      <c r="B1320" t="s">
        <v>334</v>
      </c>
      <c r="C1320" t="s">
        <v>285</v>
      </c>
      <c r="E1320" t="s">
        <v>335</v>
      </c>
      <c r="F1320" t="s">
        <v>134</v>
      </c>
      <c r="H1320" t="s">
        <v>192</v>
      </c>
      <c r="I1320" t="s">
        <v>155</v>
      </c>
      <c r="J1320" t="s">
        <v>266</v>
      </c>
      <c r="K1320" t="s">
        <v>409</v>
      </c>
      <c r="L1320" t="s">
        <v>410</v>
      </c>
      <c r="N1320" t="s">
        <v>411</v>
      </c>
      <c r="O1320" t="s">
        <v>134</v>
      </c>
      <c r="Q1320" t="s">
        <v>232</v>
      </c>
      <c r="R1320" t="s">
        <v>193</v>
      </c>
      <c r="S1320" t="s">
        <v>128</v>
      </c>
      <c r="T1320" t="s">
        <v>165</v>
      </c>
      <c r="U1320" t="s">
        <v>129</v>
      </c>
      <c r="V1320" t="s">
        <v>75</v>
      </c>
      <c r="W1320" s="58">
        <v>43335</v>
      </c>
      <c r="X1320" s="59">
        <v>0.76736111111111116</v>
      </c>
      <c r="Y1320" s="59">
        <v>0.80902777777777779</v>
      </c>
      <c r="Z1320" s="59">
        <v>4.1666666666666664E-2</v>
      </c>
      <c r="AA1320">
        <v>0</v>
      </c>
      <c r="AB1320">
        <v>8.1636000000000006</v>
      </c>
      <c r="AC1320">
        <v>23</v>
      </c>
      <c r="AD1320">
        <v>9</v>
      </c>
      <c r="AE1320" s="59">
        <v>0.76736111111111116</v>
      </c>
      <c r="AF1320" s="59">
        <v>0.80833333333333324</v>
      </c>
      <c r="AG1320">
        <v>16</v>
      </c>
    </row>
    <row r="1321" spans="1:33" x14ac:dyDescent="0.25">
      <c r="A1321" t="s">
        <v>258</v>
      </c>
      <c r="B1321" t="s">
        <v>342</v>
      </c>
      <c r="C1321" t="s">
        <v>343</v>
      </c>
      <c r="E1321" t="s">
        <v>344</v>
      </c>
      <c r="F1321" t="s">
        <v>134</v>
      </c>
      <c r="H1321" t="s">
        <v>197</v>
      </c>
      <c r="I1321" t="s">
        <v>198</v>
      </c>
      <c r="J1321" t="s">
        <v>266</v>
      </c>
      <c r="K1321" t="s">
        <v>409</v>
      </c>
      <c r="L1321" t="s">
        <v>410</v>
      </c>
      <c r="N1321" t="s">
        <v>411</v>
      </c>
      <c r="O1321" t="s">
        <v>134</v>
      </c>
      <c r="Q1321" t="s">
        <v>232</v>
      </c>
      <c r="R1321" t="s">
        <v>199</v>
      </c>
      <c r="S1321" t="s">
        <v>128</v>
      </c>
      <c r="T1321" t="s">
        <v>165</v>
      </c>
      <c r="U1321" t="s">
        <v>151</v>
      </c>
      <c r="V1321" t="s">
        <v>75</v>
      </c>
      <c r="W1321" s="58">
        <v>43335</v>
      </c>
      <c r="X1321" s="59">
        <v>0.8125</v>
      </c>
      <c r="Y1321" s="59">
        <v>0.85416666666666663</v>
      </c>
      <c r="Z1321" s="59">
        <v>4.1666666666666664E-2</v>
      </c>
      <c r="AA1321">
        <v>0</v>
      </c>
      <c r="AB1321">
        <v>2.1772</v>
      </c>
      <c r="AC1321">
        <v>20</v>
      </c>
      <c r="AD1321">
        <v>9</v>
      </c>
      <c r="AE1321" s="59">
        <v>0.8125</v>
      </c>
      <c r="AF1321" s="59">
        <v>0.8534722222222223</v>
      </c>
      <c r="AG1321">
        <v>16</v>
      </c>
    </row>
    <row r="1322" spans="1:33" x14ac:dyDescent="0.25">
      <c r="A1322" t="s">
        <v>258</v>
      </c>
      <c r="B1322" t="s">
        <v>310</v>
      </c>
      <c r="C1322" t="s">
        <v>311</v>
      </c>
      <c r="D1322" t="s">
        <v>312</v>
      </c>
      <c r="E1322" t="s">
        <v>313</v>
      </c>
      <c r="F1322" t="s">
        <v>134</v>
      </c>
      <c r="H1322" t="s">
        <v>175</v>
      </c>
      <c r="I1322" t="s">
        <v>127</v>
      </c>
      <c r="J1322" t="s">
        <v>266</v>
      </c>
      <c r="K1322" t="s">
        <v>409</v>
      </c>
      <c r="L1322" t="s">
        <v>410</v>
      </c>
      <c r="N1322" t="s">
        <v>411</v>
      </c>
      <c r="O1322" t="s">
        <v>134</v>
      </c>
      <c r="Q1322" t="s">
        <v>232</v>
      </c>
      <c r="R1322" t="s">
        <v>176</v>
      </c>
      <c r="S1322" t="s">
        <v>128</v>
      </c>
      <c r="T1322" t="s">
        <v>165</v>
      </c>
      <c r="U1322" t="s">
        <v>151</v>
      </c>
      <c r="V1322" t="s">
        <v>75</v>
      </c>
      <c r="W1322" s="58">
        <v>43335</v>
      </c>
      <c r="X1322" s="59">
        <v>0.86319444444444438</v>
      </c>
      <c r="Y1322" s="59">
        <v>0.88402777777777775</v>
      </c>
      <c r="Z1322" s="59">
        <v>2.0833333333333332E-2</v>
      </c>
      <c r="AA1322">
        <v>0</v>
      </c>
      <c r="AB1322">
        <v>5.3818000000000001</v>
      </c>
      <c r="AC1322">
        <v>10</v>
      </c>
      <c r="AD1322">
        <v>4.5</v>
      </c>
      <c r="AE1322" s="59">
        <v>0.86319444444444438</v>
      </c>
      <c r="AF1322" s="59">
        <v>0.8833333333333333</v>
      </c>
      <c r="AG1322">
        <v>16</v>
      </c>
    </row>
    <row r="1323" spans="1:33" x14ac:dyDescent="0.25">
      <c r="A1323" t="s">
        <v>258</v>
      </c>
      <c r="B1323" t="s">
        <v>342</v>
      </c>
      <c r="C1323" t="s">
        <v>343</v>
      </c>
      <c r="E1323" t="s">
        <v>344</v>
      </c>
      <c r="F1323" t="s">
        <v>134</v>
      </c>
      <c r="H1323" t="s">
        <v>197</v>
      </c>
      <c r="I1323" t="s">
        <v>198</v>
      </c>
      <c r="J1323" t="s">
        <v>266</v>
      </c>
      <c r="K1323" t="s">
        <v>409</v>
      </c>
      <c r="L1323" t="s">
        <v>410</v>
      </c>
      <c r="N1323" t="s">
        <v>411</v>
      </c>
      <c r="O1323" t="s">
        <v>134</v>
      </c>
      <c r="Q1323" t="s">
        <v>232</v>
      </c>
      <c r="R1323" t="s">
        <v>199</v>
      </c>
      <c r="S1323" t="s">
        <v>128</v>
      </c>
      <c r="T1323" t="s">
        <v>165</v>
      </c>
      <c r="U1323" t="s">
        <v>151</v>
      </c>
      <c r="V1323" t="s">
        <v>72</v>
      </c>
      <c r="W1323" s="58">
        <v>43339</v>
      </c>
      <c r="X1323" s="59">
        <v>0.8125</v>
      </c>
      <c r="Y1323" s="59">
        <v>0.85416666666666663</v>
      </c>
      <c r="Z1323" s="59">
        <v>4.1666666666666664E-2</v>
      </c>
      <c r="AA1323">
        <v>0</v>
      </c>
      <c r="AC1323">
        <v>20</v>
      </c>
      <c r="AD1323">
        <v>9</v>
      </c>
      <c r="AE1323" s="59">
        <v>0.8125</v>
      </c>
      <c r="AF1323" s="59">
        <v>0.8534722222222223</v>
      </c>
      <c r="AG1323">
        <v>16</v>
      </c>
    </row>
    <row r="1324" spans="1:33" x14ac:dyDescent="0.25">
      <c r="A1324" t="s">
        <v>258</v>
      </c>
      <c r="B1324" t="s">
        <v>310</v>
      </c>
      <c r="C1324" t="s">
        <v>311</v>
      </c>
      <c r="D1324" t="s">
        <v>312</v>
      </c>
      <c r="E1324" t="s">
        <v>313</v>
      </c>
      <c r="F1324" t="s">
        <v>134</v>
      </c>
      <c r="H1324" t="s">
        <v>175</v>
      </c>
      <c r="I1324" t="s">
        <v>127</v>
      </c>
      <c r="J1324" t="s">
        <v>266</v>
      </c>
      <c r="K1324" t="s">
        <v>409</v>
      </c>
      <c r="L1324" t="s">
        <v>410</v>
      </c>
      <c r="N1324" t="s">
        <v>411</v>
      </c>
      <c r="O1324" t="s">
        <v>134</v>
      </c>
      <c r="Q1324" t="s">
        <v>232</v>
      </c>
      <c r="R1324" t="s">
        <v>176</v>
      </c>
      <c r="S1324" t="s">
        <v>128</v>
      </c>
      <c r="T1324" t="s">
        <v>165</v>
      </c>
      <c r="U1324" t="s">
        <v>151</v>
      </c>
      <c r="V1324" t="s">
        <v>72</v>
      </c>
      <c r="W1324" s="58">
        <v>43339</v>
      </c>
      <c r="X1324" s="59">
        <v>0.86319444444444438</v>
      </c>
      <c r="Y1324" s="59">
        <v>0.88402777777777775</v>
      </c>
      <c r="Z1324" s="59">
        <v>2.0833333333333332E-2</v>
      </c>
      <c r="AA1324">
        <v>0</v>
      </c>
      <c r="AB1324">
        <v>5.3818000000000001</v>
      </c>
      <c r="AC1324">
        <v>10</v>
      </c>
      <c r="AD1324">
        <v>4.5</v>
      </c>
      <c r="AE1324" s="59">
        <v>0.86319444444444438</v>
      </c>
      <c r="AF1324" s="59">
        <v>0.8833333333333333</v>
      </c>
      <c r="AG1324">
        <v>16</v>
      </c>
    </row>
    <row r="1325" spans="1:33" x14ac:dyDescent="0.25">
      <c r="A1325" t="s">
        <v>258</v>
      </c>
      <c r="B1325" t="s">
        <v>314</v>
      </c>
      <c r="C1325" t="s">
        <v>315</v>
      </c>
      <c r="D1325">
        <v>72</v>
      </c>
      <c r="E1325" t="s">
        <v>316</v>
      </c>
      <c r="F1325" t="s">
        <v>317</v>
      </c>
      <c r="G1325" t="s">
        <v>218</v>
      </c>
      <c r="H1325" t="s">
        <v>168</v>
      </c>
      <c r="I1325" t="s">
        <v>169</v>
      </c>
      <c r="J1325" t="s">
        <v>266</v>
      </c>
      <c r="K1325" t="s">
        <v>409</v>
      </c>
      <c r="L1325" t="s">
        <v>410</v>
      </c>
      <c r="N1325" t="s">
        <v>411</v>
      </c>
      <c r="O1325" t="s">
        <v>134</v>
      </c>
      <c r="Q1325" t="s">
        <v>232</v>
      </c>
      <c r="R1325" t="s">
        <v>170</v>
      </c>
      <c r="S1325" t="s">
        <v>128</v>
      </c>
      <c r="T1325" t="s">
        <v>165</v>
      </c>
      <c r="U1325" t="s">
        <v>129</v>
      </c>
      <c r="V1325" t="s">
        <v>73</v>
      </c>
      <c r="W1325" s="58">
        <v>43340</v>
      </c>
      <c r="X1325" s="59">
        <v>0.70833333333333337</v>
      </c>
      <c r="Y1325" s="59">
        <v>0.75</v>
      </c>
      <c r="Z1325" s="59">
        <v>4.1666666666666664E-2</v>
      </c>
      <c r="AA1325">
        <v>0</v>
      </c>
      <c r="AC1325">
        <v>23</v>
      </c>
      <c r="AD1325">
        <v>9</v>
      </c>
      <c r="AE1325" s="59">
        <v>0.70833333333333337</v>
      </c>
      <c r="AF1325" s="59">
        <v>0.74930555555555556</v>
      </c>
      <c r="AG1325">
        <v>16</v>
      </c>
    </row>
    <row r="1326" spans="1:33" x14ac:dyDescent="0.25">
      <c r="A1326" t="s">
        <v>258</v>
      </c>
      <c r="B1326" t="s">
        <v>342</v>
      </c>
      <c r="C1326" t="s">
        <v>343</v>
      </c>
      <c r="E1326" t="s">
        <v>344</v>
      </c>
      <c r="F1326" t="s">
        <v>134</v>
      </c>
      <c r="H1326" t="s">
        <v>197</v>
      </c>
      <c r="I1326" t="s">
        <v>198</v>
      </c>
      <c r="J1326" t="s">
        <v>266</v>
      </c>
      <c r="K1326" t="s">
        <v>409</v>
      </c>
      <c r="L1326" t="s">
        <v>410</v>
      </c>
      <c r="N1326" t="s">
        <v>411</v>
      </c>
      <c r="O1326" t="s">
        <v>134</v>
      </c>
      <c r="Q1326" t="s">
        <v>232</v>
      </c>
      <c r="R1326" t="s">
        <v>199</v>
      </c>
      <c r="S1326" t="s">
        <v>128</v>
      </c>
      <c r="T1326" t="s">
        <v>165</v>
      </c>
      <c r="U1326" t="s">
        <v>151</v>
      </c>
      <c r="V1326" t="s">
        <v>73</v>
      </c>
      <c r="W1326" s="58">
        <v>43340</v>
      </c>
      <c r="X1326" s="59">
        <v>0.8125</v>
      </c>
      <c r="Y1326" s="59">
        <v>0.85416666666666663</v>
      </c>
      <c r="Z1326" s="59">
        <v>4.1666666666666664E-2</v>
      </c>
      <c r="AA1326">
        <v>0</v>
      </c>
      <c r="AB1326">
        <v>7.242</v>
      </c>
      <c r="AC1326">
        <v>20</v>
      </c>
      <c r="AD1326">
        <v>9</v>
      </c>
      <c r="AE1326" s="59">
        <v>0.8125</v>
      </c>
      <c r="AF1326" s="59">
        <v>0.8534722222222223</v>
      </c>
      <c r="AG1326">
        <v>16</v>
      </c>
    </row>
    <row r="1327" spans="1:33" x14ac:dyDescent="0.25">
      <c r="A1327" t="s">
        <v>258</v>
      </c>
      <c r="B1327" t="s">
        <v>310</v>
      </c>
      <c r="C1327" t="s">
        <v>311</v>
      </c>
      <c r="D1327" t="s">
        <v>312</v>
      </c>
      <c r="E1327" t="s">
        <v>313</v>
      </c>
      <c r="F1327" t="s">
        <v>134</v>
      </c>
      <c r="H1327" t="s">
        <v>175</v>
      </c>
      <c r="I1327" t="s">
        <v>127</v>
      </c>
      <c r="J1327" t="s">
        <v>266</v>
      </c>
      <c r="K1327" t="s">
        <v>409</v>
      </c>
      <c r="L1327" t="s">
        <v>410</v>
      </c>
      <c r="N1327" t="s">
        <v>411</v>
      </c>
      <c r="O1327" t="s">
        <v>134</v>
      </c>
      <c r="Q1327" t="s">
        <v>232</v>
      </c>
      <c r="R1327" t="s">
        <v>176</v>
      </c>
      <c r="S1327" t="s">
        <v>128</v>
      </c>
      <c r="T1327" t="s">
        <v>165</v>
      </c>
      <c r="U1327" t="s">
        <v>151</v>
      </c>
      <c r="V1327" t="s">
        <v>73</v>
      </c>
      <c r="W1327" s="58">
        <v>43340</v>
      </c>
      <c r="X1327" s="59">
        <v>0.86319444444444438</v>
      </c>
      <c r="Y1327" s="59">
        <v>0.88402777777777775</v>
      </c>
      <c r="Z1327" s="59">
        <v>2.0833333333333332E-2</v>
      </c>
      <c r="AA1327">
        <v>0</v>
      </c>
      <c r="AB1327">
        <v>5.3818000000000001</v>
      </c>
      <c r="AC1327">
        <v>10</v>
      </c>
      <c r="AD1327">
        <v>4.5</v>
      </c>
      <c r="AE1327" s="59">
        <v>0.86319444444444438</v>
      </c>
      <c r="AF1327" s="59">
        <v>0.8833333333333333</v>
      </c>
      <c r="AG1327">
        <v>16</v>
      </c>
    </row>
    <row r="1328" spans="1:33" x14ac:dyDescent="0.25">
      <c r="A1328" t="s">
        <v>258</v>
      </c>
      <c r="B1328" t="s">
        <v>314</v>
      </c>
      <c r="C1328" t="s">
        <v>315</v>
      </c>
      <c r="D1328">
        <v>72</v>
      </c>
      <c r="E1328" t="s">
        <v>316</v>
      </c>
      <c r="F1328" t="s">
        <v>317</v>
      </c>
      <c r="G1328" t="s">
        <v>218</v>
      </c>
      <c r="H1328" t="s">
        <v>168</v>
      </c>
      <c r="I1328" t="s">
        <v>169</v>
      </c>
      <c r="J1328" t="s">
        <v>266</v>
      </c>
      <c r="K1328" t="s">
        <v>409</v>
      </c>
      <c r="L1328" t="s">
        <v>410</v>
      </c>
      <c r="N1328" t="s">
        <v>411</v>
      </c>
      <c r="O1328" t="s">
        <v>134</v>
      </c>
      <c r="Q1328" t="s">
        <v>232</v>
      </c>
      <c r="R1328" t="s">
        <v>170</v>
      </c>
      <c r="S1328" t="s">
        <v>128</v>
      </c>
      <c r="T1328" t="s">
        <v>165</v>
      </c>
      <c r="U1328" t="s">
        <v>129</v>
      </c>
      <c r="V1328" t="s">
        <v>74</v>
      </c>
      <c r="W1328" s="58">
        <v>43341</v>
      </c>
      <c r="X1328" s="59">
        <v>0.70833333333333337</v>
      </c>
      <c r="Y1328" s="59">
        <v>0.75</v>
      </c>
      <c r="Z1328" s="59">
        <v>4.1666666666666664E-2</v>
      </c>
      <c r="AA1328">
        <v>8</v>
      </c>
      <c r="AC1328">
        <v>23</v>
      </c>
      <c r="AD1328">
        <v>9</v>
      </c>
      <c r="AE1328" s="59">
        <v>0.70833333333333337</v>
      </c>
      <c r="AF1328" s="59">
        <v>0.74930555555555556</v>
      </c>
      <c r="AG1328">
        <v>16</v>
      </c>
    </row>
    <row r="1329" spans="1:33" x14ac:dyDescent="0.25">
      <c r="A1329" t="s">
        <v>258</v>
      </c>
      <c r="B1329" t="s">
        <v>342</v>
      </c>
      <c r="C1329" t="s">
        <v>343</v>
      </c>
      <c r="E1329" t="s">
        <v>344</v>
      </c>
      <c r="F1329" t="s">
        <v>134</v>
      </c>
      <c r="H1329" t="s">
        <v>197</v>
      </c>
      <c r="I1329" t="s">
        <v>198</v>
      </c>
      <c r="J1329" t="s">
        <v>266</v>
      </c>
      <c r="K1329" t="s">
        <v>409</v>
      </c>
      <c r="L1329" t="s">
        <v>410</v>
      </c>
      <c r="N1329" t="s">
        <v>411</v>
      </c>
      <c r="O1329" t="s">
        <v>134</v>
      </c>
      <c r="Q1329" t="s">
        <v>232</v>
      </c>
      <c r="R1329" t="s">
        <v>199</v>
      </c>
      <c r="S1329" t="s">
        <v>128</v>
      </c>
      <c r="T1329" t="s">
        <v>165</v>
      </c>
      <c r="U1329" t="s">
        <v>151</v>
      </c>
      <c r="V1329" t="s">
        <v>74</v>
      </c>
      <c r="W1329" s="58">
        <v>43341</v>
      </c>
      <c r="X1329" s="59">
        <v>0.8125</v>
      </c>
      <c r="Y1329" s="59">
        <v>0.85416666666666663</v>
      </c>
      <c r="Z1329" s="59">
        <v>4.1666666666666664E-2</v>
      </c>
      <c r="AA1329">
        <v>11</v>
      </c>
      <c r="AB1329">
        <v>7.242</v>
      </c>
      <c r="AC1329">
        <v>20</v>
      </c>
      <c r="AD1329">
        <v>9</v>
      </c>
      <c r="AE1329" s="59">
        <v>0.8125</v>
      </c>
      <c r="AF1329" s="59">
        <v>0.8534722222222223</v>
      </c>
      <c r="AG1329">
        <v>16</v>
      </c>
    </row>
    <row r="1330" spans="1:33" x14ac:dyDescent="0.25">
      <c r="A1330" t="s">
        <v>258</v>
      </c>
      <c r="B1330" t="s">
        <v>310</v>
      </c>
      <c r="C1330" t="s">
        <v>311</v>
      </c>
      <c r="D1330" t="s">
        <v>312</v>
      </c>
      <c r="E1330" t="s">
        <v>313</v>
      </c>
      <c r="F1330" t="s">
        <v>134</v>
      </c>
      <c r="H1330" t="s">
        <v>175</v>
      </c>
      <c r="I1330" t="s">
        <v>127</v>
      </c>
      <c r="J1330" t="s">
        <v>266</v>
      </c>
      <c r="K1330" t="s">
        <v>409</v>
      </c>
      <c r="L1330" t="s">
        <v>410</v>
      </c>
      <c r="N1330" t="s">
        <v>411</v>
      </c>
      <c r="O1330" t="s">
        <v>134</v>
      </c>
      <c r="Q1330" t="s">
        <v>232</v>
      </c>
      <c r="R1330" t="s">
        <v>176</v>
      </c>
      <c r="S1330" t="s">
        <v>128</v>
      </c>
      <c r="T1330" t="s">
        <v>165</v>
      </c>
      <c r="U1330" t="s">
        <v>151</v>
      </c>
      <c r="V1330" t="s">
        <v>74</v>
      </c>
      <c r="W1330" s="58">
        <v>43341</v>
      </c>
      <c r="X1330" s="59">
        <v>0.86319444444444438</v>
      </c>
      <c r="Y1330" s="59">
        <v>0.88402777777777775</v>
      </c>
      <c r="Z1330" s="59">
        <v>2.0833333333333332E-2</v>
      </c>
      <c r="AA1330">
        <v>0</v>
      </c>
      <c r="AB1330">
        <v>5.3818000000000001</v>
      </c>
      <c r="AC1330">
        <v>10</v>
      </c>
      <c r="AD1330">
        <v>4.5</v>
      </c>
      <c r="AE1330" s="59">
        <v>0.86319444444444438</v>
      </c>
      <c r="AF1330" s="59">
        <v>0.8833333333333333</v>
      </c>
      <c r="AG1330">
        <v>16</v>
      </c>
    </row>
    <row r="1331" spans="1:33" x14ac:dyDescent="0.25">
      <c r="A1331" t="s">
        <v>258</v>
      </c>
      <c r="B1331" t="s">
        <v>314</v>
      </c>
      <c r="C1331" t="s">
        <v>315</v>
      </c>
      <c r="D1331">
        <v>72</v>
      </c>
      <c r="E1331" t="s">
        <v>316</v>
      </c>
      <c r="F1331" t="s">
        <v>317</v>
      </c>
      <c r="G1331" t="s">
        <v>218</v>
      </c>
      <c r="H1331" t="s">
        <v>168</v>
      </c>
      <c r="I1331" t="s">
        <v>169</v>
      </c>
      <c r="J1331" t="s">
        <v>266</v>
      </c>
      <c r="K1331" t="s">
        <v>409</v>
      </c>
      <c r="L1331" t="s">
        <v>410</v>
      </c>
      <c r="N1331" t="s">
        <v>411</v>
      </c>
      <c r="O1331" t="s">
        <v>134</v>
      </c>
      <c r="Q1331" t="s">
        <v>232</v>
      </c>
      <c r="R1331" t="s">
        <v>170</v>
      </c>
      <c r="S1331" t="s">
        <v>128</v>
      </c>
      <c r="T1331" t="s">
        <v>165</v>
      </c>
      <c r="U1331" t="s">
        <v>129</v>
      </c>
      <c r="V1331" t="s">
        <v>75</v>
      </c>
      <c r="W1331" s="58">
        <v>43342</v>
      </c>
      <c r="X1331" s="59">
        <v>0.70833333333333337</v>
      </c>
      <c r="Y1331" s="59">
        <v>0.75</v>
      </c>
      <c r="Z1331" s="59">
        <v>4.1666666666666664E-2</v>
      </c>
      <c r="AA1331">
        <v>0</v>
      </c>
      <c r="AC1331">
        <v>23</v>
      </c>
      <c r="AD1331">
        <v>9</v>
      </c>
      <c r="AE1331" s="59">
        <v>0.70833333333333337</v>
      </c>
      <c r="AF1331" s="59">
        <v>0.74930555555555556</v>
      </c>
      <c r="AG1331">
        <v>16</v>
      </c>
    </row>
    <row r="1332" spans="1:33" x14ac:dyDescent="0.25">
      <c r="A1332" t="s">
        <v>258</v>
      </c>
      <c r="B1332" t="s">
        <v>342</v>
      </c>
      <c r="C1332" t="s">
        <v>343</v>
      </c>
      <c r="E1332" t="s">
        <v>344</v>
      </c>
      <c r="F1332" t="s">
        <v>134</v>
      </c>
      <c r="H1332" t="s">
        <v>197</v>
      </c>
      <c r="I1332" t="s">
        <v>198</v>
      </c>
      <c r="J1332" t="s">
        <v>266</v>
      </c>
      <c r="K1332" t="s">
        <v>409</v>
      </c>
      <c r="L1332" t="s">
        <v>410</v>
      </c>
      <c r="N1332" t="s">
        <v>411</v>
      </c>
      <c r="O1332" t="s">
        <v>134</v>
      </c>
      <c r="Q1332" t="s">
        <v>232</v>
      </c>
      <c r="R1332" t="s">
        <v>199</v>
      </c>
      <c r="S1332" t="s">
        <v>128</v>
      </c>
      <c r="T1332" t="s">
        <v>165</v>
      </c>
      <c r="U1332" t="s">
        <v>151</v>
      </c>
      <c r="V1332" t="s">
        <v>75</v>
      </c>
      <c r="W1332" s="58">
        <v>43342</v>
      </c>
      <c r="X1332" s="59">
        <v>0.8125</v>
      </c>
      <c r="Y1332" s="59">
        <v>0.85416666666666663</v>
      </c>
      <c r="Z1332" s="59">
        <v>4.1666666666666664E-2</v>
      </c>
      <c r="AA1332">
        <v>0</v>
      </c>
      <c r="AB1332">
        <v>7.242</v>
      </c>
      <c r="AC1332">
        <v>20</v>
      </c>
      <c r="AD1332">
        <v>9</v>
      </c>
      <c r="AE1332" s="59">
        <v>0.8125</v>
      </c>
      <c r="AF1332" s="59">
        <v>0.8534722222222223</v>
      </c>
      <c r="AG1332">
        <v>16</v>
      </c>
    </row>
    <row r="1333" spans="1:33" x14ac:dyDescent="0.25">
      <c r="A1333" t="s">
        <v>258</v>
      </c>
      <c r="B1333" t="s">
        <v>310</v>
      </c>
      <c r="C1333" t="s">
        <v>311</v>
      </c>
      <c r="D1333" t="s">
        <v>312</v>
      </c>
      <c r="E1333" t="s">
        <v>313</v>
      </c>
      <c r="F1333" t="s">
        <v>134</v>
      </c>
      <c r="H1333" t="s">
        <v>175</v>
      </c>
      <c r="I1333" t="s">
        <v>127</v>
      </c>
      <c r="J1333" t="s">
        <v>266</v>
      </c>
      <c r="K1333" t="s">
        <v>409</v>
      </c>
      <c r="L1333" t="s">
        <v>410</v>
      </c>
      <c r="N1333" t="s">
        <v>411</v>
      </c>
      <c r="O1333" t="s">
        <v>134</v>
      </c>
      <c r="Q1333" t="s">
        <v>232</v>
      </c>
      <c r="R1333" t="s">
        <v>176</v>
      </c>
      <c r="S1333" t="s">
        <v>128</v>
      </c>
      <c r="T1333" t="s">
        <v>165</v>
      </c>
      <c r="U1333" t="s">
        <v>151</v>
      </c>
      <c r="V1333" t="s">
        <v>75</v>
      </c>
      <c r="W1333" s="58">
        <v>43342</v>
      </c>
      <c r="X1333" s="59">
        <v>0.86319444444444438</v>
      </c>
      <c r="Y1333" s="59">
        <v>0.88402777777777775</v>
      </c>
      <c r="Z1333" s="59">
        <v>2.0833333333333332E-2</v>
      </c>
      <c r="AA1333">
        <v>0</v>
      </c>
      <c r="AB1333">
        <v>5.3818000000000001</v>
      </c>
      <c r="AC1333">
        <v>10</v>
      </c>
      <c r="AD1333">
        <v>4.5</v>
      </c>
      <c r="AE1333" s="59">
        <v>0.86319444444444438</v>
      </c>
      <c r="AF1333" s="59">
        <v>0.8833333333333333</v>
      </c>
      <c r="AG1333">
        <v>16</v>
      </c>
    </row>
    <row r="1334" spans="1:33" x14ac:dyDescent="0.25">
      <c r="B1334" t="s">
        <v>307</v>
      </c>
      <c r="C1334" t="s">
        <v>308</v>
      </c>
      <c r="D1334" t="s">
        <v>309</v>
      </c>
      <c r="E1334" t="s">
        <v>134</v>
      </c>
      <c r="H1334" t="s">
        <v>171</v>
      </c>
      <c r="I1334" t="s">
        <v>169</v>
      </c>
      <c r="J1334" t="s">
        <v>266</v>
      </c>
      <c r="K1334" t="s">
        <v>409</v>
      </c>
      <c r="L1334" t="s">
        <v>410</v>
      </c>
      <c r="N1334" t="s">
        <v>411</v>
      </c>
      <c r="O1334" t="s">
        <v>134</v>
      </c>
      <c r="Q1334" t="s">
        <v>232</v>
      </c>
      <c r="R1334" t="s">
        <v>172</v>
      </c>
      <c r="S1334" t="s">
        <v>128</v>
      </c>
      <c r="T1334" t="s">
        <v>165</v>
      </c>
      <c r="U1334" t="s">
        <v>129</v>
      </c>
      <c r="V1334" t="s">
        <v>76</v>
      </c>
      <c r="W1334" s="58">
        <v>43343</v>
      </c>
      <c r="X1334" s="59">
        <v>0.66666666666666663</v>
      </c>
      <c r="Y1334" s="59">
        <v>0.70833333333333337</v>
      </c>
      <c r="Z1334" s="59">
        <v>4.1666666666666664E-2</v>
      </c>
      <c r="AA1334">
        <v>0</v>
      </c>
      <c r="AC1334">
        <v>23</v>
      </c>
      <c r="AD1334">
        <v>9</v>
      </c>
      <c r="AE1334" s="59">
        <v>0.66666666666666663</v>
      </c>
      <c r="AF1334" s="59">
        <v>0.70763888888888893</v>
      </c>
      <c r="AG1334">
        <v>16</v>
      </c>
    </row>
    <row r="1335" spans="1:33" x14ac:dyDescent="0.25">
      <c r="B1335" t="s">
        <v>307</v>
      </c>
      <c r="C1335" t="s">
        <v>308</v>
      </c>
      <c r="D1335" t="s">
        <v>309</v>
      </c>
      <c r="E1335" t="s">
        <v>134</v>
      </c>
      <c r="H1335" t="s">
        <v>171</v>
      </c>
      <c r="I1335" t="s">
        <v>169</v>
      </c>
      <c r="J1335" t="s">
        <v>266</v>
      </c>
      <c r="K1335" t="s">
        <v>409</v>
      </c>
      <c r="L1335" t="s">
        <v>410</v>
      </c>
      <c r="N1335" t="s">
        <v>411</v>
      </c>
      <c r="O1335" t="s">
        <v>134</v>
      </c>
      <c r="Q1335" t="s">
        <v>232</v>
      </c>
      <c r="R1335" t="s">
        <v>172</v>
      </c>
      <c r="S1335" t="s">
        <v>128</v>
      </c>
      <c r="T1335" t="s">
        <v>165</v>
      </c>
      <c r="U1335" t="s">
        <v>129</v>
      </c>
      <c r="V1335" t="s">
        <v>77</v>
      </c>
      <c r="W1335" s="58">
        <v>43344</v>
      </c>
      <c r="X1335" s="59">
        <v>0.65625</v>
      </c>
      <c r="Y1335" s="59">
        <v>0.69791666666666663</v>
      </c>
      <c r="Z1335" s="59">
        <v>4.1666666666666664E-2</v>
      </c>
      <c r="AA1335">
        <v>0</v>
      </c>
      <c r="AC1335">
        <v>23</v>
      </c>
      <c r="AD1335">
        <v>10</v>
      </c>
      <c r="AE1335" s="59">
        <v>0.65625</v>
      </c>
      <c r="AF1335" s="59">
        <v>0.6972222222222223</v>
      </c>
      <c r="AG1335">
        <v>16</v>
      </c>
    </row>
    <row r="1336" spans="1:33" x14ac:dyDescent="0.25">
      <c r="A1336" t="s">
        <v>258</v>
      </c>
      <c r="B1336" t="s">
        <v>314</v>
      </c>
      <c r="C1336" t="s">
        <v>315</v>
      </c>
      <c r="D1336">
        <v>72</v>
      </c>
      <c r="E1336" t="s">
        <v>316</v>
      </c>
      <c r="F1336" t="s">
        <v>317</v>
      </c>
      <c r="G1336" t="s">
        <v>218</v>
      </c>
      <c r="H1336" t="s">
        <v>168</v>
      </c>
      <c r="I1336" t="s">
        <v>169</v>
      </c>
      <c r="J1336" t="s">
        <v>266</v>
      </c>
      <c r="K1336" t="s">
        <v>409</v>
      </c>
      <c r="L1336" t="s">
        <v>410</v>
      </c>
      <c r="N1336" t="s">
        <v>411</v>
      </c>
      <c r="O1336" t="s">
        <v>134</v>
      </c>
      <c r="Q1336" t="s">
        <v>232</v>
      </c>
      <c r="R1336" t="s">
        <v>170</v>
      </c>
      <c r="S1336" t="s">
        <v>128</v>
      </c>
      <c r="T1336" t="s">
        <v>165</v>
      </c>
      <c r="U1336" t="s">
        <v>129</v>
      </c>
      <c r="V1336" t="s">
        <v>77</v>
      </c>
      <c r="W1336" s="58">
        <v>43344</v>
      </c>
      <c r="X1336" s="59">
        <v>0.70833333333333337</v>
      </c>
      <c r="Y1336" s="59">
        <v>0.75</v>
      </c>
      <c r="Z1336" s="59">
        <v>4.1666666666666664E-2</v>
      </c>
      <c r="AA1336">
        <v>2</v>
      </c>
      <c r="AB1336">
        <v>0.62839999999999996</v>
      </c>
      <c r="AC1336">
        <v>23</v>
      </c>
      <c r="AD1336">
        <v>10</v>
      </c>
      <c r="AE1336" s="59">
        <v>0.70833333333333337</v>
      </c>
      <c r="AF1336" s="59">
        <v>0.74930555555555556</v>
      </c>
      <c r="AG1336">
        <v>16</v>
      </c>
    </row>
    <row r="1337" spans="1:33" x14ac:dyDescent="0.25">
      <c r="A1337" t="s">
        <v>258</v>
      </c>
      <c r="B1337" t="s">
        <v>310</v>
      </c>
      <c r="C1337" t="s">
        <v>311</v>
      </c>
      <c r="D1337" t="s">
        <v>312</v>
      </c>
      <c r="E1337" t="s">
        <v>313</v>
      </c>
      <c r="F1337" t="s">
        <v>134</v>
      </c>
      <c r="H1337" t="s">
        <v>175</v>
      </c>
      <c r="I1337" t="s">
        <v>127</v>
      </c>
      <c r="J1337" t="s">
        <v>266</v>
      </c>
      <c r="K1337" t="s">
        <v>409</v>
      </c>
      <c r="L1337" t="s">
        <v>410</v>
      </c>
      <c r="N1337" t="s">
        <v>411</v>
      </c>
      <c r="O1337" t="s">
        <v>134</v>
      </c>
      <c r="Q1337" t="s">
        <v>232</v>
      </c>
      <c r="R1337" t="s">
        <v>176</v>
      </c>
      <c r="S1337" t="s">
        <v>128</v>
      </c>
      <c r="T1337" t="s">
        <v>165</v>
      </c>
      <c r="U1337" t="s">
        <v>151</v>
      </c>
      <c r="V1337" t="s">
        <v>77</v>
      </c>
      <c r="W1337" s="58">
        <v>43344</v>
      </c>
      <c r="X1337" s="59">
        <v>0.78125</v>
      </c>
      <c r="Y1337" s="59">
        <v>0.80208333333333337</v>
      </c>
      <c r="Z1337" s="59">
        <v>2.0833333333333332E-2</v>
      </c>
      <c r="AA1337">
        <v>3</v>
      </c>
      <c r="AB1337">
        <v>1.4703999999999999</v>
      </c>
      <c r="AC1337">
        <v>10</v>
      </c>
      <c r="AD1337">
        <v>5</v>
      </c>
      <c r="AG1337">
        <v>16</v>
      </c>
    </row>
    <row r="1338" spans="1:33" x14ac:dyDescent="0.25">
      <c r="B1338" t="s">
        <v>307</v>
      </c>
      <c r="C1338" t="s">
        <v>308</v>
      </c>
      <c r="D1338" t="s">
        <v>309</v>
      </c>
      <c r="E1338" t="s">
        <v>134</v>
      </c>
      <c r="H1338" t="s">
        <v>171</v>
      </c>
      <c r="I1338" t="s">
        <v>169</v>
      </c>
      <c r="J1338" t="s">
        <v>266</v>
      </c>
      <c r="K1338" t="s">
        <v>409</v>
      </c>
      <c r="L1338" t="s">
        <v>410</v>
      </c>
      <c r="N1338" t="s">
        <v>411</v>
      </c>
      <c r="O1338" t="s">
        <v>134</v>
      </c>
      <c r="Q1338" t="s">
        <v>232</v>
      </c>
      <c r="R1338" t="s">
        <v>172</v>
      </c>
      <c r="S1338" t="s">
        <v>128</v>
      </c>
      <c r="T1338" t="s">
        <v>165</v>
      </c>
      <c r="U1338" t="s">
        <v>129</v>
      </c>
      <c r="V1338" t="s">
        <v>71</v>
      </c>
      <c r="W1338" s="58">
        <v>43345</v>
      </c>
      <c r="X1338" s="59">
        <v>0.64583333333333337</v>
      </c>
      <c r="Y1338" s="59">
        <v>0.6875</v>
      </c>
      <c r="Z1338" s="59">
        <v>4.1666666666666664E-2</v>
      </c>
      <c r="AA1338">
        <v>0</v>
      </c>
      <c r="AC1338">
        <v>23</v>
      </c>
      <c r="AD1338">
        <v>10</v>
      </c>
      <c r="AE1338" s="59">
        <v>0.64583333333333337</v>
      </c>
      <c r="AF1338" s="59">
        <v>0.68680555555555556</v>
      </c>
      <c r="AG1338">
        <v>16</v>
      </c>
    </row>
    <row r="1339" spans="1:33" x14ac:dyDescent="0.25">
      <c r="A1339" t="s">
        <v>258</v>
      </c>
      <c r="B1339" t="s">
        <v>314</v>
      </c>
      <c r="C1339" t="s">
        <v>315</v>
      </c>
      <c r="D1339">
        <v>72</v>
      </c>
      <c r="E1339" t="s">
        <v>316</v>
      </c>
      <c r="F1339" t="s">
        <v>317</v>
      </c>
      <c r="G1339" t="s">
        <v>218</v>
      </c>
      <c r="H1339" t="s">
        <v>168</v>
      </c>
      <c r="I1339" t="s">
        <v>169</v>
      </c>
      <c r="J1339" t="s">
        <v>266</v>
      </c>
      <c r="K1339" t="s">
        <v>409</v>
      </c>
      <c r="L1339" t="s">
        <v>410</v>
      </c>
      <c r="N1339" t="s">
        <v>411</v>
      </c>
      <c r="O1339" t="s">
        <v>134</v>
      </c>
      <c r="Q1339" t="s">
        <v>232</v>
      </c>
      <c r="R1339" t="s">
        <v>170</v>
      </c>
      <c r="S1339" t="s">
        <v>128</v>
      </c>
      <c r="T1339" t="s">
        <v>165</v>
      </c>
      <c r="U1339" t="s">
        <v>129</v>
      </c>
      <c r="V1339" t="s">
        <v>71</v>
      </c>
      <c r="W1339" s="58">
        <v>43345</v>
      </c>
      <c r="X1339" s="59">
        <v>0.69791666666666663</v>
      </c>
      <c r="Y1339" s="59">
        <v>0.73958333333333337</v>
      </c>
      <c r="Z1339" s="59">
        <v>4.1666666666666664E-2</v>
      </c>
      <c r="AA1339">
        <v>2</v>
      </c>
      <c r="AB1339">
        <v>0.62839999999999996</v>
      </c>
      <c r="AC1339">
        <v>23</v>
      </c>
      <c r="AD1339">
        <v>10</v>
      </c>
      <c r="AE1339" s="59">
        <v>0.69791666666666663</v>
      </c>
      <c r="AF1339" s="59">
        <v>0.73888888888888893</v>
      </c>
      <c r="AG1339">
        <v>16</v>
      </c>
    </row>
    <row r="1340" spans="1:33" x14ac:dyDescent="0.25">
      <c r="A1340" t="s">
        <v>258</v>
      </c>
      <c r="B1340" t="s">
        <v>310</v>
      </c>
      <c r="C1340" t="s">
        <v>311</v>
      </c>
      <c r="D1340" t="s">
        <v>312</v>
      </c>
      <c r="E1340" t="s">
        <v>313</v>
      </c>
      <c r="F1340" t="s">
        <v>134</v>
      </c>
      <c r="H1340" t="s">
        <v>175</v>
      </c>
      <c r="I1340" t="s">
        <v>127</v>
      </c>
      <c r="J1340" t="s">
        <v>266</v>
      </c>
      <c r="K1340" t="s">
        <v>409</v>
      </c>
      <c r="L1340" t="s">
        <v>410</v>
      </c>
      <c r="N1340" t="s">
        <v>411</v>
      </c>
      <c r="O1340" t="s">
        <v>134</v>
      </c>
      <c r="Q1340" t="s">
        <v>232</v>
      </c>
      <c r="R1340" t="s">
        <v>176</v>
      </c>
      <c r="S1340" t="s">
        <v>128</v>
      </c>
      <c r="T1340" t="s">
        <v>165</v>
      </c>
      <c r="U1340" t="s">
        <v>151</v>
      </c>
      <c r="V1340" t="s">
        <v>72</v>
      </c>
      <c r="W1340" s="58">
        <v>43353</v>
      </c>
      <c r="X1340" s="59">
        <v>0.78125</v>
      </c>
      <c r="Y1340" s="59">
        <v>0.80208333333333337</v>
      </c>
      <c r="Z1340" s="59">
        <v>2.0833333333333332E-2</v>
      </c>
      <c r="AA1340">
        <v>0</v>
      </c>
      <c r="AC1340">
        <v>10</v>
      </c>
      <c r="AD1340">
        <v>4.5</v>
      </c>
      <c r="AE1340" s="59">
        <v>0.78125</v>
      </c>
      <c r="AF1340" s="59">
        <v>0.80138888888888893</v>
      </c>
      <c r="AG1340">
        <v>16</v>
      </c>
    </row>
    <row r="1341" spans="1:33" x14ac:dyDescent="0.25">
      <c r="A1341" t="s">
        <v>258</v>
      </c>
      <c r="B1341" t="s">
        <v>342</v>
      </c>
      <c r="C1341" t="s">
        <v>343</v>
      </c>
      <c r="E1341" t="s">
        <v>344</v>
      </c>
      <c r="F1341" t="s">
        <v>134</v>
      </c>
      <c r="H1341" t="s">
        <v>197</v>
      </c>
      <c r="I1341" t="s">
        <v>198</v>
      </c>
      <c r="J1341" t="s">
        <v>266</v>
      </c>
      <c r="K1341" t="s">
        <v>409</v>
      </c>
      <c r="L1341" t="s">
        <v>410</v>
      </c>
      <c r="N1341" t="s">
        <v>411</v>
      </c>
      <c r="O1341" t="s">
        <v>134</v>
      </c>
      <c r="Q1341" t="s">
        <v>232</v>
      </c>
      <c r="R1341" t="s">
        <v>199</v>
      </c>
      <c r="S1341" t="s">
        <v>128</v>
      </c>
      <c r="T1341" t="s">
        <v>165</v>
      </c>
      <c r="U1341" t="s">
        <v>151</v>
      </c>
      <c r="V1341" t="s">
        <v>72</v>
      </c>
      <c r="W1341" s="58">
        <v>43353</v>
      </c>
      <c r="X1341" s="59">
        <v>0.8125</v>
      </c>
      <c r="Y1341" s="59">
        <v>0.85416666666666663</v>
      </c>
      <c r="Z1341" s="59">
        <v>4.1666666666666664E-2</v>
      </c>
      <c r="AA1341">
        <v>12</v>
      </c>
      <c r="AB1341">
        <v>5.4012000000000002</v>
      </c>
      <c r="AC1341">
        <v>20</v>
      </c>
      <c r="AD1341">
        <v>9</v>
      </c>
      <c r="AE1341" s="59">
        <v>0.8125</v>
      </c>
      <c r="AF1341" s="59">
        <v>0.8534722222222223</v>
      </c>
      <c r="AG1341">
        <v>16</v>
      </c>
    </row>
    <row r="1342" spans="1:33" x14ac:dyDescent="0.25">
      <c r="B1342" t="s">
        <v>307</v>
      </c>
      <c r="C1342" t="s">
        <v>308</v>
      </c>
      <c r="D1342" t="s">
        <v>309</v>
      </c>
      <c r="E1342" t="s">
        <v>134</v>
      </c>
      <c r="H1342" t="s">
        <v>171</v>
      </c>
      <c r="I1342" t="s">
        <v>169</v>
      </c>
      <c r="J1342" t="s">
        <v>266</v>
      </c>
      <c r="K1342" t="s">
        <v>409</v>
      </c>
      <c r="L1342" t="s">
        <v>410</v>
      </c>
      <c r="N1342" t="s">
        <v>411</v>
      </c>
      <c r="O1342" t="s">
        <v>134</v>
      </c>
      <c r="Q1342" t="s">
        <v>232</v>
      </c>
      <c r="R1342" t="s">
        <v>172</v>
      </c>
      <c r="S1342" t="s">
        <v>128</v>
      </c>
      <c r="T1342" t="s">
        <v>165</v>
      </c>
      <c r="U1342" t="s">
        <v>129</v>
      </c>
      <c r="V1342" t="s">
        <v>73</v>
      </c>
      <c r="W1342" s="58">
        <v>43354</v>
      </c>
      <c r="X1342" s="59">
        <v>0.65625</v>
      </c>
      <c r="Y1342" s="59">
        <v>0.69791666666666663</v>
      </c>
      <c r="Z1342" s="59">
        <v>4.1666666666666664E-2</v>
      </c>
      <c r="AA1342">
        <v>0</v>
      </c>
      <c r="AC1342">
        <v>23</v>
      </c>
      <c r="AD1342">
        <v>9</v>
      </c>
      <c r="AE1342" s="59">
        <v>0.65625</v>
      </c>
      <c r="AF1342" s="59">
        <v>0.6972222222222223</v>
      </c>
      <c r="AG1342">
        <v>16</v>
      </c>
    </row>
    <row r="1343" spans="1:33" x14ac:dyDescent="0.25">
      <c r="A1343" t="s">
        <v>258</v>
      </c>
      <c r="B1343" t="s">
        <v>314</v>
      </c>
      <c r="C1343" t="s">
        <v>315</v>
      </c>
      <c r="D1343">
        <v>72</v>
      </c>
      <c r="E1343" t="s">
        <v>316</v>
      </c>
      <c r="F1343" t="s">
        <v>317</v>
      </c>
      <c r="G1343" t="s">
        <v>218</v>
      </c>
      <c r="H1343" t="s">
        <v>168</v>
      </c>
      <c r="I1343" t="s">
        <v>169</v>
      </c>
      <c r="J1343" t="s">
        <v>266</v>
      </c>
      <c r="K1343" t="s">
        <v>409</v>
      </c>
      <c r="L1343" t="s">
        <v>410</v>
      </c>
      <c r="N1343" t="s">
        <v>411</v>
      </c>
      <c r="O1343" t="s">
        <v>134</v>
      </c>
      <c r="Q1343" t="s">
        <v>232</v>
      </c>
      <c r="R1343" t="s">
        <v>170</v>
      </c>
      <c r="S1343" t="s">
        <v>128</v>
      </c>
      <c r="T1343" t="s">
        <v>165</v>
      </c>
      <c r="U1343" t="s">
        <v>129</v>
      </c>
      <c r="V1343" t="s">
        <v>73</v>
      </c>
      <c r="W1343" s="58">
        <v>43354</v>
      </c>
      <c r="X1343" s="59">
        <v>0.70833333333333337</v>
      </c>
      <c r="Y1343" s="59">
        <v>0.75</v>
      </c>
      <c r="Z1343" s="59">
        <v>4.1666666666666664E-2</v>
      </c>
      <c r="AA1343">
        <v>2</v>
      </c>
      <c r="AB1343">
        <v>0.62839999999999996</v>
      </c>
      <c r="AC1343">
        <v>23</v>
      </c>
      <c r="AD1343">
        <v>9</v>
      </c>
      <c r="AE1343" s="59">
        <v>0.70833333333333337</v>
      </c>
      <c r="AF1343" s="59">
        <v>0.74930555555555556</v>
      </c>
      <c r="AG1343">
        <v>16</v>
      </c>
    </row>
    <row r="1344" spans="1:33" x14ac:dyDescent="0.25">
      <c r="A1344" t="s">
        <v>258</v>
      </c>
      <c r="B1344" t="s">
        <v>342</v>
      </c>
      <c r="C1344" t="s">
        <v>343</v>
      </c>
      <c r="E1344" t="s">
        <v>344</v>
      </c>
      <c r="F1344" t="s">
        <v>134</v>
      </c>
      <c r="H1344" t="s">
        <v>197</v>
      </c>
      <c r="I1344" t="s">
        <v>198</v>
      </c>
      <c r="J1344" t="s">
        <v>266</v>
      </c>
      <c r="K1344" t="s">
        <v>409</v>
      </c>
      <c r="L1344" t="s">
        <v>410</v>
      </c>
      <c r="N1344" t="s">
        <v>411</v>
      </c>
      <c r="O1344" t="s">
        <v>134</v>
      </c>
      <c r="Q1344" t="s">
        <v>232</v>
      </c>
      <c r="R1344" t="s">
        <v>199</v>
      </c>
      <c r="S1344" t="s">
        <v>128</v>
      </c>
      <c r="T1344" t="s">
        <v>165</v>
      </c>
      <c r="U1344" t="s">
        <v>151</v>
      </c>
      <c r="V1344" t="s">
        <v>73</v>
      </c>
      <c r="W1344" s="58">
        <v>43354</v>
      </c>
      <c r="X1344" s="59">
        <v>0.80902777777777779</v>
      </c>
      <c r="Y1344" s="59">
        <v>0.85069444444444453</v>
      </c>
      <c r="Z1344" s="59">
        <v>4.1666666666666664E-2</v>
      </c>
      <c r="AA1344">
        <v>10</v>
      </c>
      <c r="AB1344">
        <v>7.242</v>
      </c>
      <c r="AC1344">
        <v>20</v>
      </c>
      <c r="AD1344">
        <v>9</v>
      </c>
      <c r="AE1344" s="59">
        <v>0.80902777777777779</v>
      </c>
      <c r="AF1344" s="59">
        <v>0.85</v>
      </c>
      <c r="AG1344">
        <v>16</v>
      </c>
    </row>
    <row r="1345" spans="1:33" x14ac:dyDescent="0.25">
      <c r="A1345" t="s">
        <v>258</v>
      </c>
      <c r="B1345" t="s">
        <v>342</v>
      </c>
      <c r="C1345" t="s">
        <v>343</v>
      </c>
      <c r="E1345" t="s">
        <v>344</v>
      </c>
      <c r="F1345" t="s">
        <v>134</v>
      </c>
      <c r="H1345" t="s">
        <v>197</v>
      </c>
      <c r="I1345" t="s">
        <v>198</v>
      </c>
      <c r="J1345" t="s">
        <v>258</v>
      </c>
      <c r="K1345" t="s">
        <v>412</v>
      </c>
      <c r="L1345" t="s">
        <v>413</v>
      </c>
      <c r="M1345">
        <v>37</v>
      </c>
      <c r="N1345" t="s">
        <v>414</v>
      </c>
      <c r="O1345" t="s">
        <v>134</v>
      </c>
      <c r="P1345" t="s">
        <v>218</v>
      </c>
      <c r="Q1345" t="s">
        <v>233</v>
      </c>
      <c r="R1345" t="s">
        <v>199</v>
      </c>
      <c r="S1345" t="s">
        <v>128</v>
      </c>
      <c r="T1345" t="s">
        <v>162</v>
      </c>
      <c r="U1345" t="s">
        <v>151</v>
      </c>
      <c r="V1345" t="s">
        <v>74</v>
      </c>
      <c r="W1345" s="58">
        <v>43313</v>
      </c>
      <c r="X1345" s="59">
        <v>0.33333333333333331</v>
      </c>
      <c r="Y1345" s="59">
        <v>0.375</v>
      </c>
      <c r="Z1345" s="59">
        <v>4.1666666666666664E-2</v>
      </c>
      <c r="AA1345">
        <v>0</v>
      </c>
      <c r="AC1345">
        <v>20</v>
      </c>
      <c r="AD1345">
        <v>10</v>
      </c>
      <c r="AE1345" s="59">
        <v>0.33333333333333331</v>
      </c>
      <c r="AF1345" s="59">
        <v>0.3743055555555555</v>
      </c>
    </row>
    <row r="1346" spans="1:33" x14ac:dyDescent="0.25">
      <c r="A1346" t="s">
        <v>258</v>
      </c>
      <c r="B1346" t="s">
        <v>354</v>
      </c>
      <c r="C1346" t="s">
        <v>355</v>
      </c>
      <c r="E1346" t="s">
        <v>356</v>
      </c>
      <c r="F1346" t="s">
        <v>134</v>
      </c>
      <c r="H1346" t="s">
        <v>205</v>
      </c>
      <c r="I1346" t="s">
        <v>198</v>
      </c>
      <c r="J1346" t="s">
        <v>258</v>
      </c>
      <c r="K1346" t="s">
        <v>412</v>
      </c>
      <c r="L1346" t="s">
        <v>413</v>
      </c>
      <c r="M1346">
        <v>37</v>
      </c>
      <c r="N1346" t="s">
        <v>414</v>
      </c>
      <c r="O1346" t="s">
        <v>134</v>
      </c>
      <c r="P1346" t="s">
        <v>218</v>
      </c>
      <c r="Q1346" t="s">
        <v>233</v>
      </c>
      <c r="R1346" t="s">
        <v>206</v>
      </c>
      <c r="S1346" t="s">
        <v>128</v>
      </c>
      <c r="T1346" t="s">
        <v>162</v>
      </c>
      <c r="U1346" t="s">
        <v>129</v>
      </c>
      <c r="V1346" t="s">
        <v>73</v>
      </c>
      <c r="W1346" s="58">
        <v>43340</v>
      </c>
      <c r="X1346" s="59">
        <v>0.3888888888888889</v>
      </c>
      <c r="Y1346" s="59">
        <v>0.43055555555555558</v>
      </c>
      <c r="Z1346" s="59">
        <v>4.1666666666666664E-2</v>
      </c>
      <c r="AA1346">
        <v>0</v>
      </c>
      <c r="AD1346">
        <v>10</v>
      </c>
      <c r="AE1346" s="59">
        <v>0.3888888888888889</v>
      </c>
      <c r="AF1346" s="59">
        <v>0.42986111111111108</v>
      </c>
    </row>
    <row r="1347" spans="1:33" x14ac:dyDescent="0.25">
      <c r="A1347" t="s">
        <v>258</v>
      </c>
      <c r="B1347" t="s">
        <v>362</v>
      </c>
      <c r="C1347" t="s">
        <v>363</v>
      </c>
      <c r="E1347" t="s">
        <v>364</v>
      </c>
      <c r="F1347" t="s">
        <v>134</v>
      </c>
      <c r="H1347" t="s">
        <v>209</v>
      </c>
      <c r="I1347" t="s">
        <v>147</v>
      </c>
      <c r="J1347" t="s">
        <v>258</v>
      </c>
      <c r="K1347" t="s">
        <v>412</v>
      </c>
      <c r="L1347" t="s">
        <v>413</v>
      </c>
      <c r="M1347">
        <v>37</v>
      </c>
      <c r="N1347" t="s">
        <v>414</v>
      </c>
      <c r="O1347" t="s">
        <v>134</v>
      </c>
      <c r="P1347" t="s">
        <v>218</v>
      </c>
      <c r="Q1347" t="s">
        <v>233</v>
      </c>
      <c r="R1347" t="s">
        <v>210</v>
      </c>
      <c r="S1347" t="s">
        <v>128</v>
      </c>
      <c r="T1347" t="s">
        <v>162</v>
      </c>
      <c r="U1347" t="s">
        <v>129</v>
      </c>
      <c r="V1347" t="s">
        <v>72</v>
      </c>
      <c r="W1347" s="58">
        <v>43346</v>
      </c>
      <c r="X1347" s="59">
        <v>0.41666666666666669</v>
      </c>
      <c r="Y1347" s="59">
        <v>0.44791666666666669</v>
      </c>
      <c r="Z1347" s="59">
        <v>3.125E-2</v>
      </c>
      <c r="AA1347">
        <v>0</v>
      </c>
      <c r="AC1347">
        <v>17.25</v>
      </c>
      <c r="AD1347">
        <v>7.5</v>
      </c>
      <c r="AE1347" s="59">
        <v>0.41666666666666669</v>
      </c>
      <c r="AF1347" s="59">
        <v>0.44722222222222219</v>
      </c>
    </row>
    <row r="1348" spans="1:33" x14ac:dyDescent="0.25">
      <c r="A1348" t="s">
        <v>258</v>
      </c>
      <c r="B1348" t="s">
        <v>354</v>
      </c>
      <c r="C1348" t="s">
        <v>355</v>
      </c>
      <c r="E1348" t="s">
        <v>356</v>
      </c>
      <c r="F1348" t="s">
        <v>134</v>
      </c>
      <c r="H1348" t="s">
        <v>205</v>
      </c>
      <c r="I1348" t="s">
        <v>198</v>
      </c>
      <c r="J1348" t="s">
        <v>258</v>
      </c>
      <c r="K1348" t="s">
        <v>412</v>
      </c>
      <c r="L1348" t="s">
        <v>413</v>
      </c>
      <c r="M1348">
        <v>37</v>
      </c>
      <c r="N1348" t="s">
        <v>414</v>
      </c>
      <c r="O1348" t="s">
        <v>134</v>
      </c>
      <c r="P1348" t="s">
        <v>218</v>
      </c>
      <c r="Q1348" t="s">
        <v>233</v>
      </c>
      <c r="R1348" t="s">
        <v>206</v>
      </c>
      <c r="S1348" t="s">
        <v>128</v>
      </c>
      <c r="T1348" t="s">
        <v>162</v>
      </c>
      <c r="U1348" t="s">
        <v>129</v>
      </c>
      <c r="V1348" t="s">
        <v>73</v>
      </c>
      <c r="W1348" s="58">
        <v>43347</v>
      </c>
      <c r="X1348" s="59">
        <v>0.3888888888888889</v>
      </c>
      <c r="Y1348" s="59">
        <v>0.43055555555555558</v>
      </c>
      <c r="Z1348" s="59">
        <v>4.1666666666666664E-2</v>
      </c>
      <c r="AA1348">
        <v>0</v>
      </c>
      <c r="AD1348">
        <v>10</v>
      </c>
      <c r="AE1348" s="59">
        <v>0.3888888888888889</v>
      </c>
      <c r="AF1348" s="59">
        <v>0.42986111111111108</v>
      </c>
    </row>
    <row r="1349" spans="1:33" x14ac:dyDescent="0.25">
      <c r="A1349" t="s">
        <v>258</v>
      </c>
      <c r="B1349" t="s">
        <v>362</v>
      </c>
      <c r="C1349" t="s">
        <v>363</v>
      </c>
      <c r="E1349" t="s">
        <v>364</v>
      </c>
      <c r="F1349" t="s">
        <v>134</v>
      </c>
      <c r="H1349" t="s">
        <v>209</v>
      </c>
      <c r="I1349" t="s">
        <v>147</v>
      </c>
      <c r="J1349" t="s">
        <v>258</v>
      </c>
      <c r="K1349" t="s">
        <v>412</v>
      </c>
      <c r="L1349" t="s">
        <v>413</v>
      </c>
      <c r="M1349">
        <v>37</v>
      </c>
      <c r="N1349" t="s">
        <v>414</v>
      </c>
      <c r="O1349" t="s">
        <v>134</v>
      </c>
      <c r="P1349" t="s">
        <v>218</v>
      </c>
      <c r="Q1349" t="s">
        <v>233</v>
      </c>
      <c r="R1349" t="s">
        <v>210</v>
      </c>
      <c r="S1349" t="s">
        <v>128</v>
      </c>
      <c r="T1349" t="s">
        <v>162</v>
      </c>
      <c r="U1349" t="s">
        <v>151</v>
      </c>
      <c r="V1349" t="s">
        <v>72</v>
      </c>
      <c r="W1349" s="58">
        <v>43353</v>
      </c>
      <c r="X1349" s="59">
        <v>0.42708333333333331</v>
      </c>
      <c r="Y1349" s="59">
        <v>0.45833333333333331</v>
      </c>
      <c r="Z1349" s="59">
        <v>3.125E-2</v>
      </c>
      <c r="AA1349">
        <v>8</v>
      </c>
      <c r="AB1349">
        <v>6.0034000000000001</v>
      </c>
      <c r="AC1349">
        <v>15</v>
      </c>
      <c r="AD1349">
        <v>7.5</v>
      </c>
      <c r="AE1349" s="59">
        <v>0.42708333333333331</v>
      </c>
      <c r="AF1349" s="59">
        <v>0.45763888888888887</v>
      </c>
    </row>
    <row r="1350" spans="1:33" x14ac:dyDescent="0.25">
      <c r="A1350" t="s">
        <v>258</v>
      </c>
      <c r="B1350" t="s">
        <v>310</v>
      </c>
      <c r="C1350" t="s">
        <v>311</v>
      </c>
      <c r="D1350" t="s">
        <v>312</v>
      </c>
      <c r="E1350" t="s">
        <v>313</v>
      </c>
      <c r="F1350" t="s">
        <v>134</v>
      </c>
      <c r="H1350" t="s">
        <v>175</v>
      </c>
      <c r="I1350" t="s">
        <v>127</v>
      </c>
      <c r="J1350" t="s">
        <v>258</v>
      </c>
      <c r="K1350" t="s">
        <v>412</v>
      </c>
      <c r="L1350" t="s">
        <v>413</v>
      </c>
      <c r="M1350">
        <v>37</v>
      </c>
      <c r="N1350" t="s">
        <v>414</v>
      </c>
      <c r="O1350" t="s">
        <v>134</v>
      </c>
      <c r="P1350" t="s">
        <v>218</v>
      </c>
      <c r="Q1350" t="s">
        <v>233</v>
      </c>
      <c r="R1350" t="s">
        <v>176</v>
      </c>
      <c r="S1350" t="s">
        <v>128</v>
      </c>
      <c r="T1350" t="s">
        <v>162</v>
      </c>
      <c r="U1350" t="s">
        <v>151</v>
      </c>
      <c r="V1350" t="s">
        <v>73</v>
      </c>
      <c r="W1350" s="58">
        <v>43354</v>
      </c>
      <c r="X1350" s="59">
        <v>0.33333333333333331</v>
      </c>
      <c r="Y1350" s="59">
        <v>0.375</v>
      </c>
      <c r="Z1350" s="59">
        <v>4.1666666666666664E-2</v>
      </c>
      <c r="AA1350">
        <v>0</v>
      </c>
      <c r="AC1350">
        <v>20</v>
      </c>
      <c r="AD1350">
        <v>10</v>
      </c>
      <c r="AE1350" s="59">
        <v>0.33333333333333331</v>
      </c>
      <c r="AF1350" s="59">
        <v>0.3743055555555555</v>
      </c>
    </row>
    <row r="1351" spans="1:33" x14ac:dyDescent="0.25">
      <c r="A1351" t="s">
        <v>258</v>
      </c>
      <c r="B1351" t="s">
        <v>314</v>
      </c>
      <c r="C1351" t="s">
        <v>315</v>
      </c>
      <c r="D1351">
        <v>72</v>
      </c>
      <c r="E1351" t="s">
        <v>316</v>
      </c>
      <c r="F1351" t="s">
        <v>317</v>
      </c>
      <c r="G1351" t="s">
        <v>218</v>
      </c>
      <c r="H1351" t="s">
        <v>168</v>
      </c>
      <c r="I1351" t="s">
        <v>169</v>
      </c>
      <c r="J1351" t="s">
        <v>258</v>
      </c>
      <c r="K1351" t="s">
        <v>412</v>
      </c>
      <c r="L1351" t="s">
        <v>413</v>
      </c>
      <c r="M1351">
        <v>37</v>
      </c>
      <c r="N1351" t="s">
        <v>414</v>
      </c>
      <c r="O1351" t="s">
        <v>134</v>
      </c>
      <c r="P1351" t="s">
        <v>218</v>
      </c>
      <c r="Q1351" t="s">
        <v>233</v>
      </c>
      <c r="R1351" t="s">
        <v>170</v>
      </c>
      <c r="S1351" t="s">
        <v>128</v>
      </c>
      <c r="T1351" t="s">
        <v>162</v>
      </c>
      <c r="U1351" t="s">
        <v>129</v>
      </c>
      <c r="V1351" t="s">
        <v>75</v>
      </c>
      <c r="W1351" s="58">
        <v>43356</v>
      </c>
      <c r="X1351" s="59">
        <v>0.70833333333333337</v>
      </c>
      <c r="Y1351" s="59">
        <v>0.75</v>
      </c>
      <c r="Z1351" s="59">
        <v>4.1666666666666664E-2</v>
      </c>
      <c r="AA1351">
        <v>0</v>
      </c>
      <c r="AC1351">
        <v>23</v>
      </c>
      <c r="AD1351">
        <v>10</v>
      </c>
      <c r="AE1351" s="59">
        <v>0.70833333333333337</v>
      </c>
      <c r="AF1351" s="59">
        <v>0.74930555555555556</v>
      </c>
    </row>
    <row r="1352" spans="1:33" x14ac:dyDescent="0.25">
      <c r="B1352" t="s">
        <v>307</v>
      </c>
      <c r="C1352" t="s">
        <v>308</v>
      </c>
      <c r="D1352" t="s">
        <v>309</v>
      </c>
      <c r="E1352" t="s">
        <v>134</v>
      </c>
      <c r="H1352" t="s">
        <v>171</v>
      </c>
      <c r="I1352" t="s">
        <v>169</v>
      </c>
      <c r="J1352" t="s">
        <v>258</v>
      </c>
      <c r="K1352" t="s">
        <v>396</v>
      </c>
      <c r="L1352" t="s">
        <v>415</v>
      </c>
      <c r="M1352">
        <v>15</v>
      </c>
      <c r="N1352" t="s">
        <v>416</v>
      </c>
      <c r="O1352" t="s">
        <v>134</v>
      </c>
      <c r="P1352" t="s">
        <v>218</v>
      </c>
      <c r="Q1352" t="s">
        <v>234</v>
      </c>
      <c r="R1352" t="s">
        <v>172</v>
      </c>
      <c r="S1352" t="s">
        <v>128</v>
      </c>
      <c r="T1352" t="s">
        <v>162</v>
      </c>
      <c r="U1352" t="s">
        <v>174</v>
      </c>
      <c r="V1352" t="s">
        <v>73</v>
      </c>
      <c r="W1352" s="58">
        <v>43319</v>
      </c>
      <c r="X1352" s="59">
        <v>0.66666666666666663</v>
      </c>
      <c r="Y1352" s="59">
        <v>0.6875</v>
      </c>
      <c r="Z1352" s="59">
        <v>2.0833333333333332E-2</v>
      </c>
      <c r="AA1352">
        <v>0</v>
      </c>
      <c r="AC1352">
        <v>0</v>
      </c>
      <c r="AD1352">
        <v>5</v>
      </c>
      <c r="AE1352" s="59">
        <v>0.66666666666666663</v>
      </c>
      <c r="AF1352" s="59">
        <v>0.68680555555555556</v>
      </c>
      <c r="AG1352">
        <v>37.5</v>
      </c>
    </row>
    <row r="1353" spans="1:33" x14ac:dyDescent="0.25">
      <c r="A1353" t="s">
        <v>258</v>
      </c>
      <c r="B1353" t="s">
        <v>299</v>
      </c>
      <c r="C1353" t="s">
        <v>300</v>
      </c>
      <c r="D1353" t="s">
        <v>301</v>
      </c>
      <c r="E1353" t="s">
        <v>302</v>
      </c>
      <c r="F1353" t="s">
        <v>303</v>
      </c>
      <c r="H1353" t="s">
        <v>166</v>
      </c>
      <c r="I1353" t="s">
        <v>142</v>
      </c>
      <c r="J1353" t="s">
        <v>258</v>
      </c>
      <c r="K1353" t="s">
        <v>396</v>
      </c>
      <c r="L1353" t="s">
        <v>415</v>
      </c>
      <c r="M1353">
        <v>15</v>
      </c>
      <c r="N1353" t="s">
        <v>416</v>
      </c>
      <c r="O1353" t="s">
        <v>134</v>
      </c>
      <c r="P1353" t="s">
        <v>218</v>
      </c>
      <c r="Q1353" t="s">
        <v>234</v>
      </c>
      <c r="R1353" t="s">
        <v>167</v>
      </c>
      <c r="S1353" t="s">
        <v>128</v>
      </c>
      <c r="T1353" t="s">
        <v>162</v>
      </c>
      <c r="U1353" t="s">
        <v>129</v>
      </c>
      <c r="V1353" t="s">
        <v>73</v>
      </c>
      <c r="W1353" s="58">
        <v>43340</v>
      </c>
      <c r="X1353" s="59">
        <v>0.33333333333333331</v>
      </c>
      <c r="Y1353" s="59">
        <v>0.375</v>
      </c>
      <c r="Z1353" s="59">
        <v>4.1666666666666664E-2</v>
      </c>
      <c r="AA1353">
        <v>0</v>
      </c>
      <c r="AC1353">
        <v>23</v>
      </c>
      <c r="AD1353">
        <v>10</v>
      </c>
      <c r="AE1353" s="59">
        <v>0.33333333333333331</v>
      </c>
      <c r="AF1353" s="59">
        <v>0.36388888888888887</v>
      </c>
      <c r="AG1353">
        <v>37.5</v>
      </c>
    </row>
    <row r="1354" spans="1:33" x14ac:dyDescent="0.25">
      <c r="A1354" t="s">
        <v>258</v>
      </c>
      <c r="B1354" t="s">
        <v>270</v>
      </c>
      <c r="C1354" t="s">
        <v>271</v>
      </c>
      <c r="D1354" t="s">
        <v>272</v>
      </c>
      <c r="E1354" t="s">
        <v>273</v>
      </c>
      <c r="F1354" t="s">
        <v>134</v>
      </c>
      <c r="H1354" t="s">
        <v>138</v>
      </c>
      <c r="I1354" t="s">
        <v>139</v>
      </c>
      <c r="J1354" t="s">
        <v>258</v>
      </c>
      <c r="K1354" t="s">
        <v>396</v>
      </c>
      <c r="L1354" t="s">
        <v>415</v>
      </c>
      <c r="M1354">
        <v>15</v>
      </c>
      <c r="N1354" t="s">
        <v>416</v>
      </c>
      <c r="O1354" t="s">
        <v>134</v>
      </c>
      <c r="P1354" t="s">
        <v>218</v>
      </c>
      <c r="Q1354" t="s">
        <v>234</v>
      </c>
      <c r="R1354" t="s">
        <v>140</v>
      </c>
      <c r="S1354" t="s">
        <v>128</v>
      </c>
      <c r="T1354" t="s">
        <v>162</v>
      </c>
      <c r="U1354" t="s">
        <v>129</v>
      </c>
      <c r="V1354" t="s">
        <v>72</v>
      </c>
      <c r="W1354" s="58">
        <v>43346</v>
      </c>
      <c r="X1354" s="59">
        <v>0.33333333333333331</v>
      </c>
      <c r="Y1354" s="59">
        <v>0.375</v>
      </c>
      <c r="Z1354" s="59">
        <v>4.1666666666666664E-2</v>
      </c>
      <c r="AA1354">
        <v>0</v>
      </c>
      <c r="AC1354">
        <v>23</v>
      </c>
      <c r="AD1354">
        <v>10</v>
      </c>
      <c r="AE1354" s="59">
        <v>0.33333333333333331</v>
      </c>
      <c r="AF1354" s="59">
        <v>0.3743055555555555</v>
      </c>
      <c r="AG1354">
        <v>37.5</v>
      </c>
    </row>
    <row r="1355" spans="1:33" x14ac:dyDescent="0.25">
      <c r="A1355" t="s">
        <v>258</v>
      </c>
      <c r="B1355" t="s">
        <v>362</v>
      </c>
      <c r="C1355" t="s">
        <v>363</v>
      </c>
      <c r="E1355" t="s">
        <v>364</v>
      </c>
      <c r="F1355" t="s">
        <v>134</v>
      </c>
      <c r="H1355" t="s">
        <v>209</v>
      </c>
      <c r="I1355" t="s">
        <v>147</v>
      </c>
      <c r="J1355" t="s">
        <v>258</v>
      </c>
      <c r="K1355" t="s">
        <v>396</v>
      </c>
      <c r="L1355" t="s">
        <v>415</v>
      </c>
      <c r="M1355">
        <v>15</v>
      </c>
      <c r="N1355" t="s">
        <v>416</v>
      </c>
      <c r="O1355" t="s">
        <v>134</v>
      </c>
      <c r="P1355" t="s">
        <v>218</v>
      </c>
      <c r="Q1355" t="s">
        <v>234</v>
      </c>
      <c r="R1355" t="s">
        <v>210</v>
      </c>
      <c r="S1355" t="s">
        <v>128</v>
      </c>
      <c r="T1355" t="s">
        <v>162</v>
      </c>
      <c r="U1355" t="s">
        <v>129</v>
      </c>
      <c r="V1355" t="s">
        <v>74</v>
      </c>
      <c r="W1355" s="58">
        <v>43348</v>
      </c>
      <c r="X1355" s="59">
        <v>0.41666666666666669</v>
      </c>
      <c r="Y1355" s="59">
        <v>0.44791666666666669</v>
      </c>
      <c r="Z1355" s="59">
        <v>3.125E-2</v>
      </c>
      <c r="AA1355">
        <v>0</v>
      </c>
      <c r="AC1355">
        <v>17.25</v>
      </c>
      <c r="AD1355">
        <v>7.5</v>
      </c>
      <c r="AE1355" s="59">
        <v>0.41666666666666669</v>
      </c>
      <c r="AF1355" s="59">
        <v>0.44722222222222219</v>
      </c>
      <c r="AG1355">
        <v>37.5</v>
      </c>
    </row>
    <row r="1356" spans="1:33" x14ac:dyDescent="0.25">
      <c r="A1356" t="s">
        <v>258</v>
      </c>
      <c r="B1356" t="s">
        <v>310</v>
      </c>
      <c r="C1356" t="s">
        <v>311</v>
      </c>
      <c r="D1356" t="s">
        <v>312</v>
      </c>
      <c r="E1356" t="s">
        <v>313</v>
      </c>
      <c r="F1356" t="s">
        <v>134</v>
      </c>
      <c r="H1356" t="s">
        <v>175</v>
      </c>
      <c r="I1356" t="s">
        <v>127</v>
      </c>
      <c r="J1356" t="s">
        <v>258</v>
      </c>
      <c r="K1356" t="s">
        <v>396</v>
      </c>
      <c r="L1356" t="s">
        <v>415</v>
      </c>
      <c r="M1356">
        <v>15</v>
      </c>
      <c r="N1356" t="s">
        <v>416</v>
      </c>
      <c r="O1356" t="s">
        <v>134</v>
      </c>
      <c r="P1356" t="s">
        <v>218</v>
      </c>
      <c r="Q1356" t="s">
        <v>234</v>
      </c>
      <c r="R1356" t="s">
        <v>176</v>
      </c>
      <c r="S1356" t="s">
        <v>128</v>
      </c>
      <c r="T1356" t="s">
        <v>162</v>
      </c>
      <c r="U1356" t="s">
        <v>151</v>
      </c>
      <c r="V1356" t="s">
        <v>72</v>
      </c>
      <c r="W1356" s="58">
        <v>43353</v>
      </c>
      <c r="X1356" s="59">
        <v>0.40277777777777773</v>
      </c>
      <c r="Y1356" s="59">
        <v>0.44444444444444442</v>
      </c>
      <c r="Z1356" s="59">
        <v>4.1666666666666664E-2</v>
      </c>
      <c r="AA1356">
        <v>0</v>
      </c>
      <c r="AC1356">
        <v>20</v>
      </c>
      <c r="AD1356">
        <v>10</v>
      </c>
      <c r="AE1356" s="59">
        <v>0.40277777777777773</v>
      </c>
      <c r="AF1356" s="59">
        <v>0.44375000000000003</v>
      </c>
      <c r="AG1356">
        <v>37.5</v>
      </c>
    </row>
    <row r="1357" spans="1:33" x14ac:dyDescent="0.25">
      <c r="A1357" t="s">
        <v>258</v>
      </c>
      <c r="B1357" t="s">
        <v>299</v>
      </c>
      <c r="C1357" t="s">
        <v>300</v>
      </c>
      <c r="D1357" t="s">
        <v>301</v>
      </c>
      <c r="E1357" t="s">
        <v>302</v>
      </c>
      <c r="F1357" t="s">
        <v>303</v>
      </c>
      <c r="H1357" t="s">
        <v>166</v>
      </c>
      <c r="I1357" t="s">
        <v>142</v>
      </c>
      <c r="J1357" t="s">
        <v>258</v>
      </c>
      <c r="K1357" t="s">
        <v>396</v>
      </c>
      <c r="L1357" t="s">
        <v>415</v>
      </c>
      <c r="M1357">
        <v>15</v>
      </c>
      <c r="N1357" t="s">
        <v>416</v>
      </c>
      <c r="O1357" t="s">
        <v>134</v>
      </c>
      <c r="P1357" t="s">
        <v>218</v>
      </c>
      <c r="Q1357" t="s">
        <v>234</v>
      </c>
      <c r="R1357" t="s">
        <v>167</v>
      </c>
      <c r="S1357" t="s">
        <v>128</v>
      </c>
      <c r="T1357" t="s">
        <v>162</v>
      </c>
      <c r="U1357" t="s">
        <v>129</v>
      </c>
      <c r="V1357" t="s">
        <v>73</v>
      </c>
      <c r="W1357" s="58">
        <v>43354</v>
      </c>
      <c r="X1357" s="59">
        <v>0.33333333333333331</v>
      </c>
      <c r="Y1357" s="59">
        <v>0.375</v>
      </c>
      <c r="Z1357" s="59">
        <v>4.1666666666666664E-2</v>
      </c>
      <c r="AA1357">
        <v>0</v>
      </c>
      <c r="AC1357">
        <v>23</v>
      </c>
      <c r="AD1357">
        <v>10</v>
      </c>
      <c r="AE1357" s="59">
        <v>0.33333333333333331</v>
      </c>
      <c r="AF1357" s="59">
        <v>0.3743055555555555</v>
      </c>
      <c r="AG1357">
        <v>37.5</v>
      </c>
    </row>
    <row r="1358" spans="1:33" x14ac:dyDescent="0.25">
      <c r="A1358" t="s">
        <v>274</v>
      </c>
      <c r="B1358" t="s">
        <v>275</v>
      </c>
      <c r="C1358" t="s">
        <v>276</v>
      </c>
      <c r="E1358" t="s">
        <v>277</v>
      </c>
      <c r="F1358" t="s">
        <v>134</v>
      </c>
      <c r="H1358" t="s">
        <v>141</v>
      </c>
      <c r="I1358" t="s">
        <v>142</v>
      </c>
      <c r="J1358" t="s">
        <v>258</v>
      </c>
      <c r="K1358" t="s">
        <v>396</v>
      </c>
      <c r="L1358" t="s">
        <v>415</v>
      </c>
      <c r="M1358">
        <v>15</v>
      </c>
      <c r="N1358" t="s">
        <v>416</v>
      </c>
      <c r="O1358" t="s">
        <v>134</v>
      </c>
      <c r="P1358" t="s">
        <v>218</v>
      </c>
      <c r="Q1358" t="s">
        <v>234</v>
      </c>
      <c r="R1358" t="s">
        <v>143</v>
      </c>
      <c r="S1358" t="s">
        <v>128</v>
      </c>
      <c r="T1358" t="s">
        <v>162</v>
      </c>
      <c r="U1358" t="s">
        <v>129</v>
      </c>
      <c r="V1358" t="s">
        <v>73</v>
      </c>
      <c r="W1358" s="58">
        <v>43354</v>
      </c>
      <c r="X1358" s="59">
        <v>0.3888888888888889</v>
      </c>
      <c r="Y1358" s="59">
        <v>0.43055555555555558</v>
      </c>
      <c r="Z1358" s="59">
        <v>4.1666666666666664E-2</v>
      </c>
      <c r="AA1358">
        <v>2</v>
      </c>
      <c r="AB1358">
        <v>1.1704000000000001</v>
      </c>
      <c r="AC1358">
        <v>23</v>
      </c>
      <c r="AD1358">
        <v>10</v>
      </c>
      <c r="AE1358" s="59">
        <v>0.3888888888888889</v>
      </c>
      <c r="AF1358" s="59">
        <v>0.42986111111111108</v>
      </c>
      <c r="AG1358">
        <v>37.5</v>
      </c>
    </row>
    <row r="1359" spans="1:33" x14ac:dyDescent="0.25">
      <c r="A1359" t="s">
        <v>258</v>
      </c>
      <c r="B1359" t="s">
        <v>270</v>
      </c>
      <c r="C1359" t="s">
        <v>271</v>
      </c>
      <c r="D1359" t="s">
        <v>272</v>
      </c>
      <c r="E1359" t="s">
        <v>273</v>
      </c>
      <c r="F1359" t="s">
        <v>134</v>
      </c>
      <c r="H1359" t="s">
        <v>138</v>
      </c>
      <c r="I1359" t="s">
        <v>139</v>
      </c>
      <c r="J1359" t="s">
        <v>266</v>
      </c>
      <c r="K1359" t="s">
        <v>293</v>
      </c>
      <c r="L1359" t="s">
        <v>417</v>
      </c>
      <c r="N1359" t="s">
        <v>418</v>
      </c>
      <c r="O1359" t="s">
        <v>134</v>
      </c>
      <c r="Q1359" t="s">
        <v>235</v>
      </c>
      <c r="R1359" t="s">
        <v>140</v>
      </c>
      <c r="S1359" t="s">
        <v>128</v>
      </c>
      <c r="T1359" t="s">
        <v>181</v>
      </c>
      <c r="U1359" t="s">
        <v>129</v>
      </c>
      <c r="V1359" t="s">
        <v>75</v>
      </c>
      <c r="W1359" s="58">
        <v>43321</v>
      </c>
      <c r="X1359" s="59">
        <v>0.33333333333333331</v>
      </c>
      <c r="Y1359" s="59">
        <v>0.375</v>
      </c>
      <c r="Z1359" s="59">
        <v>4.1666666666666664E-2</v>
      </c>
      <c r="AA1359">
        <v>0</v>
      </c>
      <c r="AC1359">
        <v>23</v>
      </c>
      <c r="AD1359">
        <v>9.5</v>
      </c>
      <c r="AE1359" s="59">
        <v>0.33333333333333331</v>
      </c>
      <c r="AF1359" s="59">
        <v>0.3743055555555555</v>
      </c>
    </row>
    <row r="1360" spans="1:33" x14ac:dyDescent="0.25">
      <c r="A1360" t="s">
        <v>266</v>
      </c>
      <c r="B1360" t="s">
        <v>293</v>
      </c>
      <c r="C1360" t="s">
        <v>294</v>
      </c>
      <c r="E1360" t="s">
        <v>295</v>
      </c>
      <c r="F1360" t="s">
        <v>134</v>
      </c>
      <c r="H1360" t="s">
        <v>157</v>
      </c>
      <c r="I1360" t="s">
        <v>158</v>
      </c>
      <c r="J1360" t="s">
        <v>266</v>
      </c>
      <c r="K1360" t="s">
        <v>293</v>
      </c>
      <c r="L1360" t="s">
        <v>417</v>
      </c>
      <c r="N1360" t="s">
        <v>418</v>
      </c>
      <c r="O1360" t="s">
        <v>134</v>
      </c>
      <c r="Q1360" t="s">
        <v>235</v>
      </c>
      <c r="R1360" t="s">
        <v>161</v>
      </c>
      <c r="S1360" t="s">
        <v>128</v>
      </c>
      <c r="T1360" t="s">
        <v>181</v>
      </c>
      <c r="U1360" t="s">
        <v>163</v>
      </c>
      <c r="V1360" t="s">
        <v>75</v>
      </c>
      <c r="W1360" s="58">
        <v>43321</v>
      </c>
      <c r="X1360" s="59">
        <v>0.39583333333333331</v>
      </c>
      <c r="Y1360" s="59">
        <v>0.4375</v>
      </c>
      <c r="Z1360" s="59">
        <v>4.1666666666666664E-2</v>
      </c>
      <c r="AA1360">
        <v>0</v>
      </c>
      <c r="AB1360">
        <v>4.1420000000000003</v>
      </c>
      <c r="AC1360">
        <v>18</v>
      </c>
      <c r="AD1360">
        <v>9.5</v>
      </c>
      <c r="AE1360" s="59">
        <v>0.39583333333333331</v>
      </c>
      <c r="AF1360" s="59">
        <v>0.4368055555555555</v>
      </c>
    </row>
    <row r="1361" spans="1:32" x14ac:dyDescent="0.25">
      <c r="A1361" t="s">
        <v>266</v>
      </c>
      <c r="B1361" t="s">
        <v>348</v>
      </c>
      <c r="C1361" t="s">
        <v>349</v>
      </c>
      <c r="E1361" t="s">
        <v>350</v>
      </c>
      <c r="F1361" t="s">
        <v>134</v>
      </c>
      <c r="H1361" t="s">
        <v>202</v>
      </c>
      <c r="I1361" t="s">
        <v>139</v>
      </c>
      <c r="J1361" t="s">
        <v>266</v>
      </c>
      <c r="K1361" t="s">
        <v>293</v>
      </c>
      <c r="L1361" t="s">
        <v>417</v>
      </c>
      <c r="N1361" t="s">
        <v>418</v>
      </c>
      <c r="O1361" t="s">
        <v>134</v>
      </c>
      <c r="Q1361" t="s">
        <v>235</v>
      </c>
      <c r="R1361" t="s">
        <v>203</v>
      </c>
      <c r="S1361" t="s">
        <v>128</v>
      </c>
      <c r="T1361" t="s">
        <v>181</v>
      </c>
      <c r="U1361" t="s">
        <v>151</v>
      </c>
      <c r="V1361" t="s">
        <v>76</v>
      </c>
      <c r="W1361" s="58">
        <v>43322</v>
      </c>
      <c r="X1361" s="59">
        <v>0.70833333333333337</v>
      </c>
      <c r="Y1361" s="59">
        <v>0.91666666666666663</v>
      </c>
      <c r="Z1361" s="59">
        <v>0.20833333333333334</v>
      </c>
      <c r="AA1361">
        <v>0</v>
      </c>
      <c r="AC1361">
        <v>100</v>
      </c>
      <c r="AD1361">
        <v>47.5</v>
      </c>
      <c r="AE1361" s="59">
        <v>0.70833333333333337</v>
      </c>
      <c r="AF1361" s="59">
        <v>0.90555555555555556</v>
      </c>
    </row>
    <row r="1362" spans="1:32" x14ac:dyDescent="0.25">
      <c r="A1362" t="s">
        <v>266</v>
      </c>
      <c r="B1362" t="s">
        <v>348</v>
      </c>
      <c r="C1362" t="s">
        <v>349</v>
      </c>
      <c r="E1362" t="s">
        <v>350</v>
      </c>
      <c r="F1362" t="s">
        <v>134</v>
      </c>
      <c r="H1362" t="s">
        <v>202</v>
      </c>
      <c r="I1362" t="s">
        <v>139</v>
      </c>
      <c r="J1362" t="s">
        <v>266</v>
      </c>
      <c r="K1362" t="s">
        <v>293</v>
      </c>
      <c r="L1362" t="s">
        <v>417</v>
      </c>
      <c r="N1362" t="s">
        <v>418</v>
      </c>
      <c r="O1362" t="s">
        <v>134</v>
      </c>
      <c r="Q1362" t="s">
        <v>235</v>
      </c>
      <c r="R1362" t="s">
        <v>203</v>
      </c>
      <c r="S1362" t="s">
        <v>128</v>
      </c>
      <c r="T1362" t="s">
        <v>181</v>
      </c>
      <c r="U1362" t="s">
        <v>151</v>
      </c>
      <c r="V1362" t="s">
        <v>77</v>
      </c>
      <c r="W1362" s="58">
        <v>43330</v>
      </c>
      <c r="X1362" s="59">
        <v>0.33333333333333331</v>
      </c>
      <c r="Y1362" s="59">
        <v>0.375</v>
      </c>
      <c r="Z1362" s="59">
        <v>4.1666666666666664E-2</v>
      </c>
      <c r="AA1362">
        <v>0</v>
      </c>
      <c r="AC1362">
        <v>20</v>
      </c>
      <c r="AD1362">
        <v>10.5</v>
      </c>
      <c r="AE1362" s="59">
        <v>0.33333333333333331</v>
      </c>
      <c r="AF1362" s="59">
        <v>0.3743055555555555</v>
      </c>
    </row>
    <row r="1363" spans="1:32" x14ac:dyDescent="0.25">
      <c r="A1363" t="s">
        <v>274</v>
      </c>
      <c r="B1363" t="s">
        <v>334</v>
      </c>
      <c r="C1363" t="s">
        <v>285</v>
      </c>
      <c r="E1363" t="s">
        <v>335</v>
      </c>
      <c r="F1363" t="s">
        <v>134</v>
      </c>
      <c r="H1363" t="s">
        <v>192</v>
      </c>
      <c r="I1363" t="s">
        <v>155</v>
      </c>
      <c r="J1363" t="s">
        <v>266</v>
      </c>
      <c r="K1363" t="s">
        <v>293</v>
      </c>
      <c r="L1363" t="s">
        <v>417</v>
      </c>
      <c r="N1363" t="s">
        <v>418</v>
      </c>
      <c r="O1363" t="s">
        <v>134</v>
      </c>
      <c r="Q1363" t="s">
        <v>235</v>
      </c>
      <c r="R1363" t="s">
        <v>193</v>
      </c>
      <c r="S1363" t="s">
        <v>128</v>
      </c>
      <c r="T1363" t="s">
        <v>181</v>
      </c>
      <c r="U1363" t="s">
        <v>129</v>
      </c>
      <c r="V1363" t="s">
        <v>77</v>
      </c>
      <c r="W1363" s="58">
        <v>43330</v>
      </c>
      <c r="X1363" s="59">
        <v>0.39583333333333331</v>
      </c>
      <c r="Y1363" s="59">
        <v>0.4375</v>
      </c>
      <c r="Z1363" s="59">
        <v>4.1666666666666664E-2</v>
      </c>
      <c r="AA1363">
        <v>21</v>
      </c>
      <c r="AB1363">
        <v>11.191000000000001</v>
      </c>
      <c r="AC1363">
        <v>23</v>
      </c>
      <c r="AD1363">
        <v>10.5</v>
      </c>
      <c r="AE1363" s="59">
        <v>0.39583333333333331</v>
      </c>
      <c r="AF1363" s="59">
        <v>0.4368055555555555</v>
      </c>
    </row>
    <row r="1364" spans="1:32" x14ac:dyDescent="0.25">
      <c r="A1364" t="s">
        <v>258</v>
      </c>
      <c r="B1364" t="s">
        <v>314</v>
      </c>
      <c r="C1364" t="s">
        <v>315</v>
      </c>
      <c r="D1364">
        <v>72</v>
      </c>
      <c r="E1364" t="s">
        <v>316</v>
      </c>
      <c r="F1364" t="s">
        <v>317</v>
      </c>
      <c r="G1364" t="s">
        <v>218</v>
      </c>
      <c r="H1364" t="s">
        <v>168</v>
      </c>
      <c r="I1364" t="s">
        <v>169</v>
      </c>
      <c r="J1364" t="s">
        <v>266</v>
      </c>
      <c r="K1364" t="s">
        <v>293</v>
      </c>
      <c r="L1364" t="s">
        <v>417</v>
      </c>
      <c r="N1364" t="s">
        <v>418</v>
      </c>
      <c r="O1364" t="s">
        <v>134</v>
      </c>
      <c r="Q1364" t="s">
        <v>235</v>
      </c>
      <c r="R1364" t="s">
        <v>170</v>
      </c>
      <c r="S1364" t="s">
        <v>128</v>
      </c>
      <c r="T1364" t="s">
        <v>181</v>
      </c>
      <c r="U1364" t="s">
        <v>129</v>
      </c>
      <c r="V1364" t="s">
        <v>71</v>
      </c>
      <c r="W1364" s="58">
        <v>43331</v>
      </c>
      <c r="X1364" s="59">
        <v>0.33333333333333331</v>
      </c>
      <c r="Y1364" s="59">
        <v>0.35416666666666669</v>
      </c>
      <c r="Z1364" s="59">
        <v>2.0833333333333332E-2</v>
      </c>
      <c r="AA1364">
        <v>0</v>
      </c>
      <c r="AC1364">
        <v>11.5</v>
      </c>
      <c r="AD1364">
        <v>5.25</v>
      </c>
      <c r="AE1364" s="59">
        <v>0.33333333333333331</v>
      </c>
      <c r="AF1364" s="59">
        <v>0.35347222222222219</v>
      </c>
    </row>
    <row r="1365" spans="1:32" x14ac:dyDescent="0.25">
      <c r="A1365" t="s">
        <v>258</v>
      </c>
      <c r="B1365" t="s">
        <v>325</v>
      </c>
      <c r="C1365" t="s">
        <v>326</v>
      </c>
      <c r="E1365" t="s">
        <v>327</v>
      </c>
      <c r="F1365" t="s">
        <v>134</v>
      </c>
      <c r="H1365" t="s">
        <v>182</v>
      </c>
      <c r="I1365" t="s">
        <v>147</v>
      </c>
      <c r="J1365" t="s">
        <v>266</v>
      </c>
      <c r="K1365" t="s">
        <v>293</v>
      </c>
      <c r="L1365" t="s">
        <v>417</v>
      </c>
      <c r="N1365" t="s">
        <v>418</v>
      </c>
      <c r="O1365" t="s">
        <v>134</v>
      </c>
      <c r="Q1365" t="s">
        <v>235</v>
      </c>
      <c r="R1365" t="s">
        <v>183</v>
      </c>
      <c r="S1365" t="s">
        <v>128</v>
      </c>
      <c r="T1365" t="s">
        <v>181</v>
      </c>
      <c r="U1365" t="s">
        <v>129</v>
      </c>
      <c r="V1365" t="s">
        <v>71</v>
      </c>
      <c r="W1365" s="58">
        <v>43331</v>
      </c>
      <c r="X1365" s="59">
        <v>0.36458333333333331</v>
      </c>
      <c r="Y1365" s="59">
        <v>0.40625</v>
      </c>
      <c r="Z1365" s="59">
        <v>4.1666666666666664E-2</v>
      </c>
      <c r="AA1365">
        <v>7</v>
      </c>
      <c r="AB1365">
        <v>3.7126000000000001</v>
      </c>
      <c r="AC1365">
        <v>23</v>
      </c>
      <c r="AD1365">
        <v>10.5</v>
      </c>
      <c r="AE1365" s="59">
        <v>0.36458333333333331</v>
      </c>
      <c r="AF1365" s="59">
        <v>0.4055555555555555</v>
      </c>
    </row>
    <row r="1366" spans="1:32" x14ac:dyDescent="0.25">
      <c r="A1366" t="s">
        <v>274</v>
      </c>
      <c r="B1366" t="s">
        <v>321</v>
      </c>
      <c r="C1366" t="s">
        <v>322</v>
      </c>
      <c r="D1366" t="s">
        <v>323</v>
      </c>
      <c r="E1366" t="s">
        <v>324</v>
      </c>
      <c r="F1366" t="s">
        <v>134</v>
      </c>
      <c r="H1366" t="s">
        <v>184</v>
      </c>
      <c r="I1366" t="s">
        <v>147</v>
      </c>
      <c r="J1366" t="s">
        <v>266</v>
      </c>
      <c r="K1366" t="s">
        <v>293</v>
      </c>
      <c r="L1366" t="s">
        <v>417</v>
      </c>
      <c r="N1366" t="s">
        <v>418</v>
      </c>
      <c r="O1366" t="s">
        <v>134</v>
      </c>
      <c r="Q1366" t="s">
        <v>235</v>
      </c>
      <c r="R1366" t="s">
        <v>185</v>
      </c>
      <c r="S1366" t="s">
        <v>128</v>
      </c>
      <c r="T1366" t="s">
        <v>181</v>
      </c>
      <c r="U1366" t="s">
        <v>151</v>
      </c>
      <c r="V1366" t="s">
        <v>71</v>
      </c>
      <c r="W1366" s="58">
        <v>43331</v>
      </c>
      <c r="X1366" s="59">
        <v>0.41666666666666669</v>
      </c>
      <c r="Y1366" s="59">
        <v>0.45833333333333331</v>
      </c>
      <c r="Z1366" s="59">
        <v>4.1666666666666664E-2</v>
      </c>
      <c r="AA1366">
        <v>0</v>
      </c>
      <c r="AB1366">
        <v>2.2181999999999999</v>
      </c>
      <c r="AC1366">
        <v>20</v>
      </c>
      <c r="AD1366">
        <v>10.5</v>
      </c>
      <c r="AE1366" s="59">
        <v>0.41666666666666669</v>
      </c>
      <c r="AF1366" s="59">
        <v>0.45763888888888887</v>
      </c>
    </row>
    <row r="1367" spans="1:32" x14ac:dyDescent="0.25">
      <c r="A1367" t="s">
        <v>258</v>
      </c>
      <c r="B1367" t="s">
        <v>270</v>
      </c>
      <c r="C1367" t="s">
        <v>271</v>
      </c>
      <c r="D1367" t="s">
        <v>272</v>
      </c>
      <c r="E1367" t="s">
        <v>273</v>
      </c>
      <c r="F1367" t="s">
        <v>134</v>
      </c>
      <c r="H1367" t="s">
        <v>138</v>
      </c>
      <c r="I1367" t="s">
        <v>139</v>
      </c>
      <c r="J1367" t="s">
        <v>266</v>
      </c>
      <c r="K1367" t="s">
        <v>293</v>
      </c>
      <c r="L1367" t="s">
        <v>417</v>
      </c>
      <c r="N1367" t="s">
        <v>418</v>
      </c>
      <c r="O1367" t="s">
        <v>134</v>
      </c>
      <c r="Q1367" t="s">
        <v>235</v>
      </c>
      <c r="R1367" t="s">
        <v>140</v>
      </c>
      <c r="S1367" t="s">
        <v>128</v>
      </c>
      <c r="T1367" t="s">
        <v>181</v>
      </c>
      <c r="U1367" t="s">
        <v>129</v>
      </c>
      <c r="V1367" t="s">
        <v>71</v>
      </c>
      <c r="W1367" s="58">
        <v>43345</v>
      </c>
      <c r="X1367" s="59">
        <v>0.76041666666666663</v>
      </c>
      <c r="Y1367" s="59">
        <v>0.80208333333333337</v>
      </c>
      <c r="Z1367" s="59">
        <v>4.1666666666666664E-2</v>
      </c>
      <c r="AA1367">
        <v>0</v>
      </c>
      <c r="AC1367">
        <v>23</v>
      </c>
      <c r="AD1367">
        <v>10.5</v>
      </c>
      <c r="AE1367" s="59">
        <v>0.76041666666666663</v>
      </c>
      <c r="AF1367" s="59">
        <v>0.80138888888888893</v>
      </c>
    </row>
    <row r="1368" spans="1:32" x14ac:dyDescent="0.25">
      <c r="A1368" t="s">
        <v>258</v>
      </c>
      <c r="B1368" t="s">
        <v>342</v>
      </c>
      <c r="C1368" t="s">
        <v>343</v>
      </c>
      <c r="E1368" t="s">
        <v>344</v>
      </c>
      <c r="F1368" t="s">
        <v>134</v>
      </c>
      <c r="H1368" t="s">
        <v>197</v>
      </c>
      <c r="I1368" t="s">
        <v>198</v>
      </c>
      <c r="J1368" t="s">
        <v>266</v>
      </c>
      <c r="K1368" t="s">
        <v>293</v>
      </c>
      <c r="L1368" t="s">
        <v>417</v>
      </c>
      <c r="N1368" t="s">
        <v>418</v>
      </c>
      <c r="O1368" t="s">
        <v>134</v>
      </c>
      <c r="Q1368" t="s">
        <v>235</v>
      </c>
      <c r="R1368" t="s">
        <v>199</v>
      </c>
      <c r="S1368" t="s">
        <v>128</v>
      </c>
      <c r="T1368" t="s">
        <v>181</v>
      </c>
      <c r="U1368" t="s">
        <v>151</v>
      </c>
      <c r="V1368" t="s">
        <v>71</v>
      </c>
      <c r="W1368" s="58">
        <v>43345</v>
      </c>
      <c r="X1368" s="59">
        <v>0.8125</v>
      </c>
      <c r="Y1368" s="59">
        <v>0.85416666666666663</v>
      </c>
      <c r="Z1368" s="59">
        <v>4.1666666666666664E-2</v>
      </c>
      <c r="AA1368">
        <v>17</v>
      </c>
      <c r="AB1368">
        <v>8.6783999999999999</v>
      </c>
      <c r="AC1368">
        <v>20</v>
      </c>
      <c r="AD1368">
        <v>10.5</v>
      </c>
      <c r="AE1368" s="59">
        <v>0.8125</v>
      </c>
      <c r="AF1368" s="59">
        <v>0.8534722222222223</v>
      </c>
    </row>
    <row r="1369" spans="1:32" x14ac:dyDescent="0.25">
      <c r="A1369" t="s">
        <v>258</v>
      </c>
      <c r="B1369" t="s">
        <v>310</v>
      </c>
      <c r="C1369" t="s">
        <v>311</v>
      </c>
      <c r="D1369" t="s">
        <v>312</v>
      </c>
      <c r="E1369" t="s">
        <v>313</v>
      </c>
      <c r="F1369" t="s">
        <v>134</v>
      </c>
      <c r="H1369" t="s">
        <v>175</v>
      </c>
      <c r="I1369" t="s">
        <v>127</v>
      </c>
      <c r="J1369" t="s">
        <v>266</v>
      </c>
      <c r="K1369" t="s">
        <v>293</v>
      </c>
      <c r="L1369" t="s">
        <v>417</v>
      </c>
      <c r="N1369" t="s">
        <v>418</v>
      </c>
      <c r="O1369" t="s">
        <v>134</v>
      </c>
      <c r="Q1369" t="s">
        <v>235</v>
      </c>
      <c r="R1369" t="s">
        <v>176</v>
      </c>
      <c r="S1369" t="s">
        <v>128</v>
      </c>
      <c r="T1369" t="s">
        <v>181</v>
      </c>
      <c r="U1369" t="s">
        <v>151</v>
      </c>
      <c r="V1369" t="s">
        <v>71</v>
      </c>
      <c r="W1369" s="58">
        <v>43345</v>
      </c>
      <c r="X1369" s="59">
        <v>0.86111111111111116</v>
      </c>
      <c r="Y1369" s="59">
        <v>0.88194444444444453</v>
      </c>
      <c r="Z1369" s="59">
        <v>2.0833333333333332E-2</v>
      </c>
      <c r="AA1369">
        <v>0</v>
      </c>
      <c r="AC1369">
        <v>10</v>
      </c>
      <c r="AD1369">
        <v>4.3</v>
      </c>
    </row>
    <row r="1370" spans="1:32" x14ac:dyDescent="0.25">
      <c r="A1370" t="s">
        <v>258</v>
      </c>
      <c r="B1370" t="s">
        <v>342</v>
      </c>
      <c r="C1370" t="s">
        <v>343</v>
      </c>
      <c r="E1370" t="s">
        <v>344</v>
      </c>
      <c r="F1370" t="s">
        <v>134</v>
      </c>
      <c r="H1370" t="s">
        <v>197</v>
      </c>
      <c r="I1370" t="s">
        <v>198</v>
      </c>
      <c r="J1370" t="s">
        <v>266</v>
      </c>
      <c r="K1370" t="s">
        <v>293</v>
      </c>
      <c r="L1370" t="s">
        <v>417</v>
      </c>
      <c r="N1370" t="s">
        <v>418</v>
      </c>
      <c r="O1370" t="s">
        <v>134</v>
      </c>
      <c r="Q1370" t="s">
        <v>235</v>
      </c>
      <c r="R1370" t="s">
        <v>199</v>
      </c>
      <c r="S1370" t="s">
        <v>128</v>
      </c>
      <c r="T1370" t="s">
        <v>181</v>
      </c>
      <c r="U1370" t="s">
        <v>151</v>
      </c>
      <c r="V1370" t="s">
        <v>72</v>
      </c>
      <c r="W1370" s="58">
        <v>43346</v>
      </c>
      <c r="X1370" s="59">
        <v>0.8125</v>
      </c>
      <c r="Y1370" s="59">
        <v>0.85416666666666663</v>
      </c>
      <c r="Z1370" s="59">
        <v>4.1666666666666664E-2</v>
      </c>
      <c r="AA1370">
        <v>0</v>
      </c>
      <c r="AC1370">
        <v>20</v>
      </c>
      <c r="AD1370">
        <v>9.5</v>
      </c>
      <c r="AE1370" s="59">
        <v>0.8125</v>
      </c>
      <c r="AF1370" s="59">
        <v>0.8534722222222223</v>
      </c>
    </row>
    <row r="1371" spans="1:32" x14ac:dyDescent="0.25">
      <c r="A1371" t="s">
        <v>258</v>
      </c>
      <c r="B1371" t="s">
        <v>310</v>
      </c>
      <c r="C1371" t="s">
        <v>311</v>
      </c>
      <c r="D1371" t="s">
        <v>312</v>
      </c>
      <c r="E1371" t="s">
        <v>313</v>
      </c>
      <c r="F1371" t="s">
        <v>134</v>
      </c>
      <c r="H1371" t="s">
        <v>175</v>
      </c>
      <c r="I1371" t="s">
        <v>127</v>
      </c>
      <c r="J1371" t="s">
        <v>266</v>
      </c>
      <c r="K1371" t="s">
        <v>293</v>
      </c>
      <c r="L1371" t="s">
        <v>417</v>
      </c>
      <c r="N1371" t="s">
        <v>418</v>
      </c>
      <c r="O1371" t="s">
        <v>134</v>
      </c>
      <c r="Q1371" t="s">
        <v>235</v>
      </c>
      <c r="R1371" t="s">
        <v>176</v>
      </c>
      <c r="S1371" t="s">
        <v>128</v>
      </c>
      <c r="T1371" t="s">
        <v>181</v>
      </c>
      <c r="U1371" t="s">
        <v>151</v>
      </c>
      <c r="V1371" t="s">
        <v>72</v>
      </c>
      <c r="W1371" s="58">
        <v>43346</v>
      </c>
      <c r="X1371" s="59">
        <v>0.86458333333333337</v>
      </c>
      <c r="Y1371" s="59">
        <v>0.88541666666666663</v>
      </c>
      <c r="Z1371" s="59">
        <v>2.0833333333333332E-2</v>
      </c>
      <c r="AA1371">
        <v>12</v>
      </c>
      <c r="AB1371">
        <v>5.3818000000000001</v>
      </c>
      <c r="AC1371">
        <v>10</v>
      </c>
      <c r="AD1371">
        <v>4.75</v>
      </c>
      <c r="AE1371" s="59">
        <v>0.86458333333333337</v>
      </c>
      <c r="AF1371" s="59">
        <v>0.8847222222222223</v>
      </c>
    </row>
    <row r="1372" spans="1:32" x14ac:dyDescent="0.25">
      <c r="A1372" t="s">
        <v>258</v>
      </c>
      <c r="B1372" t="s">
        <v>342</v>
      </c>
      <c r="C1372" t="s">
        <v>343</v>
      </c>
      <c r="E1372" t="s">
        <v>344</v>
      </c>
      <c r="F1372" t="s">
        <v>134</v>
      </c>
      <c r="H1372" t="s">
        <v>197</v>
      </c>
      <c r="I1372" t="s">
        <v>198</v>
      </c>
      <c r="J1372" t="s">
        <v>266</v>
      </c>
      <c r="K1372" t="s">
        <v>293</v>
      </c>
      <c r="L1372" t="s">
        <v>417</v>
      </c>
      <c r="N1372" t="s">
        <v>418</v>
      </c>
      <c r="O1372" t="s">
        <v>134</v>
      </c>
      <c r="Q1372" t="s">
        <v>235</v>
      </c>
      <c r="R1372" t="s">
        <v>199</v>
      </c>
      <c r="S1372" t="s">
        <v>128</v>
      </c>
      <c r="T1372" t="s">
        <v>181</v>
      </c>
      <c r="U1372" t="s">
        <v>151</v>
      </c>
      <c r="V1372" t="s">
        <v>73</v>
      </c>
      <c r="W1372" s="58">
        <v>43347</v>
      </c>
      <c r="X1372" s="59">
        <v>0.80902777777777779</v>
      </c>
      <c r="Y1372" s="59">
        <v>0.85069444444444453</v>
      </c>
      <c r="Z1372" s="59">
        <v>4.1666666666666664E-2</v>
      </c>
      <c r="AA1372">
        <v>0</v>
      </c>
      <c r="AC1372">
        <v>20</v>
      </c>
      <c r="AD1372">
        <v>9.5</v>
      </c>
      <c r="AE1372" s="59">
        <v>0.80902777777777779</v>
      </c>
      <c r="AF1372" s="59">
        <v>0.85</v>
      </c>
    </row>
    <row r="1373" spans="1:32" x14ac:dyDescent="0.25">
      <c r="A1373" t="s">
        <v>274</v>
      </c>
      <c r="B1373" t="s">
        <v>321</v>
      </c>
      <c r="C1373" t="s">
        <v>322</v>
      </c>
      <c r="D1373" t="s">
        <v>323</v>
      </c>
      <c r="E1373" t="s">
        <v>324</v>
      </c>
      <c r="F1373" t="s">
        <v>134</v>
      </c>
      <c r="H1373" t="s">
        <v>184</v>
      </c>
      <c r="I1373" t="s">
        <v>147</v>
      </c>
      <c r="J1373" t="s">
        <v>266</v>
      </c>
      <c r="K1373" t="s">
        <v>293</v>
      </c>
      <c r="L1373" t="s">
        <v>417</v>
      </c>
      <c r="N1373" t="s">
        <v>418</v>
      </c>
      <c r="O1373" t="s">
        <v>134</v>
      </c>
      <c r="Q1373" t="s">
        <v>235</v>
      </c>
      <c r="R1373" t="s">
        <v>185</v>
      </c>
      <c r="S1373" t="s">
        <v>128</v>
      </c>
      <c r="T1373" t="s">
        <v>181</v>
      </c>
      <c r="U1373" t="s">
        <v>151</v>
      </c>
      <c r="V1373" t="s">
        <v>73</v>
      </c>
      <c r="W1373" s="58">
        <v>43347</v>
      </c>
      <c r="X1373" s="59">
        <v>0.86111111111111116</v>
      </c>
      <c r="Y1373" s="59">
        <v>0.89236111111111116</v>
      </c>
      <c r="Z1373" s="59">
        <v>3.125E-2</v>
      </c>
      <c r="AA1373">
        <v>10</v>
      </c>
      <c r="AB1373">
        <v>7.7363999999999997</v>
      </c>
      <c r="AC1373">
        <v>15</v>
      </c>
      <c r="AD1373">
        <v>7.125</v>
      </c>
      <c r="AE1373" s="59">
        <v>0.86111111111111116</v>
      </c>
      <c r="AF1373" s="59">
        <v>0.89166666666666661</v>
      </c>
    </row>
    <row r="1374" spans="1:32" x14ac:dyDescent="0.25">
      <c r="A1374" t="s">
        <v>258</v>
      </c>
      <c r="B1374" t="s">
        <v>310</v>
      </c>
      <c r="C1374" t="s">
        <v>311</v>
      </c>
      <c r="D1374" t="s">
        <v>312</v>
      </c>
      <c r="E1374" t="s">
        <v>313</v>
      </c>
      <c r="F1374" t="s">
        <v>134</v>
      </c>
      <c r="H1374" t="s">
        <v>175</v>
      </c>
      <c r="I1374" t="s">
        <v>127</v>
      </c>
      <c r="J1374" t="s">
        <v>266</v>
      </c>
      <c r="K1374" t="s">
        <v>293</v>
      </c>
      <c r="L1374" t="s">
        <v>417</v>
      </c>
      <c r="N1374" t="s">
        <v>418</v>
      </c>
      <c r="O1374" t="s">
        <v>134</v>
      </c>
      <c r="Q1374" t="s">
        <v>235</v>
      </c>
      <c r="R1374" t="s">
        <v>176</v>
      </c>
      <c r="S1374" t="s">
        <v>128</v>
      </c>
      <c r="T1374" t="s">
        <v>181</v>
      </c>
      <c r="U1374" t="s">
        <v>151</v>
      </c>
      <c r="V1374" t="s">
        <v>73</v>
      </c>
      <c r="W1374" s="58">
        <v>43347</v>
      </c>
      <c r="X1374" s="59">
        <v>0.89583333333333337</v>
      </c>
      <c r="Y1374" s="59">
        <v>0.91666666666666663</v>
      </c>
      <c r="Z1374" s="59">
        <v>2.0833333333333332E-2</v>
      </c>
      <c r="AA1374">
        <v>7</v>
      </c>
      <c r="AB1374">
        <v>4.8944000000000001</v>
      </c>
      <c r="AC1374">
        <v>10</v>
      </c>
      <c r="AD1374">
        <v>4.75</v>
      </c>
      <c r="AE1374" s="59">
        <v>0.89583333333333337</v>
      </c>
      <c r="AF1374" s="59">
        <v>0.9159722222222223</v>
      </c>
    </row>
    <row r="1375" spans="1:32" x14ac:dyDescent="0.25">
      <c r="A1375" t="s">
        <v>258</v>
      </c>
      <c r="B1375" t="s">
        <v>342</v>
      </c>
      <c r="C1375" t="s">
        <v>343</v>
      </c>
      <c r="E1375" t="s">
        <v>344</v>
      </c>
      <c r="F1375" t="s">
        <v>134</v>
      </c>
      <c r="H1375" t="s">
        <v>197</v>
      </c>
      <c r="I1375" t="s">
        <v>198</v>
      </c>
      <c r="J1375" t="s">
        <v>266</v>
      </c>
      <c r="K1375" t="s">
        <v>293</v>
      </c>
      <c r="L1375" t="s">
        <v>417</v>
      </c>
      <c r="N1375" t="s">
        <v>418</v>
      </c>
      <c r="O1375" t="s">
        <v>134</v>
      </c>
      <c r="Q1375" t="s">
        <v>235</v>
      </c>
      <c r="R1375" t="s">
        <v>199</v>
      </c>
      <c r="S1375" t="s">
        <v>128</v>
      </c>
      <c r="T1375" t="s">
        <v>181</v>
      </c>
      <c r="U1375" t="s">
        <v>151</v>
      </c>
      <c r="V1375" t="s">
        <v>74</v>
      </c>
      <c r="W1375" s="58">
        <v>43348</v>
      </c>
      <c r="X1375" s="59">
        <v>0.8125</v>
      </c>
      <c r="Y1375" s="59">
        <v>0.85416666666666663</v>
      </c>
      <c r="Z1375" s="59">
        <v>4.1666666666666664E-2</v>
      </c>
      <c r="AA1375">
        <v>0</v>
      </c>
      <c r="AC1375">
        <v>20</v>
      </c>
      <c r="AD1375">
        <v>9.5</v>
      </c>
      <c r="AE1375" s="59">
        <v>0.8125</v>
      </c>
      <c r="AF1375" s="59">
        <v>0.8534722222222223</v>
      </c>
    </row>
    <row r="1376" spans="1:32" x14ac:dyDescent="0.25">
      <c r="A1376" t="s">
        <v>258</v>
      </c>
      <c r="B1376" t="s">
        <v>310</v>
      </c>
      <c r="C1376" t="s">
        <v>311</v>
      </c>
      <c r="D1376" t="s">
        <v>312</v>
      </c>
      <c r="E1376" t="s">
        <v>313</v>
      </c>
      <c r="F1376" t="s">
        <v>134</v>
      </c>
      <c r="H1376" t="s">
        <v>175</v>
      </c>
      <c r="I1376" t="s">
        <v>127</v>
      </c>
      <c r="J1376" t="s">
        <v>266</v>
      </c>
      <c r="K1376" t="s">
        <v>293</v>
      </c>
      <c r="L1376" t="s">
        <v>417</v>
      </c>
      <c r="N1376" t="s">
        <v>418</v>
      </c>
      <c r="O1376" t="s">
        <v>134</v>
      </c>
      <c r="Q1376" t="s">
        <v>235</v>
      </c>
      <c r="R1376" t="s">
        <v>176</v>
      </c>
      <c r="S1376" t="s">
        <v>128</v>
      </c>
      <c r="T1376" t="s">
        <v>181</v>
      </c>
      <c r="U1376" t="s">
        <v>151</v>
      </c>
      <c r="V1376" t="s">
        <v>74</v>
      </c>
      <c r="W1376" s="58">
        <v>43348</v>
      </c>
      <c r="X1376" s="59">
        <v>0.86458333333333337</v>
      </c>
      <c r="Y1376" s="59">
        <v>0.88541666666666663</v>
      </c>
      <c r="Z1376" s="59">
        <v>2.0833333333333332E-2</v>
      </c>
      <c r="AA1376">
        <v>12</v>
      </c>
      <c r="AB1376">
        <v>5.3818000000000001</v>
      </c>
      <c r="AC1376">
        <v>10</v>
      </c>
      <c r="AD1376">
        <v>4.75</v>
      </c>
      <c r="AE1376" s="59">
        <v>0.86458333333333337</v>
      </c>
      <c r="AF1376" s="59">
        <v>0.8847222222222223</v>
      </c>
    </row>
    <row r="1377" spans="1:32" x14ac:dyDescent="0.25">
      <c r="A1377" t="s">
        <v>258</v>
      </c>
      <c r="B1377" t="s">
        <v>342</v>
      </c>
      <c r="C1377" t="s">
        <v>343</v>
      </c>
      <c r="E1377" t="s">
        <v>344</v>
      </c>
      <c r="F1377" t="s">
        <v>134</v>
      </c>
      <c r="H1377" t="s">
        <v>197</v>
      </c>
      <c r="I1377" t="s">
        <v>198</v>
      </c>
      <c r="J1377" t="s">
        <v>266</v>
      </c>
      <c r="K1377" t="s">
        <v>293</v>
      </c>
      <c r="L1377" t="s">
        <v>417</v>
      </c>
      <c r="N1377" t="s">
        <v>418</v>
      </c>
      <c r="O1377" t="s">
        <v>134</v>
      </c>
      <c r="Q1377" t="s">
        <v>235</v>
      </c>
      <c r="R1377" t="s">
        <v>199</v>
      </c>
      <c r="S1377" t="s">
        <v>128</v>
      </c>
      <c r="T1377" t="s">
        <v>181</v>
      </c>
      <c r="U1377" t="s">
        <v>151</v>
      </c>
      <c r="V1377" t="s">
        <v>75</v>
      </c>
      <c r="W1377" s="58">
        <v>43349</v>
      </c>
      <c r="X1377" s="59">
        <v>0.8125</v>
      </c>
      <c r="Y1377" s="59">
        <v>0.85416666666666663</v>
      </c>
      <c r="Z1377" s="59">
        <v>4.1666666666666664E-2</v>
      </c>
      <c r="AA1377">
        <v>0</v>
      </c>
      <c r="AC1377">
        <v>20</v>
      </c>
      <c r="AD1377">
        <v>9.5</v>
      </c>
      <c r="AE1377" s="59">
        <v>0.8125</v>
      </c>
      <c r="AF1377" s="59">
        <v>0.8534722222222223</v>
      </c>
    </row>
    <row r="1378" spans="1:32" x14ac:dyDescent="0.25">
      <c r="A1378" t="s">
        <v>258</v>
      </c>
      <c r="B1378" t="s">
        <v>310</v>
      </c>
      <c r="C1378" t="s">
        <v>311</v>
      </c>
      <c r="D1378" t="s">
        <v>312</v>
      </c>
      <c r="E1378" t="s">
        <v>313</v>
      </c>
      <c r="F1378" t="s">
        <v>134</v>
      </c>
      <c r="H1378" t="s">
        <v>175</v>
      </c>
      <c r="I1378" t="s">
        <v>127</v>
      </c>
      <c r="J1378" t="s">
        <v>266</v>
      </c>
      <c r="K1378" t="s">
        <v>293</v>
      </c>
      <c r="L1378" t="s">
        <v>417</v>
      </c>
      <c r="N1378" t="s">
        <v>418</v>
      </c>
      <c r="O1378" t="s">
        <v>134</v>
      </c>
      <c r="Q1378" t="s">
        <v>235</v>
      </c>
      <c r="R1378" t="s">
        <v>176</v>
      </c>
      <c r="S1378" t="s">
        <v>128</v>
      </c>
      <c r="T1378" t="s">
        <v>181</v>
      </c>
      <c r="U1378" t="s">
        <v>151</v>
      </c>
      <c r="V1378" t="s">
        <v>75</v>
      </c>
      <c r="W1378" s="58">
        <v>43349</v>
      </c>
      <c r="X1378" s="59">
        <v>0.86458333333333337</v>
      </c>
      <c r="Y1378" s="59">
        <v>0.88541666666666663</v>
      </c>
      <c r="Z1378" s="59">
        <v>2.0833333333333332E-2</v>
      </c>
      <c r="AA1378">
        <v>12</v>
      </c>
      <c r="AB1378">
        <v>5.3818000000000001</v>
      </c>
      <c r="AC1378">
        <v>10</v>
      </c>
      <c r="AD1378">
        <v>4.75</v>
      </c>
      <c r="AE1378" s="59">
        <v>0.86458333333333337</v>
      </c>
      <c r="AF1378" s="59">
        <v>0.8847222222222223</v>
      </c>
    </row>
    <row r="1379" spans="1:32" x14ac:dyDescent="0.25">
      <c r="A1379" t="s">
        <v>274</v>
      </c>
      <c r="B1379" t="s">
        <v>321</v>
      </c>
      <c r="C1379" t="s">
        <v>322</v>
      </c>
      <c r="D1379" t="s">
        <v>323</v>
      </c>
      <c r="E1379" t="s">
        <v>324</v>
      </c>
      <c r="F1379" t="s">
        <v>134</v>
      </c>
      <c r="H1379" t="s">
        <v>184</v>
      </c>
      <c r="I1379" t="s">
        <v>147</v>
      </c>
      <c r="J1379" t="s">
        <v>266</v>
      </c>
      <c r="K1379" t="s">
        <v>293</v>
      </c>
      <c r="L1379" t="s">
        <v>417</v>
      </c>
      <c r="N1379" t="s">
        <v>418</v>
      </c>
      <c r="O1379" t="s">
        <v>134</v>
      </c>
      <c r="Q1379" t="s">
        <v>235</v>
      </c>
      <c r="R1379" t="s">
        <v>185</v>
      </c>
      <c r="S1379" t="s">
        <v>128</v>
      </c>
      <c r="T1379" t="s">
        <v>181</v>
      </c>
      <c r="U1379" t="s">
        <v>151</v>
      </c>
      <c r="V1379" t="s">
        <v>76</v>
      </c>
      <c r="W1379" s="58">
        <v>43350</v>
      </c>
      <c r="X1379" s="59">
        <v>0.85416666666666663</v>
      </c>
      <c r="Y1379" s="59">
        <v>0.88541666666666663</v>
      </c>
      <c r="Z1379" s="59">
        <v>3.125E-2</v>
      </c>
      <c r="AA1379">
        <v>0</v>
      </c>
      <c r="AC1379">
        <v>15</v>
      </c>
      <c r="AD1379">
        <v>7.125</v>
      </c>
      <c r="AE1379" s="59">
        <v>0.85416666666666663</v>
      </c>
      <c r="AF1379" s="59">
        <v>0.8847222222222223</v>
      </c>
    </row>
    <row r="1380" spans="1:32" x14ac:dyDescent="0.25">
      <c r="B1380" t="s">
        <v>331</v>
      </c>
      <c r="C1380" t="s">
        <v>332</v>
      </c>
      <c r="E1380" t="s">
        <v>333</v>
      </c>
      <c r="F1380" t="s">
        <v>134</v>
      </c>
      <c r="G1380" t="s">
        <v>218</v>
      </c>
      <c r="H1380" t="s">
        <v>177</v>
      </c>
      <c r="I1380" t="s">
        <v>158</v>
      </c>
      <c r="J1380" t="s">
        <v>258</v>
      </c>
      <c r="K1380" t="s">
        <v>419</v>
      </c>
      <c r="L1380" t="s">
        <v>420</v>
      </c>
      <c r="N1380" t="s">
        <v>421</v>
      </c>
      <c r="O1380" t="s">
        <v>134</v>
      </c>
      <c r="Q1380" t="s">
        <v>236</v>
      </c>
      <c r="R1380" t="s">
        <v>179</v>
      </c>
      <c r="S1380" t="s">
        <v>180</v>
      </c>
      <c r="T1380" t="s">
        <v>165</v>
      </c>
      <c r="U1380" t="s">
        <v>191</v>
      </c>
      <c r="V1380" t="s">
        <v>77</v>
      </c>
      <c r="W1380" s="58">
        <v>43309</v>
      </c>
      <c r="X1380" s="59">
        <v>0.375</v>
      </c>
      <c r="Y1380" s="59">
        <v>0.5</v>
      </c>
      <c r="Z1380" s="59">
        <v>0.125</v>
      </c>
      <c r="AA1380">
        <v>0</v>
      </c>
      <c r="AC1380">
        <v>0</v>
      </c>
      <c r="AD1380">
        <v>0</v>
      </c>
      <c r="AE1380" s="59">
        <v>0.375</v>
      </c>
      <c r="AF1380" s="59">
        <v>0.4993055555555555</v>
      </c>
    </row>
    <row r="1381" spans="1:32" x14ac:dyDescent="0.25">
      <c r="B1381" t="s">
        <v>331</v>
      </c>
      <c r="C1381" t="s">
        <v>332</v>
      </c>
      <c r="E1381" t="s">
        <v>333</v>
      </c>
      <c r="F1381" t="s">
        <v>134</v>
      </c>
      <c r="G1381" t="s">
        <v>218</v>
      </c>
      <c r="H1381" t="s">
        <v>177</v>
      </c>
      <c r="I1381" t="s">
        <v>158</v>
      </c>
      <c r="J1381" t="s">
        <v>258</v>
      </c>
      <c r="K1381" t="s">
        <v>419</v>
      </c>
      <c r="L1381" t="s">
        <v>420</v>
      </c>
      <c r="N1381" t="s">
        <v>421</v>
      </c>
      <c r="O1381" t="s">
        <v>134</v>
      </c>
      <c r="Q1381" t="s">
        <v>236</v>
      </c>
      <c r="R1381" t="s">
        <v>179</v>
      </c>
      <c r="S1381" t="s">
        <v>180</v>
      </c>
      <c r="T1381" t="s">
        <v>165</v>
      </c>
      <c r="U1381" t="s">
        <v>191</v>
      </c>
      <c r="V1381" t="s">
        <v>71</v>
      </c>
      <c r="W1381" s="58">
        <v>43310</v>
      </c>
      <c r="X1381" s="59">
        <v>0.375</v>
      </c>
      <c r="Y1381" s="59">
        <v>0.5</v>
      </c>
      <c r="Z1381" s="59">
        <v>0.125</v>
      </c>
      <c r="AA1381">
        <v>0</v>
      </c>
      <c r="AC1381">
        <v>0</v>
      </c>
      <c r="AD1381">
        <v>0</v>
      </c>
      <c r="AE1381" s="59">
        <v>0.375</v>
      </c>
      <c r="AF1381" s="59">
        <v>0.4993055555555555</v>
      </c>
    </row>
    <row r="1382" spans="1:32" x14ac:dyDescent="0.25">
      <c r="A1382" t="s">
        <v>258</v>
      </c>
      <c r="B1382" t="s">
        <v>310</v>
      </c>
      <c r="C1382" t="s">
        <v>311</v>
      </c>
      <c r="D1382" t="s">
        <v>312</v>
      </c>
      <c r="E1382" t="s">
        <v>313</v>
      </c>
      <c r="F1382" t="s">
        <v>134</v>
      </c>
      <c r="H1382" t="s">
        <v>175</v>
      </c>
      <c r="I1382" t="s">
        <v>127</v>
      </c>
      <c r="J1382" t="s">
        <v>258</v>
      </c>
      <c r="K1382" t="s">
        <v>419</v>
      </c>
      <c r="L1382" t="s">
        <v>420</v>
      </c>
      <c r="N1382" t="s">
        <v>421</v>
      </c>
      <c r="O1382" t="s">
        <v>134</v>
      </c>
      <c r="Q1382" t="s">
        <v>236</v>
      </c>
      <c r="R1382" t="s">
        <v>176</v>
      </c>
      <c r="S1382" t="s">
        <v>128</v>
      </c>
      <c r="T1382" t="s">
        <v>165</v>
      </c>
      <c r="U1382" t="s">
        <v>151</v>
      </c>
      <c r="V1382" t="s">
        <v>72</v>
      </c>
      <c r="W1382" s="58">
        <v>43311</v>
      </c>
      <c r="X1382" s="59">
        <v>0.36458333333333331</v>
      </c>
      <c r="Y1382" s="59">
        <v>0.44791666666666669</v>
      </c>
      <c r="Z1382" s="59">
        <v>8.3333333333333329E-2</v>
      </c>
      <c r="AA1382">
        <v>0</v>
      </c>
      <c r="AC1382">
        <v>40</v>
      </c>
      <c r="AD1382">
        <v>18</v>
      </c>
      <c r="AE1382" s="59">
        <v>0.36458333333333331</v>
      </c>
      <c r="AF1382" s="59">
        <v>0.4055555555555555</v>
      </c>
    </row>
    <row r="1383" spans="1:32" x14ac:dyDescent="0.25">
      <c r="A1383" t="s">
        <v>258</v>
      </c>
      <c r="B1383" t="s">
        <v>325</v>
      </c>
      <c r="C1383" t="s">
        <v>326</v>
      </c>
      <c r="E1383" t="s">
        <v>327</v>
      </c>
      <c r="F1383" t="s">
        <v>134</v>
      </c>
      <c r="H1383" t="s">
        <v>182</v>
      </c>
      <c r="I1383" t="s">
        <v>147</v>
      </c>
      <c r="J1383" t="s">
        <v>258</v>
      </c>
      <c r="K1383" t="s">
        <v>419</v>
      </c>
      <c r="L1383" t="s">
        <v>420</v>
      </c>
      <c r="N1383" t="s">
        <v>421</v>
      </c>
      <c r="O1383" t="s">
        <v>134</v>
      </c>
      <c r="Q1383" t="s">
        <v>236</v>
      </c>
      <c r="R1383" t="s">
        <v>183</v>
      </c>
      <c r="S1383" t="s">
        <v>128</v>
      </c>
      <c r="T1383" t="s">
        <v>165</v>
      </c>
      <c r="U1383" t="s">
        <v>129</v>
      </c>
      <c r="V1383" t="s">
        <v>74</v>
      </c>
      <c r="W1383" s="58">
        <v>43313</v>
      </c>
      <c r="X1383" s="59">
        <v>0.36458333333333331</v>
      </c>
      <c r="Y1383" s="59">
        <v>0.40625</v>
      </c>
      <c r="Z1383" s="59">
        <v>4.1666666666666664E-2</v>
      </c>
      <c r="AA1383">
        <v>0</v>
      </c>
      <c r="AC1383">
        <v>23</v>
      </c>
      <c r="AD1383">
        <v>9</v>
      </c>
      <c r="AE1383" s="59">
        <v>0.36458333333333331</v>
      </c>
      <c r="AF1383" s="59">
        <v>0.4055555555555555</v>
      </c>
    </row>
    <row r="1384" spans="1:32" x14ac:dyDescent="0.25">
      <c r="A1384" t="s">
        <v>274</v>
      </c>
      <c r="B1384" t="s">
        <v>321</v>
      </c>
      <c r="C1384" t="s">
        <v>322</v>
      </c>
      <c r="D1384" t="s">
        <v>323</v>
      </c>
      <c r="E1384" t="s">
        <v>324</v>
      </c>
      <c r="F1384" t="s">
        <v>134</v>
      </c>
      <c r="H1384" t="s">
        <v>184</v>
      </c>
      <c r="I1384" t="s">
        <v>147</v>
      </c>
      <c r="J1384" t="s">
        <v>258</v>
      </c>
      <c r="K1384" t="s">
        <v>419</v>
      </c>
      <c r="L1384" t="s">
        <v>420</v>
      </c>
      <c r="N1384" t="s">
        <v>421</v>
      </c>
      <c r="O1384" t="s">
        <v>134</v>
      </c>
      <c r="Q1384" t="s">
        <v>236</v>
      </c>
      <c r="R1384" t="s">
        <v>185</v>
      </c>
      <c r="S1384" t="s">
        <v>128</v>
      </c>
      <c r="T1384" t="s">
        <v>165</v>
      </c>
      <c r="U1384" t="s">
        <v>151</v>
      </c>
      <c r="V1384" t="s">
        <v>74</v>
      </c>
      <c r="W1384" s="58">
        <v>43313</v>
      </c>
      <c r="X1384" s="59">
        <v>0.41666666666666669</v>
      </c>
      <c r="Y1384" s="59">
        <v>0.45833333333333331</v>
      </c>
      <c r="Z1384" s="59">
        <v>4.1666666666666664E-2</v>
      </c>
      <c r="AA1384">
        <v>0</v>
      </c>
      <c r="AB1384">
        <v>2.2181999999999999</v>
      </c>
      <c r="AC1384">
        <v>20</v>
      </c>
      <c r="AD1384">
        <v>9</v>
      </c>
      <c r="AE1384" s="59">
        <v>0.41666666666666669</v>
      </c>
      <c r="AF1384" s="59">
        <v>0.45763888888888887</v>
      </c>
    </row>
    <row r="1385" spans="1:32" x14ac:dyDescent="0.25">
      <c r="A1385" t="s">
        <v>258</v>
      </c>
      <c r="B1385" t="s">
        <v>325</v>
      </c>
      <c r="C1385" t="s">
        <v>326</v>
      </c>
      <c r="E1385" t="s">
        <v>327</v>
      </c>
      <c r="F1385" t="s">
        <v>134</v>
      </c>
      <c r="H1385" t="s">
        <v>182</v>
      </c>
      <c r="I1385" t="s">
        <v>147</v>
      </c>
      <c r="J1385" t="s">
        <v>258</v>
      </c>
      <c r="K1385" t="s">
        <v>419</v>
      </c>
      <c r="L1385" t="s">
        <v>420</v>
      </c>
      <c r="N1385" t="s">
        <v>421</v>
      </c>
      <c r="O1385" t="s">
        <v>134</v>
      </c>
      <c r="Q1385" t="s">
        <v>236</v>
      </c>
      <c r="R1385" t="s">
        <v>183</v>
      </c>
      <c r="S1385" t="s">
        <v>128</v>
      </c>
      <c r="T1385" t="s">
        <v>165</v>
      </c>
      <c r="U1385" t="s">
        <v>129</v>
      </c>
      <c r="V1385" t="s">
        <v>75</v>
      </c>
      <c r="W1385" s="58">
        <v>43314</v>
      </c>
      <c r="X1385" s="59">
        <v>0.36458333333333331</v>
      </c>
      <c r="Y1385" s="59">
        <v>0.40625</v>
      </c>
      <c r="Z1385" s="59">
        <v>4.1666666666666664E-2</v>
      </c>
      <c r="AA1385">
        <v>0</v>
      </c>
      <c r="AC1385">
        <v>23</v>
      </c>
      <c r="AD1385">
        <v>9</v>
      </c>
      <c r="AE1385" s="59">
        <v>0.36458333333333331</v>
      </c>
      <c r="AF1385" s="59">
        <v>0.4055555555555555</v>
      </c>
    </row>
    <row r="1386" spans="1:32" x14ac:dyDescent="0.25">
      <c r="A1386" t="s">
        <v>274</v>
      </c>
      <c r="B1386" t="s">
        <v>321</v>
      </c>
      <c r="C1386" t="s">
        <v>322</v>
      </c>
      <c r="D1386" t="s">
        <v>323</v>
      </c>
      <c r="E1386" t="s">
        <v>324</v>
      </c>
      <c r="F1386" t="s">
        <v>134</v>
      </c>
      <c r="H1386" t="s">
        <v>184</v>
      </c>
      <c r="I1386" t="s">
        <v>147</v>
      </c>
      <c r="J1386" t="s">
        <v>258</v>
      </c>
      <c r="K1386" t="s">
        <v>419</v>
      </c>
      <c r="L1386" t="s">
        <v>420</v>
      </c>
      <c r="N1386" t="s">
        <v>421</v>
      </c>
      <c r="O1386" t="s">
        <v>134</v>
      </c>
      <c r="Q1386" t="s">
        <v>236</v>
      </c>
      <c r="R1386" t="s">
        <v>185</v>
      </c>
      <c r="S1386" t="s">
        <v>128</v>
      </c>
      <c r="T1386" t="s">
        <v>165</v>
      </c>
      <c r="U1386" t="s">
        <v>151</v>
      </c>
      <c r="V1386" t="s">
        <v>75</v>
      </c>
      <c r="W1386" s="58">
        <v>43314</v>
      </c>
      <c r="X1386" s="59">
        <v>0.41666666666666669</v>
      </c>
      <c r="Y1386" s="59">
        <v>0.45833333333333331</v>
      </c>
      <c r="Z1386" s="59">
        <v>4.1666666666666664E-2</v>
      </c>
      <c r="AA1386">
        <v>0</v>
      </c>
      <c r="AB1386">
        <v>2.2181999999999999</v>
      </c>
      <c r="AC1386">
        <v>20</v>
      </c>
      <c r="AD1386">
        <v>9</v>
      </c>
      <c r="AE1386" s="59">
        <v>0.41666666666666669</v>
      </c>
      <c r="AF1386" s="59">
        <v>0.45763888888888887</v>
      </c>
    </row>
    <row r="1387" spans="1:32" x14ac:dyDescent="0.25">
      <c r="A1387" t="s">
        <v>258</v>
      </c>
      <c r="B1387" t="s">
        <v>284</v>
      </c>
      <c r="C1387" t="s">
        <v>285</v>
      </c>
      <c r="E1387" t="s">
        <v>286</v>
      </c>
      <c r="F1387" t="s">
        <v>134</v>
      </c>
      <c r="H1387" t="s">
        <v>149</v>
      </c>
      <c r="I1387" t="s">
        <v>127</v>
      </c>
      <c r="J1387" t="s">
        <v>258</v>
      </c>
      <c r="K1387" t="s">
        <v>419</v>
      </c>
      <c r="L1387" t="s">
        <v>420</v>
      </c>
      <c r="N1387" t="s">
        <v>421</v>
      </c>
      <c r="O1387" t="s">
        <v>134</v>
      </c>
      <c r="Q1387" t="s">
        <v>236</v>
      </c>
      <c r="R1387" t="s">
        <v>150</v>
      </c>
      <c r="S1387" t="s">
        <v>128</v>
      </c>
      <c r="T1387" t="s">
        <v>165</v>
      </c>
      <c r="U1387" t="s">
        <v>151</v>
      </c>
      <c r="V1387" t="s">
        <v>76</v>
      </c>
      <c r="W1387" s="58">
        <v>43315</v>
      </c>
      <c r="X1387" s="59">
        <v>0.33333333333333331</v>
      </c>
      <c r="Y1387" s="59">
        <v>0.39583333333333331</v>
      </c>
      <c r="Z1387" s="59">
        <v>6.25E-2</v>
      </c>
      <c r="AA1387">
        <v>0</v>
      </c>
      <c r="AC1387">
        <v>30</v>
      </c>
      <c r="AD1387">
        <v>13.5</v>
      </c>
      <c r="AE1387" s="59">
        <v>0.33333333333333331</v>
      </c>
      <c r="AF1387" s="59">
        <v>0.39513888888888887</v>
      </c>
    </row>
    <row r="1388" spans="1:32" x14ac:dyDescent="0.25">
      <c r="A1388" t="s">
        <v>258</v>
      </c>
      <c r="B1388" t="s">
        <v>287</v>
      </c>
      <c r="C1388" t="s">
        <v>288</v>
      </c>
      <c r="E1388" t="s">
        <v>289</v>
      </c>
      <c r="F1388" t="s">
        <v>134</v>
      </c>
      <c r="H1388" t="s">
        <v>152</v>
      </c>
      <c r="I1388" t="s">
        <v>127</v>
      </c>
      <c r="J1388" t="s">
        <v>258</v>
      </c>
      <c r="K1388" t="s">
        <v>419</v>
      </c>
      <c r="L1388" t="s">
        <v>420</v>
      </c>
      <c r="N1388" t="s">
        <v>421</v>
      </c>
      <c r="O1388" t="s">
        <v>134</v>
      </c>
      <c r="Q1388" t="s">
        <v>236</v>
      </c>
      <c r="R1388" t="s">
        <v>153</v>
      </c>
      <c r="S1388" t="s">
        <v>128</v>
      </c>
      <c r="T1388" t="s">
        <v>165</v>
      </c>
      <c r="U1388" t="s">
        <v>151</v>
      </c>
      <c r="V1388" t="s">
        <v>76</v>
      </c>
      <c r="W1388" s="58">
        <v>43315</v>
      </c>
      <c r="X1388" s="59">
        <v>0.39583333333333331</v>
      </c>
      <c r="Y1388" s="59">
        <v>0.45833333333333331</v>
      </c>
      <c r="Z1388" s="59">
        <v>6.25E-2</v>
      </c>
      <c r="AA1388">
        <v>0</v>
      </c>
      <c r="AB1388">
        <v>0.27279999999999999</v>
      </c>
      <c r="AC1388">
        <v>30</v>
      </c>
      <c r="AD1388">
        <v>13.5</v>
      </c>
      <c r="AE1388" s="59">
        <v>0.39583333333333331</v>
      </c>
      <c r="AF1388" s="59">
        <v>0.45763888888888887</v>
      </c>
    </row>
    <row r="1389" spans="1:32" x14ac:dyDescent="0.25">
      <c r="B1389" t="s">
        <v>331</v>
      </c>
      <c r="C1389" t="s">
        <v>332</v>
      </c>
      <c r="E1389" t="s">
        <v>333</v>
      </c>
      <c r="F1389" t="s">
        <v>134</v>
      </c>
      <c r="G1389" t="s">
        <v>218</v>
      </c>
      <c r="H1389" t="s">
        <v>177</v>
      </c>
      <c r="I1389" t="s">
        <v>158</v>
      </c>
      <c r="J1389" t="s">
        <v>258</v>
      </c>
      <c r="K1389" t="s">
        <v>419</v>
      </c>
      <c r="L1389" t="s">
        <v>420</v>
      </c>
      <c r="N1389" t="s">
        <v>421</v>
      </c>
      <c r="O1389" t="s">
        <v>134</v>
      </c>
      <c r="Q1389" t="s">
        <v>236</v>
      </c>
      <c r="R1389" t="s">
        <v>179</v>
      </c>
      <c r="S1389" t="s">
        <v>128</v>
      </c>
      <c r="T1389" t="s">
        <v>165</v>
      </c>
      <c r="U1389" t="s">
        <v>191</v>
      </c>
      <c r="V1389" t="s">
        <v>77</v>
      </c>
      <c r="W1389" s="58">
        <v>43323</v>
      </c>
      <c r="X1389" s="59">
        <v>0.29166666666666669</v>
      </c>
      <c r="Y1389" s="59">
        <v>0.41666666666666669</v>
      </c>
      <c r="Z1389" s="59">
        <v>0.125</v>
      </c>
      <c r="AA1389">
        <v>0</v>
      </c>
      <c r="AC1389">
        <v>0</v>
      </c>
      <c r="AD1389">
        <v>30</v>
      </c>
    </row>
    <row r="1390" spans="1:32" x14ac:dyDescent="0.25">
      <c r="B1390" t="s">
        <v>331</v>
      </c>
      <c r="C1390" t="s">
        <v>332</v>
      </c>
      <c r="E1390" t="s">
        <v>333</v>
      </c>
      <c r="F1390" t="s">
        <v>134</v>
      </c>
      <c r="G1390" t="s">
        <v>218</v>
      </c>
      <c r="H1390" t="s">
        <v>177</v>
      </c>
      <c r="I1390" t="s">
        <v>158</v>
      </c>
      <c r="J1390" t="s">
        <v>258</v>
      </c>
      <c r="K1390" t="s">
        <v>419</v>
      </c>
      <c r="L1390" t="s">
        <v>420</v>
      </c>
      <c r="N1390" t="s">
        <v>421</v>
      </c>
      <c r="O1390" t="s">
        <v>134</v>
      </c>
      <c r="Q1390" t="s">
        <v>236</v>
      </c>
      <c r="R1390" t="s">
        <v>179</v>
      </c>
      <c r="S1390" t="s">
        <v>128</v>
      </c>
      <c r="T1390" t="s">
        <v>165</v>
      </c>
      <c r="U1390" t="s">
        <v>191</v>
      </c>
      <c r="V1390" t="s">
        <v>77</v>
      </c>
      <c r="W1390" s="58">
        <v>43323</v>
      </c>
      <c r="X1390" s="59">
        <v>0.70833333333333337</v>
      </c>
      <c r="Y1390" s="59">
        <v>0.83333333333333337</v>
      </c>
      <c r="Z1390" s="59">
        <v>0.125</v>
      </c>
      <c r="AA1390">
        <v>0</v>
      </c>
      <c r="AC1390">
        <v>0</v>
      </c>
      <c r="AD1390">
        <v>30</v>
      </c>
    </row>
    <row r="1391" spans="1:32" x14ac:dyDescent="0.25">
      <c r="B1391" t="s">
        <v>331</v>
      </c>
      <c r="C1391" t="s">
        <v>332</v>
      </c>
      <c r="E1391" t="s">
        <v>333</v>
      </c>
      <c r="F1391" t="s">
        <v>134</v>
      </c>
      <c r="G1391" t="s">
        <v>218</v>
      </c>
      <c r="H1391" t="s">
        <v>177</v>
      </c>
      <c r="I1391" t="s">
        <v>158</v>
      </c>
      <c r="J1391" t="s">
        <v>258</v>
      </c>
      <c r="K1391" t="s">
        <v>419</v>
      </c>
      <c r="L1391" t="s">
        <v>420</v>
      </c>
      <c r="N1391" t="s">
        <v>421</v>
      </c>
      <c r="O1391" t="s">
        <v>134</v>
      </c>
      <c r="Q1391" t="s">
        <v>236</v>
      </c>
      <c r="R1391" t="s">
        <v>179</v>
      </c>
      <c r="S1391" t="s">
        <v>128</v>
      </c>
      <c r="T1391" t="s">
        <v>165</v>
      </c>
      <c r="U1391" t="s">
        <v>191</v>
      </c>
      <c r="V1391" t="s">
        <v>71</v>
      </c>
      <c r="W1391" s="58">
        <v>43324</v>
      </c>
      <c r="X1391" s="59">
        <v>0.29166666666666669</v>
      </c>
      <c r="Y1391" s="59">
        <v>0.41666666666666669</v>
      </c>
      <c r="Z1391" s="59">
        <v>0.125</v>
      </c>
      <c r="AA1391">
        <v>0</v>
      </c>
      <c r="AC1391">
        <v>0</v>
      </c>
      <c r="AD1391">
        <v>30</v>
      </c>
    </row>
    <row r="1392" spans="1:32" x14ac:dyDescent="0.25">
      <c r="B1392" t="s">
        <v>331</v>
      </c>
      <c r="C1392" t="s">
        <v>332</v>
      </c>
      <c r="E1392" t="s">
        <v>333</v>
      </c>
      <c r="F1392" t="s">
        <v>134</v>
      </c>
      <c r="G1392" t="s">
        <v>218</v>
      </c>
      <c r="H1392" t="s">
        <v>177</v>
      </c>
      <c r="I1392" t="s">
        <v>158</v>
      </c>
      <c r="J1392" t="s">
        <v>258</v>
      </c>
      <c r="K1392" t="s">
        <v>419</v>
      </c>
      <c r="L1392" t="s">
        <v>420</v>
      </c>
      <c r="N1392" t="s">
        <v>421</v>
      </c>
      <c r="O1392" t="s">
        <v>134</v>
      </c>
      <c r="Q1392" t="s">
        <v>236</v>
      </c>
      <c r="R1392" t="s">
        <v>179</v>
      </c>
      <c r="S1392" t="s">
        <v>128</v>
      </c>
      <c r="T1392" t="s">
        <v>165</v>
      </c>
      <c r="U1392" t="s">
        <v>191</v>
      </c>
      <c r="V1392" t="s">
        <v>71</v>
      </c>
      <c r="W1392" s="58">
        <v>43324</v>
      </c>
      <c r="X1392" s="59">
        <v>0.70833333333333337</v>
      </c>
      <c r="Y1392" s="59">
        <v>0.83333333333333337</v>
      </c>
      <c r="Z1392" s="59">
        <v>0.125</v>
      </c>
      <c r="AA1392">
        <v>0</v>
      </c>
      <c r="AC1392">
        <v>0</v>
      </c>
      <c r="AD1392">
        <v>30</v>
      </c>
    </row>
    <row r="1393" spans="1:32" x14ac:dyDescent="0.25">
      <c r="A1393" t="s">
        <v>274</v>
      </c>
      <c r="B1393" t="s">
        <v>321</v>
      </c>
      <c r="C1393" t="s">
        <v>322</v>
      </c>
      <c r="D1393" t="s">
        <v>323</v>
      </c>
      <c r="E1393" t="s">
        <v>324</v>
      </c>
      <c r="F1393" t="s">
        <v>134</v>
      </c>
      <c r="H1393" t="s">
        <v>184</v>
      </c>
      <c r="I1393" t="s">
        <v>147</v>
      </c>
      <c r="J1393" t="s">
        <v>258</v>
      </c>
      <c r="K1393" t="s">
        <v>419</v>
      </c>
      <c r="L1393" t="s">
        <v>420</v>
      </c>
      <c r="N1393" t="s">
        <v>421</v>
      </c>
      <c r="O1393" t="s">
        <v>134</v>
      </c>
      <c r="Q1393" t="s">
        <v>236</v>
      </c>
      <c r="R1393" t="s">
        <v>185</v>
      </c>
      <c r="S1393" t="s">
        <v>128</v>
      </c>
      <c r="T1393" t="s">
        <v>165</v>
      </c>
      <c r="U1393" t="s">
        <v>151</v>
      </c>
      <c r="V1393" t="s">
        <v>71</v>
      </c>
      <c r="W1393" s="58">
        <v>43324</v>
      </c>
      <c r="X1393" s="59">
        <v>0.85</v>
      </c>
      <c r="Y1393" s="59">
        <v>0.88124999999999998</v>
      </c>
      <c r="Z1393" s="59">
        <v>3.125E-2</v>
      </c>
      <c r="AA1393">
        <v>0</v>
      </c>
      <c r="AC1393">
        <v>15</v>
      </c>
      <c r="AD1393">
        <v>7.5</v>
      </c>
      <c r="AE1393" s="59">
        <v>0.85</v>
      </c>
      <c r="AF1393" s="59">
        <v>0.88055555555555554</v>
      </c>
    </row>
    <row r="1394" spans="1:32" x14ac:dyDescent="0.25">
      <c r="A1394" t="s">
        <v>258</v>
      </c>
      <c r="B1394" t="s">
        <v>314</v>
      </c>
      <c r="C1394" t="s">
        <v>315</v>
      </c>
      <c r="D1394">
        <v>72</v>
      </c>
      <c r="E1394" t="s">
        <v>316</v>
      </c>
      <c r="F1394" t="s">
        <v>317</v>
      </c>
      <c r="G1394" t="s">
        <v>218</v>
      </c>
      <c r="H1394" t="s">
        <v>168</v>
      </c>
      <c r="I1394" t="s">
        <v>169</v>
      </c>
      <c r="J1394" t="s">
        <v>258</v>
      </c>
      <c r="K1394" t="s">
        <v>419</v>
      </c>
      <c r="L1394" t="s">
        <v>420</v>
      </c>
      <c r="N1394" t="s">
        <v>421</v>
      </c>
      <c r="O1394" t="s">
        <v>134</v>
      </c>
      <c r="Q1394" t="s">
        <v>236</v>
      </c>
      <c r="R1394" t="s">
        <v>170</v>
      </c>
      <c r="S1394" t="s">
        <v>128</v>
      </c>
      <c r="T1394" t="s">
        <v>165</v>
      </c>
      <c r="U1394" t="s">
        <v>129</v>
      </c>
      <c r="V1394" t="s">
        <v>72</v>
      </c>
      <c r="W1394" s="58">
        <v>43325</v>
      </c>
      <c r="X1394" s="59">
        <v>0.33333333333333331</v>
      </c>
      <c r="Y1394" s="59">
        <v>0.35416666666666669</v>
      </c>
      <c r="Z1394" s="59">
        <v>2.0833333333333332E-2</v>
      </c>
      <c r="AA1394">
        <v>0</v>
      </c>
      <c r="AC1394">
        <v>11.5</v>
      </c>
      <c r="AD1394">
        <v>4.5</v>
      </c>
      <c r="AE1394" s="59">
        <v>0.33333333333333331</v>
      </c>
      <c r="AF1394" s="59">
        <v>0.35347222222222219</v>
      </c>
    </row>
    <row r="1395" spans="1:32" x14ac:dyDescent="0.25">
      <c r="A1395" t="s">
        <v>258</v>
      </c>
      <c r="B1395" t="s">
        <v>325</v>
      </c>
      <c r="C1395" t="s">
        <v>326</v>
      </c>
      <c r="E1395" t="s">
        <v>327</v>
      </c>
      <c r="F1395" t="s">
        <v>134</v>
      </c>
      <c r="H1395" t="s">
        <v>182</v>
      </c>
      <c r="I1395" t="s">
        <v>147</v>
      </c>
      <c r="J1395" t="s">
        <v>258</v>
      </c>
      <c r="K1395" t="s">
        <v>419</v>
      </c>
      <c r="L1395" t="s">
        <v>420</v>
      </c>
      <c r="N1395" t="s">
        <v>421</v>
      </c>
      <c r="O1395" t="s">
        <v>134</v>
      </c>
      <c r="Q1395" t="s">
        <v>236</v>
      </c>
      <c r="R1395" t="s">
        <v>183</v>
      </c>
      <c r="S1395" t="s">
        <v>128</v>
      </c>
      <c r="T1395" t="s">
        <v>165</v>
      </c>
      <c r="U1395" t="s">
        <v>129</v>
      </c>
      <c r="V1395" t="s">
        <v>72</v>
      </c>
      <c r="W1395" s="58">
        <v>43325</v>
      </c>
      <c r="X1395" s="59">
        <v>0.36458333333333331</v>
      </c>
      <c r="Y1395" s="59">
        <v>0.40625</v>
      </c>
      <c r="Z1395" s="59">
        <v>4.1666666666666664E-2</v>
      </c>
      <c r="AA1395">
        <v>0</v>
      </c>
      <c r="AB1395">
        <v>3.7126000000000001</v>
      </c>
      <c r="AC1395">
        <v>23</v>
      </c>
      <c r="AD1395">
        <v>9</v>
      </c>
      <c r="AE1395" s="59">
        <v>0.36458333333333331</v>
      </c>
      <c r="AF1395" s="59">
        <v>0.4055555555555555</v>
      </c>
    </row>
    <row r="1396" spans="1:32" x14ac:dyDescent="0.25">
      <c r="A1396" t="s">
        <v>274</v>
      </c>
      <c r="B1396" t="s">
        <v>321</v>
      </c>
      <c r="C1396" t="s">
        <v>322</v>
      </c>
      <c r="D1396" t="s">
        <v>323</v>
      </c>
      <c r="E1396" t="s">
        <v>324</v>
      </c>
      <c r="F1396" t="s">
        <v>134</v>
      </c>
      <c r="H1396" t="s">
        <v>184</v>
      </c>
      <c r="I1396" t="s">
        <v>147</v>
      </c>
      <c r="J1396" t="s">
        <v>258</v>
      </c>
      <c r="K1396" t="s">
        <v>419</v>
      </c>
      <c r="L1396" t="s">
        <v>420</v>
      </c>
      <c r="N1396" t="s">
        <v>421</v>
      </c>
      <c r="O1396" t="s">
        <v>134</v>
      </c>
      <c r="Q1396" t="s">
        <v>236</v>
      </c>
      <c r="R1396" t="s">
        <v>185</v>
      </c>
      <c r="S1396" t="s">
        <v>128</v>
      </c>
      <c r="T1396" t="s">
        <v>165</v>
      </c>
      <c r="U1396" t="s">
        <v>151</v>
      </c>
      <c r="V1396" t="s">
        <v>72</v>
      </c>
      <c r="W1396" s="58">
        <v>43325</v>
      </c>
      <c r="X1396" s="59">
        <v>0.41666666666666669</v>
      </c>
      <c r="Y1396" s="59">
        <v>0.45833333333333331</v>
      </c>
      <c r="Z1396" s="59">
        <v>4.1666666666666664E-2</v>
      </c>
      <c r="AA1396">
        <v>0</v>
      </c>
      <c r="AB1396">
        <v>2.2181999999999999</v>
      </c>
      <c r="AC1396">
        <v>20</v>
      </c>
      <c r="AD1396">
        <v>9</v>
      </c>
      <c r="AE1396" s="59">
        <v>0.41666666666666669</v>
      </c>
      <c r="AF1396" s="59">
        <v>0.45763888888888887</v>
      </c>
    </row>
    <row r="1397" spans="1:32" x14ac:dyDescent="0.25">
      <c r="A1397" t="s">
        <v>258</v>
      </c>
      <c r="B1397" t="s">
        <v>314</v>
      </c>
      <c r="C1397" t="s">
        <v>315</v>
      </c>
      <c r="D1397">
        <v>72</v>
      </c>
      <c r="E1397" t="s">
        <v>316</v>
      </c>
      <c r="F1397" t="s">
        <v>317</v>
      </c>
      <c r="G1397" t="s">
        <v>218</v>
      </c>
      <c r="H1397" t="s">
        <v>168</v>
      </c>
      <c r="I1397" t="s">
        <v>169</v>
      </c>
      <c r="J1397" t="s">
        <v>258</v>
      </c>
      <c r="K1397" t="s">
        <v>419</v>
      </c>
      <c r="L1397" t="s">
        <v>420</v>
      </c>
      <c r="N1397" t="s">
        <v>421</v>
      </c>
      <c r="O1397" t="s">
        <v>134</v>
      </c>
      <c r="Q1397" t="s">
        <v>236</v>
      </c>
      <c r="R1397" t="s">
        <v>170</v>
      </c>
      <c r="S1397" t="s">
        <v>128</v>
      </c>
      <c r="T1397" t="s">
        <v>165</v>
      </c>
      <c r="U1397" t="s">
        <v>129</v>
      </c>
      <c r="V1397" t="s">
        <v>73</v>
      </c>
      <c r="W1397" s="58">
        <v>43326</v>
      </c>
      <c r="X1397" s="59">
        <v>0.33333333333333331</v>
      </c>
      <c r="Y1397" s="59">
        <v>0.35416666666666669</v>
      </c>
      <c r="Z1397" s="59">
        <v>2.0833333333333332E-2</v>
      </c>
      <c r="AA1397">
        <v>0</v>
      </c>
      <c r="AC1397">
        <v>11.5</v>
      </c>
      <c r="AD1397">
        <v>4.5</v>
      </c>
      <c r="AE1397" s="59">
        <v>0.33333333333333331</v>
      </c>
      <c r="AF1397" s="59">
        <v>0.35347222222222219</v>
      </c>
    </row>
    <row r="1398" spans="1:32" x14ac:dyDescent="0.25">
      <c r="A1398" t="s">
        <v>258</v>
      </c>
      <c r="B1398" t="s">
        <v>325</v>
      </c>
      <c r="C1398" t="s">
        <v>326</v>
      </c>
      <c r="E1398" t="s">
        <v>327</v>
      </c>
      <c r="F1398" t="s">
        <v>134</v>
      </c>
      <c r="H1398" t="s">
        <v>182</v>
      </c>
      <c r="I1398" t="s">
        <v>147</v>
      </c>
      <c r="J1398" t="s">
        <v>258</v>
      </c>
      <c r="K1398" t="s">
        <v>419</v>
      </c>
      <c r="L1398" t="s">
        <v>420</v>
      </c>
      <c r="N1398" t="s">
        <v>421</v>
      </c>
      <c r="O1398" t="s">
        <v>134</v>
      </c>
      <c r="Q1398" t="s">
        <v>236</v>
      </c>
      <c r="R1398" t="s">
        <v>183</v>
      </c>
      <c r="S1398" t="s">
        <v>128</v>
      </c>
      <c r="T1398" t="s">
        <v>165</v>
      </c>
      <c r="U1398" t="s">
        <v>129</v>
      </c>
      <c r="V1398" t="s">
        <v>73</v>
      </c>
      <c r="W1398" s="58">
        <v>43326</v>
      </c>
      <c r="X1398" s="59">
        <v>0.36458333333333331</v>
      </c>
      <c r="Y1398" s="59">
        <v>0.40625</v>
      </c>
      <c r="Z1398" s="59">
        <v>4.1666666666666664E-2</v>
      </c>
      <c r="AA1398">
        <v>0</v>
      </c>
      <c r="AB1398">
        <v>3.7126000000000001</v>
      </c>
      <c r="AC1398">
        <v>23</v>
      </c>
      <c r="AD1398">
        <v>9</v>
      </c>
      <c r="AE1398" s="59">
        <v>0.36458333333333331</v>
      </c>
      <c r="AF1398" s="59">
        <v>0.4055555555555555</v>
      </c>
    </row>
    <row r="1399" spans="1:32" x14ac:dyDescent="0.25">
      <c r="A1399" t="s">
        <v>274</v>
      </c>
      <c r="B1399" t="s">
        <v>321</v>
      </c>
      <c r="C1399" t="s">
        <v>322</v>
      </c>
      <c r="D1399" t="s">
        <v>323</v>
      </c>
      <c r="E1399" t="s">
        <v>324</v>
      </c>
      <c r="F1399" t="s">
        <v>134</v>
      </c>
      <c r="H1399" t="s">
        <v>184</v>
      </c>
      <c r="I1399" t="s">
        <v>147</v>
      </c>
      <c r="J1399" t="s">
        <v>258</v>
      </c>
      <c r="K1399" t="s">
        <v>419</v>
      </c>
      <c r="L1399" t="s">
        <v>420</v>
      </c>
      <c r="N1399" t="s">
        <v>421</v>
      </c>
      <c r="O1399" t="s">
        <v>134</v>
      </c>
      <c r="Q1399" t="s">
        <v>236</v>
      </c>
      <c r="R1399" t="s">
        <v>185</v>
      </c>
      <c r="S1399" t="s">
        <v>128</v>
      </c>
      <c r="T1399" t="s">
        <v>165</v>
      </c>
      <c r="U1399" t="s">
        <v>151</v>
      </c>
      <c r="V1399" t="s">
        <v>73</v>
      </c>
      <c r="W1399" s="58">
        <v>43326</v>
      </c>
      <c r="X1399" s="59">
        <v>0.41666666666666669</v>
      </c>
      <c r="Y1399" s="59">
        <v>0.45833333333333331</v>
      </c>
      <c r="Z1399" s="59">
        <v>4.1666666666666664E-2</v>
      </c>
      <c r="AA1399">
        <v>0</v>
      </c>
      <c r="AB1399">
        <v>2.2181999999999999</v>
      </c>
      <c r="AC1399">
        <v>20</v>
      </c>
      <c r="AD1399">
        <v>9</v>
      </c>
      <c r="AE1399" s="59">
        <v>0.41666666666666669</v>
      </c>
      <c r="AF1399" s="59">
        <v>0.45763888888888887</v>
      </c>
    </row>
    <row r="1400" spans="1:32" x14ac:dyDescent="0.25">
      <c r="A1400" t="s">
        <v>258</v>
      </c>
      <c r="B1400" t="s">
        <v>314</v>
      </c>
      <c r="C1400" t="s">
        <v>315</v>
      </c>
      <c r="D1400">
        <v>72</v>
      </c>
      <c r="E1400" t="s">
        <v>316</v>
      </c>
      <c r="F1400" t="s">
        <v>317</v>
      </c>
      <c r="G1400" t="s">
        <v>218</v>
      </c>
      <c r="H1400" t="s">
        <v>168</v>
      </c>
      <c r="I1400" t="s">
        <v>169</v>
      </c>
      <c r="J1400" t="s">
        <v>258</v>
      </c>
      <c r="K1400" t="s">
        <v>419</v>
      </c>
      <c r="L1400" t="s">
        <v>420</v>
      </c>
      <c r="N1400" t="s">
        <v>421</v>
      </c>
      <c r="O1400" t="s">
        <v>134</v>
      </c>
      <c r="Q1400" t="s">
        <v>236</v>
      </c>
      <c r="R1400" t="s">
        <v>170</v>
      </c>
      <c r="S1400" t="s">
        <v>128</v>
      </c>
      <c r="T1400" t="s">
        <v>165</v>
      </c>
      <c r="U1400" t="s">
        <v>129</v>
      </c>
      <c r="V1400" t="s">
        <v>75</v>
      </c>
      <c r="W1400" s="58">
        <v>43328</v>
      </c>
      <c r="X1400" s="59">
        <v>0.33333333333333331</v>
      </c>
      <c r="Y1400" s="59">
        <v>0.35416666666666669</v>
      </c>
      <c r="Z1400" s="59">
        <v>2.0833333333333332E-2</v>
      </c>
      <c r="AA1400">
        <v>0</v>
      </c>
      <c r="AC1400">
        <v>11.5</v>
      </c>
      <c r="AD1400">
        <v>4.5</v>
      </c>
      <c r="AE1400" s="59">
        <v>0.33333333333333331</v>
      </c>
      <c r="AF1400" s="59">
        <v>0.35347222222222219</v>
      </c>
    </row>
    <row r="1401" spans="1:32" x14ac:dyDescent="0.25">
      <c r="A1401" t="s">
        <v>258</v>
      </c>
      <c r="B1401" t="s">
        <v>325</v>
      </c>
      <c r="C1401" t="s">
        <v>326</v>
      </c>
      <c r="E1401" t="s">
        <v>327</v>
      </c>
      <c r="F1401" t="s">
        <v>134</v>
      </c>
      <c r="H1401" t="s">
        <v>182</v>
      </c>
      <c r="I1401" t="s">
        <v>147</v>
      </c>
      <c r="J1401" t="s">
        <v>258</v>
      </c>
      <c r="K1401" t="s">
        <v>419</v>
      </c>
      <c r="L1401" t="s">
        <v>420</v>
      </c>
      <c r="N1401" t="s">
        <v>421</v>
      </c>
      <c r="O1401" t="s">
        <v>134</v>
      </c>
      <c r="Q1401" t="s">
        <v>236</v>
      </c>
      <c r="R1401" t="s">
        <v>183</v>
      </c>
      <c r="S1401" t="s">
        <v>128</v>
      </c>
      <c r="T1401" t="s">
        <v>165</v>
      </c>
      <c r="U1401" t="s">
        <v>129</v>
      </c>
      <c r="V1401" t="s">
        <v>75</v>
      </c>
      <c r="W1401" s="58">
        <v>43328</v>
      </c>
      <c r="X1401" s="59">
        <v>0.36458333333333331</v>
      </c>
      <c r="Y1401" s="59">
        <v>0.40625</v>
      </c>
      <c r="Z1401" s="59">
        <v>4.1666666666666664E-2</v>
      </c>
      <c r="AA1401">
        <v>0</v>
      </c>
      <c r="AB1401">
        <v>3.7126000000000001</v>
      </c>
      <c r="AC1401">
        <v>23</v>
      </c>
      <c r="AD1401">
        <v>9</v>
      </c>
      <c r="AE1401" s="59">
        <v>0.36458333333333331</v>
      </c>
      <c r="AF1401" s="59">
        <v>0.4055555555555555</v>
      </c>
    </row>
    <row r="1402" spans="1:32" x14ac:dyDescent="0.25">
      <c r="A1402" t="s">
        <v>274</v>
      </c>
      <c r="B1402" t="s">
        <v>321</v>
      </c>
      <c r="C1402" t="s">
        <v>322</v>
      </c>
      <c r="D1402" t="s">
        <v>323</v>
      </c>
      <c r="E1402" t="s">
        <v>324</v>
      </c>
      <c r="F1402" t="s">
        <v>134</v>
      </c>
      <c r="H1402" t="s">
        <v>184</v>
      </c>
      <c r="I1402" t="s">
        <v>147</v>
      </c>
      <c r="J1402" t="s">
        <v>258</v>
      </c>
      <c r="K1402" t="s">
        <v>419</v>
      </c>
      <c r="L1402" t="s">
        <v>420</v>
      </c>
      <c r="N1402" t="s">
        <v>421</v>
      </c>
      <c r="O1402" t="s">
        <v>134</v>
      </c>
      <c r="Q1402" t="s">
        <v>236</v>
      </c>
      <c r="R1402" t="s">
        <v>185</v>
      </c>
      <c r="S1402" t="s">
        <v>128</v>
      </c>
      <c r="T1402" t="s">
        <v>165</v>
      </c>
      <c r="U1402" t="s">
        <v>151</v>
      </c>
      <c r="V1402" t="s">
        <v>75</v>
      </c>
      <c r="W1402" s="58">
        <v>43328</v>
      </c>
      <c r="X1402" s="59">
        <v>0.41666666666666669</v>
      </c>
      <c r="Y1402" s="59">
        <v>0.45833333333333331</v>
      </c>
      <c r="Z1402" s="59">
        <v>4.1666666666666664E-2</v>
      </c>
      <c r="AA1402">
        <v>0</v>
      </c>
      <c r="AB1402">
        <v>2.2181999999999999</v>
      </c>
      <c r="AC1402">
        <v>20</v>
      </c>
      <c r="AD1402">
        <v>9</v>
      </c>
      <c r="AE1402" s="59">
        <v>0.41666666666666669</v>
      </c>
      <c r="AF1402" s="59">
        <v>0.45763888888888887</v>
      </c>
    </row>
    <row r="1403" spans="1:32" x14ac:dyDescent="0.25">
      <c r="A1403" t="s">
        <v>258</v>
      </c>
      <c r="B1403" t="s">
        <v>339</v>
      </c>
      <c r="C1403" t="s">
        <v>340</v>
      </c>
      <c r="D1403" t="s">
        <v>341</v>
      </c>
      <c r="E1403" t="s">
        <v>265</v>
      </c>
      <c r="F1403" t="s">
        <v>134</v>
      </c>
      <c r="H1403" t="s">
        <v>195</v>
      </c>
      <c r="I1403" t="s">
        <v>133</v>
      </c>
      <c r="J1403" t="s">
        <v>258</v>
      </c>
      <c r="K1403" t="s">
        <v>419</v>
      </c>
      <c r="L1403" t="s">
        <v>420</v>
      </c>
      <c r="N1403" t="s">
        <v>421</v>
      </c>
      <c r="O1403" t="s">
        <v>134</v>
      </c>
      <c r="Q1403" t="s">
        <v>236</v>
      </c>
      <c r="R1403" t="s">
        <v>196</v>
      </c>
      <c r="S1403" t="s">
        <v>128</v>
      </c>
      <c r="T1403" t="s">
        <v>165</v>
      </c>
      <c r="U1403" t="s">
        <v>129</v>
      </c>
      <c r="V1403" t="s">
        <v>71</v>
      </c>
      <c r="W1403" s="58">
        <v>43331</v>
      </c>
      <c r="X1403" s="59">
        <v>0.75</v>
      </c>
      <c r="Y1403" s="59">
        <v>0.79166666666666663</v>
      </c>
      <c r="Z1403" s="59">
        <v>4.1666666666666664E-2</v>
      </c>
      <c r="AA1403">
        <v>0</v>
      </c>
      <c r="AC1403">
        <v>23</v>
      </c>
      <c r="AD1403">
        <v>10</v>
      </c>
      <c r="AE1403" s="59">
        <v>0.75</v>
      </c>
      <c r="AF1403" s="59">
        <v>0.7909722222222223</v>
      </c>
    </row>
    <row r="1404" spans="1:32" x14ac:dyDescent="0.25">
      <c r="B1404" t="s">
        <v>331</v>
      </c>
      <c r="C1404" t="s">
        <v>332</v>
      </c>
      <c r="E1404" t="s">
        <v>333</v>
      </c>
      <c r="F1404" t="s">
        <v>134</v>
      </c>
      <c r="G1404" t="s">
        <v>218</v>
      </c>
      <c r="H1404" t="s">
        <v>177</v>
      </c>
      <c r="I1404" t="s">
        <v>158</v>
      </c>
      <c r="J1404" t="s">
        <v>258</v>
      </c>
      <c r="K1404" t="s">
        <v>419</v>
      </c>
      <c r="L1404" t="s">
        <v>420</v>
      </c>
      <c r="N1404" t="s">
        <v>421</v>
      </c>
      <c r="O1404" t="s">
        <v>134</v>
      </c>
      <c r="Q1404" t="s">
        <v>236</v>
      </c>
      <c r="R1404" t="s">
        <v>179</v>
      </c>
      <c r="S1404" t="s">
        <v>128</v>
      </c>
      <c r="T1404" t="s">
        <v>165</v>
      </c>
      <c r="U1404" t="s">
        <v>191</v>
      </c>
      <c r="V1404" t="s">
        <v>72</v>
      </c>
      <c r="W1404" s="58">
        <v>43332</v>
      </c>
      <c r="X1404" s="59">
        <v>0.29166666666666669</v>
      </c>
      <c r="Y1404" s="59">
        <v>0.375</v>
      </c>
      <c r="Z1404" s="59">
        <v>8.3333333333333329E-2</v>
      </c>
      <c r="AA1404">
        <v>0</v>
      </c>
      <c r="AD1404">
        <v>18</v>
      </c>
      <c r="AE1404" s="59">
        <v>0.29166666666666669</v>
      </c>
      <c r="AF1404" s="59">
        <v>0.3743055555555555</v>
      </c>
    </row>
    <row r="1405" spans="1:32" x14ac:dyDescent="0.25">
      <c r="A1405" t="s">
        <v>258</v>
      </c>
      <c r="B1405" t="s">
        <v>270</v>
      </c>
      <c r="C1405" t="s">
        <v>271</v>
      </c>
      <c r="D1405" t="s">
        <v>272</v>
      </c>
      <c r="E1405" t="s">
        <v>273</v>
      </c>
      <c r="F1405" t="s">
        <v>134</v>
      </c>
      <c r="H1405" t="s">
        <v>138</v>
      </c>
      <c r="I1405" t="s">
        <v>139</v>
      </c>
      <c r="J1405" t="s">
        <v>258</v>
      </c>
      <c r="K1405" t="s">
        <v>419</v>
      </c>
      <c r="L1405" t="s">
        <v>420</v>
      </c>
      <c r="N1405" t="s">
        <v>421</v>
      </c>
      <c r="O1405" t="s">
        <v>134</v>
      </c>
      <c r="Q1405" t="s">
        <v>236</v>
      </c>
      <c r="R1405" t="s">
        <v>140</v>
      </c>
      <c r="S1405" t="s">
        <v>128</v>
      </c>
      <c r="T1405" t="s">
        <v>165</v>
      </c>
      <c r="U1405" t="s">
        <v>129</v>
      </c>
      <c r="V1405" t="s">
        <v>73</v>
      </c>
      <c r="W1405" s="58">
        <v>43333</v>
      </c>
      <c r="X1405" s="59">
        <v>0.33333333333333331</v>
      </c>
      <c r="Y1405" s="59">
        <v>0.375</v>
      </c>
      <c r="Z1405" s="59">
        <v>4.1666666666666664E-2</v>
      </c>
      <c r="AA1405">
        <v>0</v>
      </c>
      <c r="AC1405">
        <v>23</v>
      </c>
      <c r="AD1405">
        <v>9</v>
      </c>
      <c r="AE1405" s="59">
        <v>0.33333333333333331</v>
      </c>
      <c r="AF1405" s="59">
        <v>0.3743055555555555</v>
      </c>
    </row>
    <row r="1406" spans="1:32" x14ac:dyDescent="0.25">
      <c r="A1406" t="s">
        <v>266</v>
      </c>
      <c r="B1406" t="s">
        <v>293</v>
      </c>
      <c r="C1406" t="s">
        <v>294</v>
      </c>
      <c r="E1406" t="s">
        <v>295</v>
      </c>
      <c r="F1406" t="s">
        <v>134</v>
      </c>
      <c r="H1406" t="s">
        <v>157</v>
      </c>
      <c r="I1406" t="s">
        <v>158</v>
      </c>
      <c r="J1406" t="s">
        <v>258</v>
      </c>
      <c r="K1406" t="s">
        <v>419</v>
      </c>
      <c r="L1406" t="s">
        <v>420</v>
      </c>
      <c r="N1406" t="s">
        <v>421</v>
      </c>
      <c r="O1406" t="s">
        <v>134</v>
      </c>
      <c r="Q1406" t="s">
        <v>236</v>
      </c>
      <c r="R1406" t="s">
        <v>161</v>
      </c>
      <c r="S1406" t="s">
        <v>128</v>
      </c>
      <c r="T1406" t="s">
        <v>165</v>
      </c>
      <c r="U1406" t="s">
        <v>163</v>
      </c>
      <c r="V1406" t="s">
        <v>73</v>
      </c>
      <c r="W1406" s="58">
        <v>43333</v>
      </c>
      <c r="X1406" s="59">
        <v>0.38541666666666669</v>
      </c>
      <c r="Y1406" s="59">
        <v>0.42708333333333331</v>
      </c>
      <c r="Z1406" s="59">
        <v>4.1666666666666664E-2</v>
      </c>
      <c r="AA1406">
        <v>0</v>
      </c>
      <c r="AB1406">
        <v>4.1420000000000003</v>
      </c>
      <c r="AC1406">
        <v>18</v>
      </c>
      <c r="AD1406">
        <v>9</v>
      </c>
      <c r="AE1406" s="59">
        <v>0.38541666666666669</v>
      </c>
      <c r="AF1406" s="59">
        <v>0.42638888888888887</v>
      </c>
    </row>
    <row r="1407" spans="1:32" x14ac:dyDescent="0.25">
      <c r="B1407" t="s">
        <v>331</v>
      </c>
      <c r="C1407" t="s">
        <v>332</v>
      </c>
      <c r="E1407" t="s">
        <v>333</v>
      </c>
      <c r="F1407" t="s">
        <v>134</v>
      </c>
      <c r="G1407" t="s">
        <v>218</v>
      </c>
      <c r="H1407" t="s">
        <v>177</v>
      </c>
      <c r="I1407" t="s">
        <v>158</v>
      </c>
      <c r="J1407" t="s">
        <v>258</v>
      </c>
      <c r="K1407" t="s">
        <v>419</v>
      </c>
      <c r="L1407" t="s">
        <v>420</v>
      </c>
      <c r="N1407" t="s">
        <v>421</v>
      </c>
      <c r="O1407" t="s">
        <v>134</v>
      </c>
      <c r="Q1407" t="s">
        <v>236</v>
      </c>
      <c r="R1407" t="s">
        <v>179</v>
      </c>
      <c r="S1407" t="s">
        <v>128</v>
      </c>
      <c r="T1407" t="s">
        <v>165</v>
      </c>
      <c r="U1407" t="s">
        <v>129</v>
      </c>
      <c r="V1407" t="s">
        <v>73</v>
      </c>
      <c r="W1407" s="58">
        <v>43333</v>
      </c>
      <c r="X1407" s="59">
        <v>0.45833333333333331</v>
      </c>
      <c r="Y1407" s="59">
        <v>0.54166666666666663</v>
      </c>
      <c r="Z1407" s="59">
        <v>8.3333333333333329E-2</v>
      </c>
      <c r="AA1407">
        <v>0</v>
      </c>
      <c r="AB1407">
        <v>1.5182</v>
      </c>
      <c r="AD1407">
        <v>18</v>
      </c>
    </row>
    <row r="1408" spans="1:32" x14ac:dyDescent="0.25">
      <c r="A1408" t="s">
        <v>258</v>
      </c>
      <c r="B1408" t="s">
        <v>342</v>
      </c>
      <c r="C1408" t="s">
        <v>343</v>
      </c>
      <c r="E1408" t="s">
        <v>344</v>
      </c>
      <c r="F1408" t="s">
        <v>134</v>
      </c>
      <c r="H1408" t="s">
        <v>197</v>
      </c>
      <c r="I1408" t="s">
        <v>198</v>
      </c>
      <c r="J1408" t="s">
        <v>258</v>
      </c>
      <c r="K1408" t="s">
        <v>419</v>
      </c>
      <c r="L1408" t="s">
        <v>420</v>
      </c>
      <c r="N1408" t="s">
        <v>421</v>
      </c>
      <c r="O1408" t="s">
        <v>134</v>
      </c>
      <c r="Q1408" t="s">
        <v>236</v>
      </c>
      <c r="R1408" t="s">
        <v>199</v>
      </c>
      <c r="S1408" t="s">
        <v>128</v>
      </c>
      <c r="T1408" t="s">
        <v>165</v>
      </c>
      <c r="U1408" t="s">
        <v>151</v>
      </c>
      <c r="V1408" t="s">
        <v>74</v>
      </c>
      <c r="W1408" s="58">
        <v>43334</v>
      </c>
      <c r="X1408" s="59">
        <v>0.33333333333333331</v>
      </c>
      <c r="Y1408" s="59">
        <v>0.375</v>
      </c>
      <c r="Z1408" s="59">
        <v>4.1666666666666664E-2</v>
      </c>
      <c r="AA1408">
        <v>0</v>
      </c>
      <c r="AC1408">
        <v>20</v>
      </c>
      <c r="AD1408">
        <v>9</v>
      </c>
      <c r="AE1408" s="59">
        <v>0.33333333333333331</v>
      </c>
      <c r="AF1408" s="59">
        <v>0.3743055555555555</v>
      </c>
    </row>
    <row r="1409" spans="1:32" x14ac:dyDescent="0.25">
      <c r="A1409" t="s">
        <v>258</v>
      </c>
      <c r="B1409" t="s">
        <v>310</v>
      </c>
      <c r="C1409" t="s">
        <v>311</v>
      </c>
      <c r="D1409" t="s">
        <v>312</v>
      </c>
      <c r="E1409" t="s">
        <v>313</v>
      </c>
      <c r="F1409" t="s">
        <v>134</v>
      </c>
      <c r="H1409" t="s">
        <v>175</v>
      </c>
      <c r="I1409" t="s">
        <v>127</v>
      </c>
      <c r="J1409" t="s">
        <v>258</v>
      </c>
      <c r="K1409" t="s">
        <v>419</v>
      </c>
      <c r="L1409" t="s">
        <v>420</v>
      </c>
      <c r="N1409" t="s">
        <v>421</v>
      </c>
      <c r="O1409" t="s">
        <v>134</v>
      </c>
      <c r="Q1409" t="s">
        <v>236</v>
      </c>
      <c r="R1409" t="s">
        <v>176</v>
      </c>
      <c r="S1409" t="s">
        <v>128</v>
      </c>
      <c r="T1409" t="s">
        <v>165</v>
      </c>
      <c r="U1409" t="s">
        <v>151</v>
      </c>
      <c r="V1409" t="s">
        <v>74</v>
      </c>
      <c r="W1409" s="58">
        <v>43334</v>
      </c>
      <c r="X1409" s="59">
        <v>0.3888888888888889</v>
      </c>
      <c r="Y1409" s="59">
        <v>0.43055555555555558</v>
      </c>
      <c r="Z1409" s="59">
        <v>4.1666666666666664E-2</v>
      </c>
      <c r="AA1409">
        <v>0</v>
      </c>
      <c r="AB1409">
        <v>5.3818000000000001</v>
      </c>
      <c r="AC1409">
        <v>20</v>
      </c>
      <c r="AD1409">
        <v>9</v>
      </c>
      <c r="AE1409" s="59">
        <v>0.3888888888888889</v>
      </c>
      <c r="AF1409" s="59">
        <v>0.42986111111111108</v>
      </c>
    </row>
    <row r="1410" spans="1:32" x14ac:dyDescent="0.25">
      <c r="A1410" t="s">
        <v>258</v>
      </c>
      <c r="B1410" t="s">
        <v>314</v>
      </c>
      <c r="C1410" t="s">
        <v>315</v>
      </c>
      <c r="D1410">
        <v>72</v>
      </c>
      <c r="E1410" t="s">
        <v>316</v>
      </c>
      <c r="F1410" t="s">
        <v>317</v>
      </c>
      <c r="G1410" t="s">
        <v>218</v>
      </c>
      <c r="H1410" t="s">
        <v>168</v>
      </c>
      <c r="I1410" t="s">
        <v>169</v>
      </c>
      <c r="J1410" t="s">
        <v>258</v>
      </c>
      <c r="K1410" t="s">
        <v>419</v>
      </c>
      <c r="L1410" t="s">
        <v>420</v>
      </c>
      <c r="N1410" t="s">
        <v>421</v>
      </c>
      <c r="O1410" t="s">
        <v>134</v>
      </c>
      <c r="Q1410" t="s">
        <v>236</v>
      </c>
      <c r="R1410" t="s">
        <v>170</v>
      </c>
      <c r="S1410" t="s">
        <v>128</v>
      </c>
      <c r="T1410" t="s">
        <v>165</v>
      </c>
      <c r="U1410" t="s">
        <v>129</v>
      </c>
      <c r="V1410" t="s">
        <v>77</v>
      </c>
      <c r="W1410" s="58">
        <v>43337</v>
      </c>
      <c r="X1410" s="59">
        <v>0.33333333333333331</v>
      </c>
      <c r="Y1410" s="59">
        <v>0.35416666666666669</v>
      </c>
      <c r="Z1410" s="59">
        <v>2.0833333333333332E-2</v>
      </c>
      <c r="AA1410">
        <v>0</v>
      </c>
      <c r="AC1410">
        <v>11.5</v>
      </c>
      <c r="AD1410">
        <v>5</v>
      </c>
      <c r="AE1410" s="59">
        <v>0.33333333333333331</v>
      </c>
      <c r="AF1410" s="59">
        <v>0.35347222222222219</v>
      </c>
    </row>
    <row r="1411" spans="1:32" x14ac:dyDescent="0.25">
      <c r="B1411" t="s">
        <v>307</v>
      </c>
      <c r="C1411" t="s">
        <v>308</v>
      </c>
      <c r="D1411" t="s">
        <v>309</v>
      </c>
      <c r="E1411" t="s">
        <v>134</v>
      </c>
      <c r="H1411" t="s">
        <v>171</v>
      </c>
      <c r="I1411" t="s">
        <v>169</v>
      </c>
      <c r="J1411" t="s">
        <v>258</v>
      </c>
      <c r="K1411" t="s">
        <v>419</v>
      </c>
      <c r="L1411" t="s">
        <v>420</v>
      </c>
      <c r="N1411" t="s">
        <v>421</v>
      </c>
      <c r="O1411" t="s">
        <v>134</v>
      </c>
      <c r="Q1411" t="s">
        <v>236</v>
      </c>
      <c r="R1411" t="s">
        <v>172</v>
      </c>
      <c r="S1411" t="s">
        <v>128</v>
      </c>
      <c r="T1411" t="s">
        <v>165</v>
      </c>
      <c r="U1411" t="s">
        <v>129</v>
      </c>
      <c r="V1411" t="s">
        <v>77</v>
      </c>
      <c r="W1411" s="58">
        <v>43337</v>
      </c>
      <c r="X1411" s="59">
        <v>0.36180555555555555</v>
      </c>
      <c r="Y1411" s="59">
        <v>0.40347222222222223</v>
      </c>
      <c r="Z1411" s="59">
        <v>4.1666666666666664E-2</v>
      </c>
      <c r="AA1411">
        <v>0</v>
      </c>
      <c r="AB1411">
        <v>0.62839999999999996</v>
      </c>
      <c r="AC1411">
        <v>23</v>
      </c>
      <c r="AD1411">
        <v>10</v>
      </c>
      <c r="AE1411" s="59">
        <v>0.36180555555555555</v>
      </c>
      <c r="AF1411" s="59">
        <v>0.40277777777777773</v>
      </c>
    </row>
    <row r="1412" spans="1:32" x14ac:dyDescent="0.25">
      <c r="A1412" t="s">
        <v>258</v>
      </c>
      <c r="B1412" t="s">
        <v>310</v>
      </c>
      <c r="C1412" t="s">
        <v>311</v>
      </c>
      <c r="D1412" t="s">
        <v>312</v>
      </c>
      <c r="E1412" t="s">
        <v>313</v>
      </c>
      <c r="F1412" t="s">
        <v>134</v>
      </c>
      <c r="H1412" t="s">
        <v>175</v>
      </c>
      <c r="I1412" t="s">
        <v>127</v>
      </c>
      <c r="J1412" t="s">
        <v>258</v>
      </c>
      <c r="K1412" t="s">
        <v>419</v>
      </c>
      <c r="L1412" t="s">
        <v>420</v>
      </c>
      <c r="N1412" t="s">
        <v>421</v>
      </c>
      <c r="O1412" t="s">
        <v>134</v>
      </c>
      <c r="Q1412" t="s">
        <v>236</v>
      </c>
      <c r="R1412" t="s">
        <v>176</v>
      </c>
      <c r="S1412" t="s">
        <v>128</v>
      </c>
      <c r="T1412" t="s">
        <v>165</v>
      </c>
      <c r="U1412" t="s">
        <v>151</v>
      </c>
      <c r="V1412" t="s">
        <v>77</v>
      </c>
      <c r="W1412" s="58">
        <v>43337</v>
      </c>
      <c r="X1412" s="59">
        <v>0.40625</v>
      </c>
      <c r="Y1412" s="59">
        <v>0.44791666666666669</v>
      </c>
      <c r="Z1412" s="59">
        <v>4.1666666666666664E-2</v>
      </c>
      <c r="AA1412">
        <v>0</v>
      </c>
      <c r="AB1412">
        <v>1.3216000000000001</v>
      </c>
      <c r="AC1412">
        <v>20</v>
      </c>
      <c r="AD1412">
        <v>10</v>
      </c>
      <c r="AE1412" s="59">
        <v>0.40625</v>
      </c>
      <c r="AF1412" s="59">
        <v>0.44722222222222219</v>
      </c>
    </row>
    <row r="1413" spans="1:32" x14ac:dyDescent="0.25">
      <c r="A1413" t="s">
        <v>258</v>
      </c>
      <c r="B1413" t="s">
        <v>299</v>
      </c>
      <c r="C1413" t="s">
        <v>300</v>
      </c>
      <c r="D1413" t="s">
        <v>301</v>
      </c>
      <c r="E1413" t="s">
        <v>302</v>
      </c>
      <c r="F1413" t="s">
        <v>303</v>
      </c>
      <c r="H1413" t="s">
        <v>166</v>
      </c>
      <c r="I1413" t="s">
        <v>142</v>
      </c>
      <c r="J1413" t="s">
        <v>258</v>
      </c>
      <c r="K1413" t="s">
        <v>419</v>
      </c>
      <c r="L1413" t="s">
        <v>420</v>
      </c>
      <c r="N1413" t="s">
        <v>421</v>
      </c>
      <c r="O1413" t="s">
        <v>134</v>
      </c>
      <c r="Q1413" t="s">
        <v>236</v>
      </c>
      <c r="R1413" t="s">
        <v>167</v>
      </c>
      <c r="S1413" t="s">
        <v>128</v>
      </c>
      <c r="T1413" t="s">
        <v>165</v>
      </c>
      <c r="U1413" t="s">
        <v>129</v>
      </c>
      <c r="V1413" t="s">
        <v>72</v>
      </c>
      <c r="W1413" s="58">
        <v>43339</v>
      </c>
      <c r="X1413" s="59">
        <v>0.33333333333333331</v>
      </c>
      <c r="Y1413" s="59">
        <v>0.375</v>
      </c>
      <c r="Z1413" s="59">
        <v>4.1666666666666664E-2</v>
      </c>
      <c r="AA1413">
        <v>0</v>
      </c>
      <c r="AC1413">
        <v>23</v>
      </c>
      <c r="AD1413">
        <v>9</v>
      </c>
      <c r="AE1413" s="59">
        <v>0.33333333333333331</v>
      </c>
      <c r="AF1413" s="59">
        <v>0.3743055555555555</v>
      </c>
    </row>
    <row r="1414" spans="1:32" x14ac:dyDescent="0.25">
      <c r="A1414" t="s">
        <v>274</v>
      </c>
      <c r="B1414" t="s">
        <v>275</v>
      </c>
      <c r="C1414" t="s">
        <v>276</v>
      </c>
      <c r="E1414" t="s">
        <v>277</v>
      </c>
      <c r="F1414" t="s">
        <v>134</v>
      </c>
      <c r="H1414" t="s">
        <v>141</v>
      </c>
      <c r="I1414" t="s">
        <v>142</v>
      </c>
      <c r="J1414" t="s">
        <v>258</v>
      </c>
      <c r="K1414" t="s">
        <v>419</v>
      </c>
      <c r="L1414" t="s">
        <v>420</v>
      </c>
      <c r="N1414" t="s">
        <v>421</v>
      </c>
      <c r="O1414" t="s">
        <v>134</v>
      </c>
      <c r="Q1414" t="s">
        <v>236</v>
      </c>
      <c r="R1414" t="s">
        <v>143</v>
      </c>
      <c r="S1414" t="s">
        <v>128</v>
      </c>
      <c r="T1414" t="s">
        <v>165</v>
      </c>
      <c r="U1414" t="s">
        <v>129</v>
      </c>
      <c r="V1414" t="s">
        <v>72</v>
      </c>
      <c r="W1414" s="58">
        <v>43339</v>
      </c>
      <c r="X1414" s="59">
        <v>0.3888888888888889</v>
      </c>
      <c r="Y1414" s="59">
        <v>0.43055555555555558</v>
      </c>
      <c r="Z1414" s="59">
        <v>4.1666666666666664E-2</v>
      </c>
      <c r="AA1414">
        <v>0</v>
      </c>
      <c r="AB1414">
        <v>1.1704000000000001</v>
      </c>
      <c r="AC1414">
        <v>23</v>
      </c>
      <c r="AD1414">
        <v>9</v>
      </c>
      <c r="AE1414" s="59">
        <v>0.3888888888888889</v>
      </c>
      <c r="AF1414" s="59">
        <v>0.42986111111111108</v>
      </c>
    </row>
    <row r="1415" spans="1:32" x14ac:dyDescent="0.25">
      <c r="A1415" t="s">
        <v>258</v>
      </c>
      <c r="B1415" t="s">
        <v>284</v>
      </c>
      <c r="C1415" t="s">
        <v>285</v>
      </c>
      <c r="E1415" t="s">
        <v>286</v>
      </c>
      <c r="F1415" t="s">
        <v>134</v>
      </c>
      <c r="H1415" t="s">
        <v>149</v>
      </c>
      <c r="I1415" t="s">
        <v>127</v>
      </c>
      <c r="J1415" t="s">
        <v>258</v>
      </c>
      <c r="K1415" t="s">
        <v>419</v>
      </c>
      <c r="L1415" t="s">
        <v>420</v>
      </c>
      <c r="N1415" t="s">
        <v>421</v>
      </c>
      <c r="O1415" t="s">
        <v>134</v>
      </c>
      <c r="Q1415" t="s">
        <v>236</v>
      </c>
      <c r="R1415" t="s">
        <v>150</v>
      </c>
      <c r="S1415" t="s">
        <v>128</v>
      </c>
      <c r="T1415" t="s">
        <v>165</v>
      </c>
      <c r="U1415" t="s">
        <v>151</v>
      </c>
      <c r="V1415" t="s">
        <v>74</v>
      </c>
      <c r="W1415" s="58">
        <v>43341</v>
      </c>
      <c r="X1415" s="59">
        <v>0.35416666666666669</v>
      </c>
      <c r="Y1415" s="59">
        <v>0.39583333333333331</v>
      </c>
      <c r="Z1415" s="59">
        <v>4.1666666666666664E-2</v>
      </c>
      <c r="AA1415">
        <v>0</v>
      </c>
      <c r="AC1415">
        <v>20</v>
      </c>
      <c r="AD1415">
        <v>9</v>
      </c>
      <c r="AE1415" s="59">
        <v>0.35416666666666669</v>
      </c>
      <c r="AF1415" s="59">
        <v>0.39513888888888887</v>
      </c>
    </row>
    <row r="1416" spans="1:32" x14ac:dyDescent="0.25">
      <c r="A1416" t="s">
        <v>258</v>
      </c>
      <c r="B1416" t="s">
        <v>287</v>
      </c>
      <c r="C1416" t="s">
        <v>288</v>
      </c>
      <c r="E1416" t="s">
        <v>289</v>
      </c>
      <c r="F1416" t="s">
        <v>134</v>
      </c>
      <c r="H1416" t="s">
        <v>152</v>
      </c>
      <c r="I1416" t="s">
        <v>127</v>
      </c>
      <c r="J1416" t="s">
        <v>258</v>
      </c>
      <c r="K1416" t="s">
        <v>419</v>
      </c>
      <c r="L1416" t="s">
        <v>420</v>
      </c>
      <c r="N1416" t="s">
        <v>421</v>
      </c>
      <c r="O1416" t="s">
        <v>134</v>
      </c>
      <c r="Q1416" t="s">
        <v>236</v>
      </c>
      <c r="R1416" t="s">
        <v>153</v>
      </c>
      <c r="S1416" t="s">
        <v>128</v>
      </c>
      <c r="T1416" t="s">
        <v>165</v>
      </c>
      <c r="U1416" t="s">
        <v>151</v>
      </c>
      <c r="V1416" t="s">
        <v>74</v>
      </c>
      <c r="W1416" s="58">
        <v>43341</v>
      </c>
      <c r="X1416" s="59">
        <v>0.39652777777777781</v>
      </c>
      <c r="Y1416" s="59">
        <v>0.4381944444444445</v>
      </c>
      <c r="Z1416" s="59">
        <v>4.1666666666666664E-2</v>
      </c>
      <c r="AA1416">
        <v>0</v>
      </c>
      <c r="AB1416">
        <v>0.27279999999999999</v>
      </c>
      <c r="AC1416">
        <v>20</v>
      </c>
      <c r="AD1416">
        <v>9</v>
      </c>
      <c r="AE1416" s="59">
        <v>0.39652777777777781</v>
      </c>
      <c r="AF1416" s="59">
        <v>0.4375</v>
      </c>
    </row>
    <row r="1417" spans="1:32" x14ac:dyDescent="0.25">
      <c r="A1417" t="s">
        <v>258</v>
      </c>
      <c r="B1417" t="s">
        <v>270</v>
      </c>
      <c r="C1417" t="s">
        <v>271</v>
      </c>
      <c r="D1417" t="s">
        <v>272</v>
      </c>
      <c r="E1417" t="s">
        <v>273</v>
      </c>
      <c r="F1417" t="s">
        <v>134</v>
      </c>
      <c r="H1417" t="s">
        <v>138</v>
      </c>
      <c r="I1417" t="s">
        <v>139</v>
      </c>
      <c r="J1417" t="s">
        <v>258</v>
      </c>
      <c r="K1417" t="s">
        <v>419</v>
      </c>
      <c r="L1417" t="s">
        <v>420</v>
      </c>
      <c r="N1417" t="s">
        <v>421</v>
      </c>
      <c r="O1417" t="s">
        <v>134</v>
      </c>
      <c r="Q1417" t="s">
        <v>236</v>
      </c>
      <c r="R1417" t="s">
        <v>140</v>
      </c>
      <c r="S1417" t="s">
        <v>128</v>
      </c>
      <c r="T1417" t="s">
        <v>165</v>
      </c>
      <c r="U1417" t="s">
        <v>129</v>
      </c>
      <c r="V1417" t="s">
        <v>75</v>
      </c>
      <c r="W1417" s="58">
        <v>43342</v>
      </c>
      <c r="X1417" s="59">
        <v>0.33333333333333331</v>
      </c>
      <c r="Y1417" s="59">
        <v>0.375</v>
      </c>
      <c r="Z1417" s="59">
        <v>4.1666666666666664E-2</v>
      </c>
      <c r="AA1417">
        <v>0</v>
      </c>
      <c r="AC1417">
        <v>23</v>
      </c>
      <c r="AD1417">
        <v>9</v>
      </c>
      <c r="AE1417" s="59">
        <v>0.33333333333333331</v>
      </c>
      <c r="AF1417" s="59">
        <v>0.3743055555555555</v>
      </c>
    </row>
    <row r="1418" spans="1:32" x14ac:dyDescent="0.25">
      <c r="A1418" t="s">
        <v>274</v>
      </c>
      <c r="B1418" t="s">
        <v>334</v>
      </c>
      <c r="C1418" t="s">
        <v>285</v>
      </c>
      <c r="E1418" t="s">
        <v>335</v>
      </c>
      <c r="F1418" t="s">
        <v>134</v>
      </c>
      <c r="H1418" t="s">
        <v>192</v>
      </c>
      <c r="I1418" t="s">
        <v>155</v>
      </c>
      <c r="J1418" t="s">
        <v>258</v>
      </c>
      <c r="K1418" t="s">
        <v>419</v>
      </c>
      <c r="L1418" t="s">
        <v>420</v>
      </c>
      <c r="N1418" t="s">
        <v>421</v>
      </c>
      <c r="O1418" t="s">
        <v>134</v>
      </c>
      <c r="Q1418" t="s">
        <v>236</v>
      </c>
      <c r="R1418" t="s">
        <v>193</v>
      </c>
      <c r="S1418" t="s">
        <v>128</v>
      </c>
      <c r="T1418" t="s">
        <v>165</v>
      </c>
      <c r="U1418" t="s">
        <v>129</v>
      </c>
      <c r="V1418" t="s">
        <v>75</v>
      </c>
      <c r="W1418" s="58">
        <v>43342</v>
      </c>
      <c r="X1418" s="59">
        <v>0.39583333333333331</v>
      </c>
      <c r="Y1418" s="59">
        <v>0.4375</v>
      </c>
      <c r="Z1418" s="59">
        <v>4.1666666666666664E-2</v>
      </c>
      <c r="AA1418">
        <v>0</v>
      </c>
      <c r="AB1418">
        <v>10.074999999999999</v>
      </c>
      <c r="AC1418">
        <v>23</v>
      </c>
      <c r="AD1418">
        <v>9</v>
      </c>
    </row>
    <row r="1419" spans="1:32" x14ac:dyDescent="0.25">
      <c r="A1419" t="s">
        <v>258</v>
      </c>
      <c r="B1419" t="s">
        <v>310</v>
      </c>
      <c r="C1419" t="s">
        <v>311</v>
      </c>
      <c r="D1419" t="s">
        <v>312</v>
      </c>
      <c r="E1419" t="s">
        <v>313</v>
      </c>
      <c r="F1419" t="s">
        <v>134</v>
      </c>
      <c r="H1419" t="s">
        <v>175</v>
      </c>
      <c r="I1419" t="s">
        <v>127</v>
      </c>
      <c r="J1419" t="s">
        <v>258</v>
      </c>
      <c r="K1419" t="s">
        <v>419</v>
      </c>
      <c r="L1419" t="s">
        <v>420</v>
      </c>
      <c r="N1419" t="s">
        <v>421</v>
      </c>
      <c r="O1419" t="s">
        <v>134</v>
      </c>
      <c r="Q1419" t="s">
        <v>236</v>
      </c>
      <c r="R1419" t="s">
        <v>176</v>
      </c>
      <c r="S1419" t="s">
        <v>128</v>
      </c>
      <c r="T1419" t="s">
        <v>165</v>
      </c>
      <c r="U1419" t="s">
        <v>151</v>
      </c>
      <c r="V1419" t="s">
        <v>76</v>
      </c>
      <c r="W1419" s="58">
        <v>43343</v>
      </c>
      <c r="X1419" s="59">
        <v>0.40277777777777773</v>
      </c>
      <c r="Y1419" s="59">
        <v>0.44444444444444442</v>
      </c>
      <c r="Z1419" s="59">
        <v>4.1666666666666664E-2</v>
      </c>
      <c r="AA1419">
        <v>0</v>
      </c>
      <c r="AC1419">
        <v>20</v>
      </c>
      <c r="AD1419">
        <v>9</v>
      </c>
      <c r="AE1419" s="59">
        <v>0.40277777777777773</v>
      </c>
      <c r="AF1419" s="59">
        <v>0.44375000000000003</v>
      </c>
    </row>
    <row r="1420" spans="1:32" x14ac:dyDescent="0.25">
      <c r="A1420" t="s">
        <v>258</v>
      </c>
      <c r="B1420" t="s">
        <v>314</v>
      </c>
      <c r="C1420" t="s">
        <v>315</v>
      </c>
      <c r="D1420">
        <v>72</v>
      </c>
      <c r="E1420" t="s">
        <v>316</v>
      </c>
      <c r="F1420" t="s">
        <v>317</v>
      </c>
      <c r="G1420" t="s">
        <v>218</v>
      </c>
      <c r="H1420" t="s">
        <v>168</v>
      </c>
      <c r="I1420" t="s">
        <v>169</v>
      </c>
      <c r="J1420" t="s">
        <v>258</v>
      </c>
      <c r="K1420" t="s">
        <v>419</v>
      </c>
      <c r="L1420" t="s">
        <v>420</v>
      </c>
      <c r="N1420" t="s">
        <v>421</v>
      </c>
      <c r="O1420" t="s">
        <v>134</v>
      </c>
      <c r="Q1420" t="s">
        <v>236</v>
      </c>
      <c r="R1420" t="s">
        <v>170</v>
      </c>
      <c r="S1420" t="s">
        <v>128</v>
      </c>
      <c r="T1420" t="s">
        <v>165</v>
      </c>
      <c r="U1420" t="s">
        <v>129</v>
      </c>
      <c r="V1420" t="s">
        <v>73</v>
      </c>
      <c r="W1420" s="58">
        <v>43347</v>
      </c>
      <c r="X1420" s="59">
        <v>0.33333333333333331</v>
      </c>
      <c r="Y1420" s="59">
        <v>0.35416666666666669</v>
      </c>
      <c r="Z1420" s="59">
        <v>2.0833333333333332E-2</v>
      </c>
      <c r="AA1420">
        <v>0</v>
      </c>
      <c r="AC1420">
        <v>11.5</v>
      </c>
      <c r="AD1420">
        <v>4.5</v>
      </c>
      <c r="AE1420" s="59">
        <v>0.33333333333333331</v>
      </c>
      <c r="AF1420" s="59">
        <v>0.35347222222222219</v>
      </c>
    </row>
    <row r="1421" spans="1:32" x14ac:dyDescent="0.25">
      <c r="B1421" t="s">
        <v>307</v>
      </c>
      <c r="C1421" t="s">
        <v>308</v>
      </c>
      <c r="D1421" t="s">
        <v>309</v>
      </c>
      <c r="E1421" t="s">
        <v>134</v>
      </c>
      <c r="H1421" t="s">
        <v>171</v>
      </c>
      <c r="I1421" t="s">
        <v>169</v>
      </c>
      <c r="J1421" t="s">
        <v>258</v>
      </c>
      <c r="K1421" t="s">
        <v>419</v>
      </c>
      <c r="L1421" t="s">
        <v>420</v>
      </c>
      <c r="N1421" t="s">
        <v>421</v>
      </c>
      <c r="O1421" t="s">
        <v>134</v>
      </c>
      <c r="Q1421" t="s">
        <v>236</v>
      </c>
      <c r="R1421" t="s">
        <v>172</v>
      </c>
      <c r="S1421" t="s">
        <v>128</v>
      </c>
      <c r="T1421" t="s">
        <v>165</v>
      </c>
      <c r="U1421" t="s">
        <v>129</v>
      </c>
      <c r="V1421" t="s">
        <v>73</v>
      </c>
      <c r="W1421" s="58">
        <v>43347</v>
      </c>
      <c r="X1421" s="59">
        <v>0.36458333333333331</v>
      </c>
      <c r="Y1421" s="59">
        <v>0.41666666666666669</v>
      </c>
      <c r="Z1421" s="59">
        <v>5.2083333333333336E-2</v>
      </c>
      <c r="AA1421">
        <v>2</v>
      </c>
      <c r="AB1421">
        <v>0.62839999999999996</v>
      </c>
      <c r="AC1421">
        <v>28.75</v>
      </c>
      <c r="AD1421">
        <v>11.25</v>
      </c>
      <c r="AE1421" s="59">
        <v>0.36458333333333331</v>
      </c>
      <c r="AF1421" s="59">
        <v>0.41597222222222219</v>
      </c>
    </row>
    <row r="1422" spans="1:32" x14ac:dyDescent="0.25">
      <c r="A1422" t="s">
        <v>258</v>
      </c>
      <c r="B1422" t="s">
        <v>325</v>
      </c>
      <c r="C1422" t="s">
        <v>326</v>
      </c>
      <c r="E1422" t="s">
        <v>327</v>
      </c>
      <c r="F1422" t="s">
        <v>134</v>
      </c>
      <c r="H1422" t="s">
        <v>182</v>
      </c>
      <c r="I1422" t="s">
        <v>147</v>
      </c>
      <c r="J1422" t="s">
        <v>258</v>
      </c>
      <c r="K1422" t="s">
        <v>419</v>
      </c>
      <c r="L1422" t="s">
        <v>420</v>
      </c>
      <c r="N1422" t="s">
        <v>421</v>
      </c>
      <c r="O1422" t="s">
        <v>134</v>
      </c>
      <c r="Q1422" t="s">
        <v>236</v>
      </c>
      <c r="R1422" t="s">
        <v>183</v>
      </c>
      <c r="S1422" t="s">
        <v>128</v>
      </c>
      <c r="T1422" t="s">
        <v>165</v>
      </c>
      <c r="U1422" t="s">
        <v>129</v>
      </c>
      <c r="V1422" t="s">
        <v>74</v>
      </c>
      <c r="W1422" s="58">
        <v>43348</v>
      </c>
      <c r="X1422" s="59">
        <v>0.36458333333333331</v>
      </c>
      <c r="Y1422" s="59">
        <v>0.40625</v>
      </c>
      <c r="Z1422" s="59">
        <v>4.1666666666666664E-2</v>
      </c>
      <c r="AA1422">
        <v>0</v>
      </c>
      <c r="AC1422">
        <v>23</v>
      </c>
      <c r="AD1422">
        <v>9</v>
      </c>
      <c r="AE1422" s="59">
        <v>0.36458333333333331</v>
      </c>
      <c r="AF1422" s="59">
        <v>0.4055555555555555</v>
      </c>
    </row>
    <row r="1423" spans="1:32" x14ac:dyDescent="0.25">
      <c r="A1423" t="s">
        <v>274</v>
      </c>
      <c r="B1423" t="s">
        <v>321</v>
      </c>
      <c r="C1423" t="s">
        <v>322</v>
      </c>
      <c r="D1423" t="s">
        <v>323</v>
      </c>
      <c r="E1423" t="s">
        <v>324</v>
      </c>
      <c r="F1423" t="s">
        <v>134</v>
      </c>
      <c r="H1423" t="s">
        <v>184</v>
      </c>
      <c r="I1423" t="s">
        <v>147</v>
      </c>
      <c r="J1423" t="s">
        <v>258</v>
      </c>
      <c r="K1423" t="s">
        <v>419</v>
      </c>
      <c r="L1423" t="s">
        <v>420</v>
      </c>
      <c r="N1423" t="s">
        <v>421</v>
      </c>
      <c r="O1423" t="s">
        <v>134</v>
      </c>
      <c r="Q1423" t="s">
        <v>236</v>
      </c>
      <c r="R1423" t="s">
        <v>185</v>
      </c>
      <c r="S1423" t="s">
        <v>128</v>
      </c>
      <c r="T1423" t="s">
        <v>165</v>
      </c>
      <c r="U1423" t="s">
        <v>151</v>
      </c>
      <c r="V1423" t="s">
        <v>74</v>
      </c>
      <c r="W1423" s="58">
        <v>43348</v>
      </c>
      <c r="X1423" s="59">
        <v>0.41666666666666669</v>
      </c>
      <c r="Y1423" s="59">
        <v>0.45833333333333331</v>
      </c>
      <c r="Z1423" s="59">
        <v>4.1666666666666664E-2</v>
      </c>
      <c r="AA1423">
        <v>4</v>
      </c>
      <c r="AB1423">
        <v>2.2181999999999999</v>
      </c>
      <c r="AC1423">
        <v>20</v>
      </c>
      <c r="AD1423">
        <v>9</v>
      </c>
      <c r="AE1423" s="59">
        <v>0.41666666666666669</v>
      </c>
      <c r="AF1423" s="59">
        <v>0.45763888888888887</v>
      </c>
    </row>
    <row r="1424" spans="1:32" x14ac:dyDescent="0.25">
      <c r="A1424" t="s">
        <v>274</v>
      </c>
      <c r="B1424" t="s">
        <v>321</v>
      </c>
      <c r="C1424" t="s">
        <v>322</v>
      </c>
      <c r="D1424" t="s">
        <v>323</v>
      </c>
      <c r="E1424" t="s">
        <v>324</v>
      </c>
      <c r="F1424" t="s">
        <v>134</v>
      </c>
      <c r="H1424" t="s">
        <v>184</v>
      </c>
      <c r="I1424" t="s">
        <v>147</v>
      </c>
      <c r="J1424" t="s">
        <v>258</v>
      </c>
      <c r="K1424" t="s">
        <v>419</v>
      </c>
      <c r="L1424" t="s">
        <v>420</v>
      </c>
      <c r="N1424" t="s">
        <v>421</v>
      </c>
      <c r="O1424" t="s">
        <v>134</v>
      </c>
      <c r="Q1424" t="s">
        <v>236</v>
      </c>
      <c r="R1424" t="s">
        <v>185</v>
      </c>
      <c r="S1424" t="s">
        <v>128</v>
      </c>
      <c r="T1424" t="s">
        <v>165</v>
      </c>
      <c r="U1424" t="s">
        <v>151</v>
      </c>
      <c r="V1424" t="s">
        <v>76</v>
      </c>
      <c r="W1424" s="58">
        <v>43350</v>
      </c>
      <c r="X1424" s="59">
        <v>0.41666666666666669</v>
      </c>
      <c r="Y1424" s="59">
        <v>0.45833333333333331</v>
      </c>
      <c r="Z1424" s="59">
        <v>4.1666666666666664E-2</v>
      </c>
      <c r="AA1424">
        <v>0</v>
      </c>
      <c r="AC1424">
        <v>20</v>
      </c>
      <c r="AD1424">
        <v>9</v>
      </c>
      <c r="AE1424" s="59">
        <v>0.41666666666666669</v>
      </c>
      <c r="AF1424" s="59">
        <v>0.45763888888888887</v>
      </c>
    </row>
    <row r="1425" spans="1:33" x14ac:dyDescent="0.25">
      <c r="A1425" t="s">
        <v>258</v>
      </c>
      <c r="B1425" t="s">
        <v>310</v>
      </c>
      <c r="C1425" t="s">
        <v>311</v>
      </c>
      <c r="D1425" t="s">
        <v>312</v>
      </c>
      <c r="E1425" t="s">
        <v>313</v>
      </c>
      <c r="F1425" t="s">
        <v>134</v>
      </c>
      <c r="H1425" t="s">
        <v>175</v>
      </c>
      <c r="I1425" t="s">
        <v>127</v>
      </c>
      <c r="J1425" t="s">
        <v>258</v>
      </c>
      <c r="K1425" t="s">
        <v>419</v>
      </c>
      <c r="L1425" t="s">
        <v>420</v>
      </c>
      <c r="N1425" t="s">
        <v>421</v>
      </c>
      <c r="O1425" t="s">
        <v>134</v>
      </c>
      <c r="Q1425" t="s">
        <v>236</v>
      </c>
      <c r="R1425" t="s">
        <v>176</v>
      </c>
      <c r="S1425" t="s">
        <v>128</v>
      </c>
      <c r="T1425" t="s">
        <v>165</v>
      </c>
      <c r="U1425" t="s">
        <v>151</v>
      </c>
      <c r="V1425" t="s">
        <v>77</v>
      </c>
      <c r="W1425" s="58">
        <v>43351</v>
      </c>
      <c r="X1425" s="59">
        <v>0.38263888888888892</v>
      </c>
      <c r="Y1425" s="59">
        <v>0.42430555555555555</v>
      </c>
      <c r="Z1425" s="59">
        <v>4.1666666666666664E-2</v>
      </c>
      <c r="AA1425">
        <v>0</v>
      </c>
      <c r="AC1425">
        <v>20</v>
      </c>
      <c r="AD1425">
        <v>10</v>
      </c>
      <c r="AE1425" s="59">
        <v>0.38263888888888892</v>
      </c>
      <c r="AF1425" s="59">
        <v>0.4236111111111111</v>
      </c>
    </row>
    <row r="1426" spans="1:33" x14ac:dyDescent="0.25">
      <c r="B1426" t="s">
        <v>307</v>
      </c>
      <c r="C1426" t="s">
        <v>308</v>
      </c>
      <c r="D1426" t="s">
        <v>309</v>
      </c>
      <c r="E1426" t="s">
        <v>134</v>
      </c>
      <c r="H1426" t="s">
        <v>171</v>
      </c>
      <c r="I1426" t="s">
        <v>169</v>
      </c>
      <c r="J1426" t="s">
        <v>258</v>
      </c>
      <c r="K1426" t="s">
        <v>419</v>
      </c>
      <c r="L1426" t="s">
        <v>420</v>
      </c>
      <c r="N1426" t="s">
        <v>421</v>
      </c>
      <c r="O1426" t="s">
        <v>134</v>
      </c>
      <c r="Q1426" t="s">
        <v>236</v>
      </c>
      <c r="R1426" t="s">
        <v>172</v>
      </c>
      <c r="S1426" t="s">
        <v>128</v>
      </c>
      <c r="T1426" t="s">
        <v>165</v>
      </c>
      <c r="U1426" t="s">
        <v>129</v>
      </c>
      <c r="V1426" t="s">
        <v>71</v>
      </c>
      <c r="W1426" s="58">
        <v>43352</v>
      </c>
      <c r="X1426" s="59">
        <v>0.3125</v>
      </c>
      <c r="Y1426" s="59">
        <v>0.35416666666666669</v>
      </c>
      <c r="Z1426" s="59">
        <v>4.1666666666666664E-2</v>
      </c>
      <c r="AA1426">
        <v>0</v>
      </c>
      <c r="AC1426">
        <v>23</v>
      </c>
      <c r="AD1426">
        <v>10</v>
      </c>
      <c r="AE1426" s="59">
        <v>0.30555555555555552</v>
      </c>
      <c r="AF1426" s="59">
        <v>0.34652777777777777</v>
      </c>
    </row>
    <row r="1427" spans="1:33" x14ac:dyDescent="0.25">
      <c r="A1427" t="s">
        <v>258</v>
      </c>
      <c r="B1427" t="s">
        <v>314</v>
      </c>
      <c r="C1427" t="s">
        <v>315</v>
      </c>
      <c r="D1427">
        <v>72</v>
      </c>
      <c r="E1427" t="s">
        <v>316</v>
      </c>
      <c r="F1427" t="s">
        <v>317</v>
      </c>
      <c r="G1427" t="s">
        <v>218</v>
      </c>
      <c r="H1427" t="s">
        <v>168</v>
      </c>
      <c r="I1427" t="s">
        <v>169</v>
      </c>
      <c r="J1427" t="s">
        <v>258</v>
      </c>
      <c r="K1427" t="s">
        <v>419</v>
      </c>
      <c r="L1427" t="s">
        <v>420</v>
      </c>
      <c r="N1427" t="s">
        <v>421</v>
      </c>
      <c r="O1427" t="s">
        <v>134</v>
      </c>
      <c r="Q1427" t="s">
        <v>236</v>
      </c>
      <c r="R1427" t="s">
        <v>170</v>
      </c>
      <c r="S1427" t="s">
        <v>128</v>
      </c>
      <c r="T1427" t="s">
        <v>165</v>
      </c>
      <c r="U1427" t="s">
        <v>129</v>
      </c>
      <c r="V1427" t="s">
        <v>71</v>
      </c>
      <c r="W1427" s="58">
        <v>43352</v>
      </c>
      <c r="X1427" s="59">
        <v>0.35069444444444442</v>
      </c>
      <c r="Y1427" s="59">
        <v>0.36458333333333331</v>
      </c>
      <c r="Z1427" s="59">
        <v>1.3888888888888888E-2</v>
      </c>
      <c r="AA1427">
        <v>2</v>
      </c>
      <c r="AB1427">
        <v>0.62839999999999996</v>
      </c>
      <c r="AD1427">
        <v>3.3332999999999999</v>
      </c>
      <c r="AE1427" s="59">
        <v>0.35069444444444442</v>
      </c>
      <c r="AF1427" s="59">
        <v>0.36388888888888887</v>
      </c>
    </row>
    <row r="1428" spans="1:33" x14ac:dyDescent="0.25">
      <c r="A1428" t="s">
        <v>258</v>
      </c>
      <c r="B1428" t="s">
        <v>325</v>
      </c>
      <c r="C1428" t="s">
        <v>326</v>
      </c>
      <c r="E1428" t="s">
        <v>327</v>
      </c>
      <c r="F1428" t="s">
        <v>134</v>
      </c>
      <c r="H1428" t="s">
        <v>182</v>
      </c>
      <c r="I1428" t="s">
        <v>147</v>
      </c>
      <c r="J1428" t="s">
        <v>258</v>
      </c>
      <c r="K1428" t="s">
        <v>419</v>
      </c>
      <c r="L1428" t="s">
        <v>420</v>
      </c>
      <c r="N1428" t="s">
        <v>421</v>
      </c>
      <c r="O1428" t="s">
        <v>134</v>
      </c>
      <c r="Q1428" t="s">
        <v>236</v>
      </c>
      <c r="R1428" t="s">
        <v>183</v>
      </c>
      <c r="S1428" t="s">
        <v>128</v>
      </c>
      <c r="T1428" t="s">
        <v>165</v>
      </c>
      <c r="U1428" t="s">
        <v>129</v>
      </c>
      <c r="V1428" t="s">
        <v>71</v>
      </c>
      <c r="W1428" s="58">
        <v>43352</v>
      </c>
      <c r="X1428" s="59">
        <v>0.36458333333333331</v>
      </c>
      <c r="Y1428" s="59">
        <v>0.40625</v>
      </c>
      <c r="Z1428" s="59">
        <v>4.1666666666666664E-2</v>
      </c>
      <c r="AA1428">
        <v>6</v>
      </c>
      <c r="AB1428">
        <v>3.7126000000000001</v>
      </c>
      <c r="AC1428">
        <v>23</v>
      </c>
      <c r="AD1428">
        <v>10</v>
      </c>
      <c r="AE1428" s="59">
        <v>0.36458333333333331</v>
      </c>
      <c r="AF1428" s="59">
        <v>0.4055555555555555</v>
      </c>
    </row>
    <row r="1429" spans="1:33" x14ac:dyDescent="0.25">
      <c r="A1429" t="s">
        <v>274</v>
      </c>
      <c r="B1429" t="s">
        <v>321</v>
      </c>
      <c r="C1429" t="s">
        <v>322</v>
      </c>
      <c r="D1429" t="s">
        <v>323</v>
      </c>
      <c r="E1429" t="s">
        <v>324</v>
      </c>
      <c r="F1429" t="s">
        <v>134</v>
      </c>
      <c r="H1429" t="s">
        <v>184</v>
      </c>
      <c r="I1429" t="s">
        <v>147</v>
      </c>
      <c r="J1429" t="s">
        <v>258</v>
      </c>
      <c r="K1429" t="s">
        <v>419</v>
      </c>
      <c r="L1429" t="s">
        <v>420</v>
      </c>
      <c r="N1429" t="s">
        <v>421</v>
      </c>
      <c r="O1429" t="s">
        <v>134</v>
      </c>
      <c r="Q1429" t="s">
        <v>236</v>
      </c>
      <c r="R1429" t="s">
        <v>185</v>
      </c>
      <c r="S1429" t="s">
        <v>128</v>
      </c>
      <c r="T1429" t="s">
        <v>165</v>
      </c>
      <c r="U1429" t="s">
        <v>151</v>
      </c>
      <c r="V1429" t="s">
        <v>71</v>
      </c>
      <c r="W1429" s="58">
        <v>43352</v>
      </c>
      <c r="X1429" s="59">
        <v>0.41666666666666669</v>
      </c>
      <c r="Y1429" s="59">
        <v>0.45833333333333331</v>
      </c>
      <c r="Z1429" s="59">
        <v>4.1666666666666664E-2</v>
      </c>
      <c r="AA1429">
        <v>4</v>
      </c>
      <c r="AB1429">
        <v>2.2181999999999999</v>
      </c>
      <c r="AC1429">
        <v>20</v>
      </c>
      <c r="AD1429">
        <v>10</v>
      </c>
      <c r="AE1429" s="59">
        <v>0.41666666666666669</v>
      </c>
      <c r="AF1429" s="59">
        <v>0.45763888888888887</v>
      </c>
    </row>
    <row r="1430" spans="1:33" x14ac:dyDescent="0.25">
      <c r="B1430" t="s">
        <v>331</v>
      </c>
      <c r="C1430" t="s">
        <v>332</v>
      </c>
      <c r="E1430" t="s">
        <v>333</v>
      </c>
      <c r="F1430" t="s">
        <v>134</v>
      </c>
      <c r="G1430" t="s">
        <v>218</v>
      </c>
      <c r="H1430" t="s">
        <v>177</v>
      </c>
      <c r="I1430" t="s">
        <v>158</v>
      </c>
      <c r="J1430" t="s">
        <v>258</v>
      </c>
      <c r="K1430" t="s">
        <v>419</v>
      </c>
      <c r="L1430" t="s">
        <v>420</v>
      </c>
      <c r="N1430" t="s">
        <v>421</v>
      </c>
      <c r="O1430" t="s">
        <v>134</v>
      </c>
      <c r="Q1430" t="s">
        <v>236</v>
      </c>
      <c r="R1430" t="s">
        <v>179</v>
      </c>
      <c r="S1430" t="s">
        <v>128</v>
      </c>
      <c r="T1430" t="s">
        <v>165</v>
      </c>
      <c r="U1430" t="s">
        <v>191</v>
      </c>
      <c r="V1430" t="s">
        <v>72</v>
      </c>
      <c r="W1430" s="58">
        <v>43353</v>
      </c>
      <c r="X1430" s="59">
        <v>0.29166666666666669</v>
      </c>
      <c r="Y1430" s="59">
        <v>0.375</v>
      </c>
      <c r="Z1430" s="59">
        <v>8.3333333333333329E-2</v>
      </c>
      <c r="AA1430">
        <v>0</v>
      </c>
      <c r="AC1430">
        <v>0</v>
      </c>
      <c r="AD1430">
        <v>18</v>
      </c>
      <c r="AE1430" s="59">
        <v>0.29166666666666669</v>
      </c>
      <c r="AF1430" s="59">
        <v>0.3743055555555555</v>
      </c>
    </row>
    <row r="1431" spans="1:33" x14ac:dyDescent="0.25">
      <c r="A1431" t="s">
        <v>258</v>
      </c>
      <c r="B1431" t="s">
        <v>284</v>
      </c>
      <c r="C1431" t="s">
        <v>285</v>
      </c>
      <c r="E1431" t="s">
        <v>286</v>
      </c>
      <c r="F1431" t="s">
        <v>134</v>
      </c>
      <c r="H1431" t="s">
        <v>149</v>
      </c>
      <c r="I1431" t="s">
        <v>127</v>
      </c>
      <c r="J1431" t="s">
        <v>258</v>
      </c>
      <c r="K1431" t="s">
        <v>419</v>
      </c>
      <c r="L1431" t="s">
        <v>420</v>
      </c>
      <c r="N1431" t="s">
        <v>421</v>
      </c>
      <c r="O1431" t="s">
        <v>134</v>
      </c>
      <c r="Q1431" t="s">
        <v>236</v>
      </c>
      <c r="R1431" t="s">
        <v>150</v>
      </c>
      <c r="S1431" t="s">
        <v>128</v>
      </c>
      <c r="T1431" t="s">
        <v>165</v>
      </c>
      <c r="U1431" t="s">
        <v>151</v>
      </c>
      <c r="V1431" t="s">
        <v>74</v>
      </c>
      <c r="W1431" s="58">
        <v>43355</v>
      </c>
      <c r="X1431" s="59">
        <v>0.35416666666666669</v>
      </c>
      <c r="Y1431" s="59">
        <v>0.39583333333333331</v>
      </c>
      <c r="Z1431" s="59">
        <v>4.1666666666666664E-2</v>
      </c>
      <c r="AA1431">
        <v>0</v>
      </c>
      <c r="AC1431">
        <v>20</v>
      </c>
      <c r="AD1431">
        <v>9</v>
      </c>
      <c r="AE1431" s="59">
        <v>0.35416666666666669</v>
      </c>
      <c r="AF1431" s="59">
        <v>0.39513888888888887</v>
      </c>
    </row>
    <row r="1432" spans="1:33" x14ac:dyDescent="0.25">
      <c r="A1432" t="s">
        <v>258</v>
      </c>
      <c r="B1432" t="s">
        <v>287</v>
      </c>
      <c r="C1432" t="s">
        <v>288</v>
      </c>
      <c r="E1432" t="s">
        <v>289</v>
      </c>
      <c r="F1432" t="s">
        <v>134</v>
      </c>
      <c r="H1432" t="s">
        <v>152</v>
      </c>
      <c r="I1432" t="s">
        <v>127</v>
      </c>
      <c r="J1432" t="s">
        <v>258</v>
      </c>
      <c r="K1432" t="s">
        <v>419</v>
      </c>
      <c r="L1432" t="s">
        <v>420</v>
      </c>
      <c r="N1432" t="s">
        <v>421</v>
      </c>
      <c r="O1432" t="s">
        <v>134</v>
      </c>
      <c r="Q1432" t="s">
        <v>236</v>
      </c>
      <c r="R1432" t="s">
        <v>153</v>
      </c>
      <c r="S1432" t="s">
        <v>128</v>
      </c>
      <c r="T1432" t="s">
        <v>165</v>
      </c>
      <c r="U1432" t="s">
        <v>151</v>
      </c>
      <c r="V1432" t="s">
        <v>74</v>
      </c>
      <c r="W1432" s="58">
        <v>43355</v>
      </c>
      <c r="X1432" s="59">
        <v>0.39930555555555558</v>
      </c>
      <c r="Y1432" s="59">
        <v>0.44097222222222227</v>
      </c>
      <c r="Z1432" s="59">
        <v>4.1666666666666664E-2</v>
      </c>
      <c r="AA1432">
        <v>0</v>
      </c>
      <c r="AB1432">
        <v>0.27279999999999999</v>
      </c>
      <c r="AC1432">
        <v>20</v>
      </c>
      <c r="AD1432">
        <v>9</v>
      </c>
      <c r="AE1432" s="59">
        <v>0.39930555555555558</v>
      </c>
      <c r="AF1432" s="59">
        <v>0.44027777777777777</v>
      </c>
    </row>
    <row r="1433" spans="1:33" x14ac:dyDescent="0.25">
      <c r="A1433" t="s">
        <v>258</v>
      </c>
      <c r="B1433" t="s">
        <v>270</v>
      </c>
      <c r="C1433" t="s">
        <v>271</v>
      </c>
      <c r="D1433" t="s">
        <v>272</v>
      </c>
      <c r="E1433" t="s">
        <v>273</v>
      </c>
      <c r="F1433" t="s">
        <v>134</v>
      </c>
      <c r="H1433" t="s">
        <v>138</v>
      </c>
      <c r="I1433" t="s">
        <v>139</v>
      </c>
      <c r="J1433" t="s">
        <v>258</v>
      </c>
      <c r="K1433" t="s">
        <v>419</v>
      </c>
      <c r="L1433" t="s">
        <v>420</v>
      </c>
      <c r="N1433" t="s">
        <v>421</v>
      </c>
      <c r="O1433" t="s">
        <v>134</v>
      </c>
      <c r="Q1433" t="s">
        <v>236</v>
      </c>
      <c r="R1433" t="s">
        <v>140</v>
      </c>
      <c r="S1433" t="s">
        <v>128</v>
      </c>
      <c r="T1433" t="s">
        <v>165</v>
      </c>
      <c r="U1433" t="s">
        <v>129</v>
      </c>
      <c r="V1433" t="s">
        <v>75</v>
      </c>
      <c r="W1433" s="58">
        <v>43356</v>
      </c>
      <c r="X1433" s="59">
        <v>0.33333333333333331</v>
      </c>
      <c r="Y1433" s="59">
        <v>0.375</v>
      </c>
      <c r="Z1433" s="59">
        <v>4.1666666666666664E-2</v>
      </c>
      <c r="AA1433">
        <v>0</v>
      </c>
      <c r="AC1433">
        <v>23</v>
      </c>
      <c r="AD1433">
        <v>9</v>
      </c>
      <c r="AE1433" s="59">
        <v>0.33333333333333331</v>
      </c>
      <c r="AF1433" s="59">
        <v>0.3743055555555555</v>
      </c>
    </row>
    <row r="1434" spans="1:33" x14ac:dyDescent="0.25">
      <c r="A1434" t="s">
        <v>274</v>
      </c>
      <c r="B1434" t="s">
        <v>275</v>
      </c>
      <c r="C1434" t="s">
        <v>276</v>
      </c>
      <c r="E1434" t="s">
        <v>277</v>
      </c>
      <c r="F1434" t="s">
        <v>134</v>
      </c>
      <c r="H1434" t="s">
        <v>141</v>
      </c>
      <c r="I1434" t="s">
        <v>142</v>
      </c>
      <c r="J1434" t="s">
        <v>258</v>
      </c>
      <c r="K1434" t="s">
        <v>419</v>
      </c>
      <c r="L1434" t="s">
        <v>420</v>
      </c>
      <c r="N1434" t="s">
        <v>421</v>
      </c>
      <c r="O1434" t="s">
        <v>134</v>
      </c>
      <c r="Q1434" t="s">
        <v>236</v>
      </c>
      <c r="R1434" t="s">
        <v>143</v>
      </c>
      <c r="S1434" t="s">
        <v>128</v>
      </c>
      <c r="T1434" t="s">
        <v>165</v>
      </c>
      <c r="U1434" t="s">
        <v>129</v>
      </c>
      <c r="V1434" t="s">
        <v>75</v>
      </c>
      <c r="W1434" s="58">
        <v>43356</v>
      </c>
      <c r="X1434" s="59">
        <v>0.38194444444444442</v>
      </c>
      <c r="Y1434" s="59">
        <v>0.4236111111111111</v>
      </c>
      <c r="Z1434" s="59">
        <v>4.1666666666666664E-2</v>
      </c>
      <c r="AA1434">
        <v>2</v>
      </c>
      <c r="AB1434">
        <v>0.9</v>
      </c>
      <c r="AC1434">
        <v>23</v>
      </c>
      <c r="AD1434">
        <v>9</v>
      </c>
      <c r="AE1434" s="59">
        <v>0.38194444444444442</v>
      </c>
      <c r="AF1434" s="59">
        <v>0.42291666666666666</v>
      </c>
    </row>
    <row r="1435" spans="1:33" x14ac:dyDescent="0.25">
      <c r="A1435" t="s">
        <v>266</v>
      </c>
      <c r="B1435" t="s">
        <v>293</v>
      </c>
      <c r="C1435" t="s">
        <v>294</v>
      </c>
      <c r="E1435" t="s">
        <v>295</v>
      </c>
      <c r="F1435" t="s">
        <v>134</v>
      </c>
      <c r="H1435" t="s">
        <v>157</v>
      </c>
      <c r="I1435" t="s">
        <v>158</v>
      </c>
      <c r="J1435" t="s">
        <v>258</v>
      </c>
      <c r="K1435" t="s">
        <v>419</v>
      </c>
      <c r="L1435" t="s">
        <v>420</v>
      </c>
      <c r="N1435" t="s">
        <v>421</v>
      </c>
      <c r="O1435" t="s">
        <v>134</v>
      </c>
      <c r="Q1435" t="s">
        <v>236</v>
      </c>
      <c r="R1435" t="s">
        <v>161</v>
      </c>
      <c r="S1435" t="s">
        <v>128</v>
      </c>
      <c r="T1435" t="s">
        <v>165</v>
      </c>
      <c r="U1435" t="s">
        <v>163</v>
      </c>
      <c r="V1435" t="s">
        <v>75</v>
      </c>
      <c r="W1435" s="58">
        <v>43356</v>
      </c>
      <c r="X1435" s="59">
        <v>0.4375</v>
      </c>
      <c r="Y1435" s="59">
        <v>0.47916666666666669</v>
      </c>
      <c r="Z1435" s="59">
        <v>4.1666666666666664E-2</v>
      </c>
      <c r="AA1435">
        <v>8</v>
      </c>
      <c r="AB1435">
        <v>4.7784000000000004</v>
      </c>
      <c r="AC1435">
        <v>18</v>
      </c>
      <c r="AD1435">
        <v>9</v>
      </c>
      <c r="AE1435" s="59">
        <v>0.4375</v>
      </c>
      <c r="AF1435" s="59">
        <v>0.47847222222222219</v>
      </c>
    </row>
    <row r="1436" spans="1:33" x14ac:dyDescent="0.25">
      <c r="B1436" t="s">
        <v>331</v>
      </c>
      <c r="C1436" t="s">
        <v>332</v>
      </c>
      <c r="E1436" t="s">
        <v>333</v>
      </c>
      <c r="F1436" t="s">
        <v>134</v>
      </c>
      <c r="G1436" t="s">
        <v>218</v>
      </c>
      <c r="H1436" t="s">
        <v>177</v>
      </c>
      <c r="I1436" t="s">
        <v>158</v>
      </c>
      <c r="J1436" t="s">
        <v>258</v>
      </c>
      <c r="K1436" t="s">
        <v>419</v>
      </c>
      <c r="L1436" t="s">
        <v>420</v>
      </c>
      <c r="N1436" t="s">
        <v>421</v>
      </c>
      <c r="O1436" t="s">
        <v>134</v>
      </c>
      <c r="Q1436" t="s">
        <v>236</v>
      </c>
      <c r="R1436" t="s">
        <v>179</v>
      </c>
      <c r="S1436" t="s">
        <v>128</v>
      </c>
      <c r="T1436" t="s">
        <v>165</v>
      </c>
      <c r="U1436" t="s">
        <v>191</v>
      </c>
      <c r="V1436" t="s">
        <v>76</v>
      </c>
      <c r="W1436" s="58">
        <v>43357</v>
      </c>
      <c r="X1436" s="59">
        <v>0.29166666666666669</v>
      </c>
      <c r="Y1436" s="59">
        <v>0.375</v>
      </c>
      <c r="Z1436" s="59">
        <v>8.3333333333333329E-2</v>
      </c>
      <c r="AA1436">
        <v>0</v>
      </c>
      <c r="AC1436">
        <v>0</v>
      </c>
      <c r="AD1436">
        <v>18</v>
      </c>
      <c r="AE1436" s="59">
        <v>0.29166666666666669</v>
      </c>
      <c r="AF1436" s="59">
        <v>0.3743055555555555</v>
      </c>
    </row>
    <row r="1437" spans="1:33" x14ac:dyDescent="0.25">
      <c r="A1437" t="s">
        <v>274</v>
      </c>
      <c r="B1437" t="s">
        <v>275</v>
      </c>
      <c r="C1437" t="s">
        <v>276</v>
      </c>
      <c r="E1437" t="s">
        <v>277</v>
      </c>
      <c r="F1437" t="s">
        <v>134</v>
      </c>
      <c r="H1437" t="s">
        <v>141</v>
      </c>
      <c r="I1437" t="s">
        <v>142</v>
      </c>
      <c r="J1437" t="s">
        <v>258</v>
      </c>
      <c r="K1437" t="s">
        <v>419</v>
      </c>
      <c r="L1437" t="s">
        <v>420</v>
      </c>
      <c r="N1437" t="s">
        <v>421</v>
      </c>
      <c r="O1437" t="s">
        <v>134</v>
      </c>
      <c r="Q1437" t="s">
        <v>236</v>
      </c>
      <c r="R1437" t="s">
        <v>143</v>
      </c>
      <c r="S1437" t="s">
        <v>128</v>
      </c>
      <c r="T1437" t="s">
        <v>165</v>
      </c>
      <c r="U1437" t="s">
        <v>129</v>
      </c>
      <c r="V1437" t="s">
        <v>76</v>
      </c>
      <c r="W1437" s="58">
        <v>43357</v>
      </c>
      <c r="X1437" s="59">
        <v>0.3888888888888889</v>
      </c>
      <c r="Y1437" s="59">
        <v>0.43055555555555558</v>
      </c>
      <c r="Z1437" s="59">
        <v>4.1666666666666664E-2</v>
      </c>
      <c r="AA1437">
        <v>7</v>
      </c>
      <c r="AB1437">
        <v>4.4295999999999998</v>
      </c>
      <c r="AC1437">
        <v>23</v>
      </c>
      <c r="AD1437">
        <v>9</v>
      </c>
      <c r="AE1437" s="59">
        <v>0.3888888888888889</v>
      </c>
      <c r="AF1437" s="59">
        <v>0.42986111111111108</v>
      </c>
    </row>
    <row r="1438" spans="1:33" x14ac:dyDescent="0.25">
      <c r="B1438" t="s">
        <v>331</v>
      </c>
      <c r="C1438" t="s">
        <v>332</v>
      </c>
      <c r="E1438" t="s">
        <v>333</v>
      </c>
      <c r="F1438" t="s">
        <v>134</v>
      </c>
      <c r="G1438" t="s">
        <v>218</v>
      </c>
      <c r="H1438" t="s">
        <v>177</v>
      </c>
      <c r="I1438" t="s">
        <v>158</v>
      </c>
      <c r="J1438" t="s">
        <v>266</v>
      </c>
      <c r="K1438" t="s">
        <v>422</v>
      </c>
      <c r="L1438" t="s">
        <v>423</v>
      </c>
      <c r="M1438" t="s">
        <v>424</v>
      </c>
      <c r="N1438" t="s">
        <v>425</v>
      </c>
      <c r="O1438" t="s">
        <v>134</v>
      </c>
      <c r="Q1438" t="s">
        <v>237</v>
      </c>
      <c r="R1438" t="s">
        <v>179</v>
      </c>
      <c r="S1438" t="s">
        <v>180</v>
      </c>
      <c r="T1438" t="s">
        <v>162</v>
      </c>
      <c r="U1438" t="s">
        <v>191</v>
      </c>
      <c r="V1438" t="s">
        <v>72</v>
      </c>
      <c r="W1438" s="58">
        <v>43311</v>
      </c>
      <c r="X1438" s="59">
        <v>0.29166666666666669</v>
      </c>
      <c r="Y1438" s="59">
        <v>0.35416666666666669</v>
      </c>
      <c r="Z1438" s="59">
        <v>6.25E-2</v>
      </c>
      <c r="AA1438">
        <v>0</v>
      </c>
      <c r="AC1438">
        <v>0</v>
      </c>
      <c r="AD1438">
        <v>0</v>
      </c>
      <c r="AE1438" s="59">
        <v>0.29166666666666669</v>
      </c>
      <c r="AF1438" s="59">
        <v>0.35347222222222219</v>
      </c>
      <c r="AG1438">
        <v>37.5</v>
      </c>
    </row>
    <row r="1439" spans="1:33" x14ac:dyDescent="0.25">
      <c r="A1439" t="s">
        <v>258</v>
      </c>
      <c r="B1439" t="s">
        <v>262</v>
      </c>
      <c r="C1439" t="s">
        <v>263</v>
      </c>
      <c r="D1439" t="s">
        <v>264</v>
      </c>
      <c r="E1439" t="s">
        <v>265</v>
      </c>
      <c r="F1439" t="s">
        <v>134</v>
      </c>
      <c r="H1439" t="s">
        <v>132</v>
      </c>
      <c r="I1439" t="s">
        <v>133</v>
      </c>
      <c r="J1439" t="s">
        <v>266</v>
      </c>
      <c r="K1439" t="s">
        <v>422</v>
      </c>
      <c r="L1439" t="s">
        <v>423</v>
      </c>
      <c r="M1439" t="s">
        <v>424</v>
      </c>
      <c r="N1439" t="s">
        <v>425</v>
      </c>
      <c r="O1439" t="s">
        <v>134</v>
      </c>
      <c r="Q1439" t="s">
        <v>237</v>
      </c>
      <c r="R1439" t="s">
        <v>136</v>
      </c>
      <c r="S1439" t="s">
        <v>128</v>
      </c>
      <c r="T1439" t="s">
        <v>162</v>
      </c>
      <c r="U1439" t="s">
        <v>174</v>
      </c>
      <c r="V1439" t="s">
        <v>72</v>
      </c>
      <c r="W1439" s="58">
        <v>43311</v>
      </c>
      <c r="X1439" s="59">
        <v>0.35416666666666669</v>
      </c>
      <c r="Y1439" s="59">
        <v>0.39583333333333331</v>
      </c>
      <c r="Z1439" s="59">
        <v>4.1666666666666664E-2</v>
      </c>
      <c r="AA1439">
        <v>0</v>
      </c>
      <c r="AB1439">
        <v>3.2101999999999999</v>
      </c>
      <c r="AD1439">
        <v>10</v>
      </c>
      <c r="AE1439" s="59">
        <v>0.35416666666666669</v>
      </c>
      <c r="AF1439" s="59">
        <v>0.39513888888888887</v>
      </c>
      <c r="AG1439">
        <v>37.5</v>
      </c>
    </row>
    <row r="1440" spans="1:33" x14ac:dyDescent="0.25">
      <c r="B1440" t="s">
        <v>331</v>
      </c>
      <c r="C1440" t="s">
        <v>332</v>
      </c>
      <c r="E1440" t="s">
        <v>333</v>
      </c>
      <c r="F1440" t="s">
        <v>134</v>
      </c>
      <c r="G1440" t="s">
        <v>218</v>
      </c>
      <c r="H1440" t="s">
        <v>177</v>
      </c>
      <c r="I1440" t="s">
        <v>158</v>
      </c>
      <c r="J1440" t="s">
        <v>266</v>
      </c>
      <c r="K1440" t="s">
        <v>422</v>
      </c>
      <c r="L1440" t="s">
        <v>423</v>
      </c>
      <c r="M1440" t="s">
        <v>424</v>
      </c>
      <c r="N1440" t="s">
        <v>425</v>
      </c>
      <c r="O1440" t="s">
        <v>134</v>
      </c>
      <c r="Q1440" t="s">
        <v>237</v>
      </c>
      <c r="R1440" t="s">
        <v>179</v>
      </c>
      <c r="S1440" t="s">
        <v>180</v>
      </c>
      <c r="T1440" t="s">
        <v>162</v>
      </c>
      <c r="U1440" t="s">
        <v>191</v>
      </c>
      <c r="V1440" t="s">
        <v>73</v>
      </c>
      <c r="W1440" s="58">
        <v>43312</v>
      </c>
      <c r="X1440" s="59">
        <v>0.70833333333333337</v>
      </c>
      <c r="Y1440" s="59">
        <v>0.83333333333333337</v>
      </c>
      <c r="Z1440" s="59">
        <v>0.125</v>
      </c>
      <c r="AA1440">
        <v>0</v>
      </c>
      <c r="AC1440">
        <v>0</v>
      </c>
      <c r="AD1440">
        <v>0</v>
      </c>
      <c r="AE1440" s="59">
        <v>0.70833333333333337</v>
      </c>
      <c r="AF1440" s="59">
        <v>0.83263888888888893</v>
      </c>
      <c r="AG1440">
        <v>37.5</v>
      </c>
    </row>
    <row r="1441" spans="1:33" x14ac:dyDescent="0.25">
      <c r="B1441" t="s">
        <v>331</v>
      </c>
      <c r="C1441" t="s">
        <v>332</v>
      </c>
      <c r="E1441" t="s">
        <v>333</v>
      </c>
      <c r="F1441" t="s">
        <v>134</v>
      </c>
      <c r="G1441" t="s">
        <v>218</v>
      </c>
      <c r="H1441" t="s">
        <v>177</v>
      </c>
      <c r="I1441" t="s">
        <v>158</v>
      </c>
      <c r="J1441" t="s">
        <v>266</v>
      </c>
      <c r="K1441" t="s">
        <v>422</v>
      </c>
      <c r="L1441" t="s">
        <v>423</v>
      </c>
      <c r="M1441" t="s">
        <v>424</v>
      </c>
      <c r="N1441" t="s">
        <v>425</v>
      </c>
      <c r="O1441" t="s">
        <v>134</v>
      </c>
      <c r="Q1441" t="s">
        <v>237</v>
      </c>
      <c r="R1441" t="s">
        <v>179</v>
      </c>
      <c r="S1441" t="s">
        <v>180</v>
      </c>
      <c r="T1441" t="s">
        <v>162</v>
      </c>
      <c r="U1441" t="s">
        <v>191</v>
      </c>
      <c r="V1441" t="s">
        <v>74</v>
      </c>
      <c r="W1441" s="58">
        <v>43313</v>
      </c>
      <c r="X1441" s="59">
        <v>0.70833333333333337</v>
      </c>
      <c r="Y1441" s="59">
        <v>0.83333333333333337</v>
      </c>
      <c r="Z1441" s="59">
        <v>0.125</v>
      </c>
      <c r="AA1441">
        <v>0</v>
      </c>
      <c r="AC1441">
        <v>0</v>
      </c>
      <c r="AD1441">
        <v>0</v>
      </c>
      <c r="AE1441" s="59">
        <v>0.70833333333333337</v>
      </c>
      <c r="AF1441" s="59">
        <v>0.83263888888888893</v>
      </c>
      <c r="AG1441">
        <v>37.5</v>
      </c>
    </row>
    <row r="1442" spans="1:33" x14ac:dyDescent="0.25">
      <c r="B1442" t="s">
        <v>331</v>
      </c>
      <c r="C1442" t="s">
        <v>332</v>
      </c>
      <c r="E1442" t="s">
        <v>333</v>
      </c>
      <c r="F1442" t="s">
        <v>134</v>
      </c>
      <c r="G1442" t="s">
        <v>218</v>
      </c>
      <c r="H1442" t="s">
        <v>177</v>
      </c>
      <c r="I1442" t="s">
        <v>158</v>
      </c>
      <c r="J1442" t="s">
        <v>266</v>
      </c>
      <c r="K1442" t="s">
        <v>422</v>
      </c>
      <c r="L1442" t="s">
        <v>423</v>
      </c>
      <c r="M1442" t="s">
        <v>424</v>
      </c>
      <c r="N1442" t="s">
        <v>425</v>
      </c>
      <c r="O1442" t="s">
        <v>134</v>
      </c>
      <c r="Q1442" t="s">
        <v>237</v>
      </c>
      <c r="R1442" t="s">
        <v>179</v>
      </c>
      <c r="S1442" t="s">
        <v>180</v>
      </c>
      <c r="T1442" t="s">
        <v>162</v>
      </c>
      <c r="U1442" t="s">
        <v>191</v>
      </c>
      <c r="V1442" t="s">
        <v>75</v>
      </c>
      <c r="W1442" s="58">
        <v>43314</v>
      </c>
      <c r="X1442" s="59">
        <v>0.29166666666666669</v>
      </c>
      <c r="Y1442" s="59">
        <v>0.375</v>
      </c>
      <c r="Z1442" s="59">
        <v>8.3333333333333329E-2</v>
      </c>
      <c r="AA1442">
        <v>0</v>
      </c>
      <c r="AC1442">
        <v>0</v>
      </c>
      <c r="AD1442">
        <v>0</v>
      </c>
      <c r="AE1442" s="59">
        <v>0.29166666666666669</v>
      </c>
      <c r="AF1442" s="59">
        <v>0.3743055555555555</v>
      </c>
      <c r="AG1442">
        <v>37.5</v>
      </c>
    </row>
    <row r="1443" spans="1:33" x14ac:dyDescent="0.25">
      <c r="A1443" t="s">
        <v>266</v>
      </c>
      <c r="B1443" t="s">
        <v>293</v>
      </c>
      <c r="C1443" t="s">
        <v>294</v>
      </c>
      <c r="E1443" t="s">
        <v>295</v>
      </c>
      <c r="F1443" t="s">
        <v>134</v>
      </c>
      <c r="H1443" t="s">
        <v>157</v>
      </c>
      <c r="I1443" t="s">
        <v>158</v>
      </c>
      <c r="J1443" t="s">
        <v>266</v>
      </c>
      <c r="K1443" t="s">
        <v>422</v>
      </c>
      <c r="L1443" t="s">
        <v>423</v>
      </c>
      <c r="M1443" t="s">
        <v>424</v>
      </c>
      <c r="N1443" t="s">
        <v>425</v>
      </c>
      <c r="O1443" t="s">
        <v>134</v>
      </c>
      <c r="Q1443" t="s">
        <v>237</v>
      </c>
      <c r="R1443" t="s">
        <v>161</v>
      </c>
      <c r="S1443" t="s">
        <v>128</v>
      </c>
      <c r="T1443" t="s">
        <v>162</v>
      </c>
      <c r="U1443" t="s">
        <v>163</v>
      </c>
      <c r="V1443" t="s">
        <v>76</v>
      </c>
      <c r="W1443" s="58">
        <v>43315</v>
      </c>
      <c r="X1443" s="59">
        <v>0.41666666666666669</v>
      </c>
      <c r="Y1443" s="59">
        <v>0.5</v>
      </c>
      <c r="Z1443" s="59">
        <v>8.3333333333333329E-2</v>
      </c>
      <c r="AA1443">
        <v>0</v>
      </c>
      <c r="AC1443">
        <v>36</v>
      </c>
      <c r="AD1443">
        <v>20</v>
      </c>
      <c r="AE1443" s="59">
        <v>0.41666666666666669</v>
      </c>
      <c r="AF1443" s="59">
        <v>0.4993055555555555</v>
      </c>
      <c r="AG1443">
        <v>37.5</v>
      </c>
    </row>
    <row r="1444" spans="1:33" x14ac:dyDescent="0.25">
      <c r="A1444" t="s">
        <v>274</v>
      </c>
      <c r="B1444" t="s">
        <v>328</v>
      </c>
      <c r="C1444" t="s">
        <v>329</v>
      </c>
      <c r="D1444">
        <v>5</v>
      </c>
      <c r="E1444" t="s">
        <v>330</v>
      </c>
      <c r="F1444" t="s">
        <v>134</v>
      </c>
      <c r="G1444" t="s">
        <v>218</v>
      </c>
      <c r="H1444" t="s">
        <v>188</v>
      </c>
      <c r="I1444" t="s">
        <v>189</v>
      </c>
      <c r="J1444" t="s">
        <v>266</v>
      </c>
      <c r="K1444" t="s">
        <v>422</v>
      </c>
      <c r="L1444" t="s">
        <v>423</v>
      </c>
      <c r="M1444" t="s">
        <v>424</v>
      </c>
      <c r="N1444" t="s">
        <v>425</v>
      </c>
      <c r="O1444" t="s">
        <v>134</v>
      </c>
      <c r="Q1444" t="s">
        <v>237</v>
      </c>
      <c r="R1444" t="s">
        <v>190</v>
      </c>
      <c r="S1444" t="s">
        <v>128</v>
      </c>
      <c r="T1444" t="s">
        <v>162</v>
      </c>
      <c r="U1444" t="s">
        <v>151</v>
      </c>
      <c r="V1444" t="s">
        <v>76</v>
      </c>
      <c r="W1444" s="58">
        <v>43315</v>
      </c>
      <c r="X1444" s="59">
        <v>0.54166666666666663</v>
      </c>
      <c r="Y1444" s="59">
        <v>0.66666666666666663</v>
      </c>
      <c r="Z1444" s="59">
        <v>0.125</v>
      </c>
      <c r="AA1444">
        <v>0</v>
      </c>
      <c r="AB1444">
        <v>11.581799999999999</v>
      </c>
      <c r="AC1444">
        <v>60</v>
      </c>
      <c r="AD1444">
        <v>30</v>
      </c>
      <c r="AE1444" s="59">
        <v>0.54166666666666663</v>
      </c>
      <c r="AF1444" s="59">
        <v>0.66597222222222219</v>
      </c>
      <c r="AG1444">
        <v>37.5</v>
      </c>
    </row>
    <row r="1445" spans="1:33" x14ac:dyDescent="0.25">
      <c r="B1445" t="s">
        <v>331</v>
      </c>
      <c r="C1445" t="s">
        <v>332</v>
      </c>
      <c r="E1445" t="s">
        <v>333</v>
      </c>
      <c r="F1445" t="s">
        <v>134</v>
      </c>
      <c r="G1445" t="s">
        <v>218</v>
      </c>
      <c r="H1445" t="s">
        <v>177</v>
      </c>
      <c r="I1445" t="s">
        <v>158</v>
      </c>
      <c r="J1445" t="s">
        <v>266</v>
      </c>
      <c r="K1445" t="s">
        <v>422</v>
      </c>
      <c r="L1445" t="s">
        <v>423</v>
      </c>
      <c r="M1445" t="s">
        <v>424</v>
      </c>
      <c r="N1445" t="s">
        <v>425</v>
      </c>
      <c r="O1445" t="s">
        <v>134</v>
      </c>
      <c r="Q1445" t="s">
        <v>237</v>
      </c>
      <c r="R1445" t="s">
        <v>179</v>
      </c>
      <c r="S1445" t="s">
        <v>180</v>
      </c>
      <c r="T1445" t="s">
        <v>162</v>
      </c>
      <c r="U1445" t="s">
        <v>191</v>
      </c>
      <c r="V1445" t="s">
        <v>76</v>
      </c>
      <c r="W1445" s="58">
        <v>43315</v>
      </c>
      <c r="X1445" s="59">
        <v>0.70833333333333337</v>
      </c>
      <c r="Y1445" s="59">
        <v>0.83333333333333337</v>
      </c>
      <c r="Z1445" s="59">
        <v>0.125</v>
      </c>
      <c r="AA1445">
        <v>0</v>
      </c>
      <c r="AB1445">
        <v>11.574999999999999</v>
      </c>
      <c r="AC1445">
        <v>0</v>
      </c>
      <c r="AD1445">
        <v>0</v>
      </c>
      <c r="AE1445" s="59">
        <v>0.70833333333333337</v>
      </c>
      <c r="AF1445" s="59">
        <v>0.83263888888888893</v>
      </c>
      <c r="AG1445">
        <v>37.5</v>
      </c>
    </row>
    <row r="1446" spans="1:33" x14ac:dyDescent="0.25">
      <c r="B1446" t="s">
        <v>331</v>
      </c>
      <c r="C1446" t="s">
        <v>332</v>
      </c>
      <c r="E1446" t="s">
        <v>333</v>
      </c>
      <c r="F1446" t="s">
        <v>134</v>
      </c>
      <c r="G1446" t="s">
        <v>218</v>
      </c>
      <c r="H1446" t="s">
        <v>177</v>
      </c>
      <c r="I1446" t="s">
        <v>158</v>
      </c>
      <c r="J1446" t="s">
        <v>266</v>
      </c>
      <c r="K1446" t="s">
        <v>422</v>
      </c>
      <c r="L1446" t="s">
        <v>423</v>
      </c>
      <c r="M1446" t="s">
        <v>424</v>
      </c>
      <c r="N1446" t="s">
        <v>425</v>
      </c>
      <c r="O1446" t="s">
        <v>134</v>
      </c>
      <c r="Q1446" t="s">
        <v>237</v>
      </c>
      <c r="R1446" t="s">
        <v>179</v>
      </c>
      <c r="S1446" t="s">
        <v>180</v>
      </c>
      <c r="T1446" t="s">
        <v>162</v>
      </c>
      <c r="U1446" t="s">
        <v>191</v>
      </c>
      <c r="V1446" t="s">
        <v>77</v>
      </c>
      <c r="W1446" s="58">
        <v>43316</v>
      </c>
      <c r="X1446" s="59">
        <v>0.29166666666666669</v>
      </c>
      <c r="Y1446" s="59">
        <v>0.41666666666666669</v>
      </c>
      <c r="Z1446" s="59">
        <v>0.125</v>
      </c>
      <c r="AA1446">
        <v>0</v>
      </c>
      <c r="AC1446">
        <v>0</v>
      </c>
      <c r="AD1446">
        <v>0</v>
      </c>
      <c r="AE1446" s="59">
        <v>0.29166666666666669</v>
      </c>
      <c r="AF1446" s="59">
        <v>0.41597222222222219</v>
      </c>
      <c r="AG1446">
        <v>37.5</v>
      </c>
    </row>
    <row r="1447" spans="1:33" x14ac:dyDescent="0.25">
      <c r="B1447" t="s">
        <v>331</v>
      </c>
      <c r="C1447" t="s">
        <v>332</v>
      </c>
      <c r="E1447" t="s">
        <v>333</v>
      </c>
      <c r="F1447" t="s">
        <v>134</v>
      </c>
      <c r="G1447" t="s">
        <v>218</v>
      </c>
      <c r="H1447" t="s">
        <v>177</v>
      </c>
      <c r="I1447" t="s">
        <v>158</v>
      </c>
      <c r="J1447" t="s">
        <v>266</v>
      </c>
      <c r="K1447" t="s">
        <v>422</v>
      </c>
      <c r="L1447" t="s">
        <v>423</v>
      </c>
      <c r="M1447" t="s">
        <v>424</v>
      </c>
      <c r="N1447" t="s">
        <v>425</v>
      </c>
      <c r="O1447" t="s">
        <v>134</v>
      </c>
      <c r="Q1447" t="s">
        <v>237</v>
      </c>
      <c r="R1447" t="s">
        <v>179</v>
      </c>
      <c r="S1447" t="s">
        <v>180</v>
      </c>
      <c r="T1447" t="s">
        <v>162</v>
      </c>
      <c r="U1447" t="s">
        <v>191</v>
      </c>
      <c r="V1447" t="s">
        <v>77</v>
      </c>
      <c r="W1447" s="58">
        <v>43316</v>
      </c>
      <c r="X1447" s="59">
        <v>0.70833333333333337</v>
      </c>
      <c r="Y1447" s="59">
        <v>0.83333333333333337</v>
      </c>
      <c r="Z1447" s="59">
        <v>0.125</v>
      </c>
      <c r="AA1447">
        <v>0</v>
      </c>
      <c r="AC1447">
        <v>0</v>
      </c>
      <c r="AD1447">
        <v>0</v>
      </c>
      <c r="AE1447" s="59">
        <v>0.70833333333333337</v>
      </c>
      <c r="AF1447" s="59">
        <v>0.83263888888888893</v>
      </c>
      <c r="AG1447">
        <v>37.5</v>
      </c>
    </row>
    <row r="1448" spans="1:33" x14ac:dyDescent="0.25">
      <c r="B1448" t="s">
        <v>331</v>
      </c>
      <c r="C1448" t="s">
        <v>332</v>
      </c>
      <c r="E1448" t="s">
        <v>333</v>
      </c>
      <c r="F1448" t="s">
        <v>134</v>
      </c>
      <c r="G1448" t="s">
        <v>218</v>
      </c>
      <c r="H1448" t="s">
        <v>177</v>
      </c>
      <c r="I1448" t="s">
        <v>158</v>
      </c>
      <c r="J1448" t="s">
        <v>266</v>
      </c>
      <c r="K1448" t="s">
        <v>422</v>
      </c>
      <c r="L1448" t="s">
        <v>423</v>
      </c>
      <c r="M1448" t="s">
        <v>424</v>
      </c>
      <c r="N1448" t="s">
        <v>425</v>
      </c>
      <c r="O1448" t="s">
        <v>134</v>
      </c>
      <c r="Q1448" t="s">
        <v>237</v>
      </c>
      <c r="R1448" t="s">
        <v>179</v>
      </c>
      <c r="S1448" t="s">
        <v>180</v>
      </c>
      <c r="T1448" t="s">
        <v>162</v>
      </c>
      <c r="U1448" t="s">
        <v>191</v>
      </c>
      <c r="V1448" t="s">
        <v>71</v>
      </c>
      <c r="W1448" s="58">
        <v>43317</v>
      </c>
      <c r="X1448" s="59">
        <v>0.29166666666666669</v>
      </c>
      <c r="Y1448" s="59">
        <v>0.41666666666666669</v>
      </c>
      <c r="Z1448" s="59">
        <v>0.125</v>
      </c>
      <c r="AA1448">
        <v>0</v>
      </c>
      <c r="AC1448">
        <v>0</v>
      </c>
      <c r="AD1448">
        <v>0</v>
      </c>
      <c r="AE1448" s="59">
        <v>0.29166666666666669</v>
      </c>
      <c r="AF1448" s="59">
        <v>0.41597222222222219</v>
      </c>
      <c r="AG1448">
        <v>37.5</v>
      </c>
    </row>
    <row r="1449" spans="1:33" x14ac:dyDescent="0.25">
      <c r="B1449" t="s">
        <v>331</v>
      </c>
      <c r="C1449" t="s">
        <v>332</v>
      </c>
      <c r="E1449" t="s">
        <v>333</v>
      </c>
      <c r="F1449" t="s">
        <v>134</v>
      </c>
      <c r="G1449" t="s">
        <v>218</v>
      </c>
      <c r="H1449" t="s">
        <v>177</v>
      </c>
      <c r="I1449" t="s">
        <v>158</v>
      </c>
      <c r="J1449" t="s">
        <v>266</v>
      </c>
      <c r="K1449" t="s">
        <v>422</v>
      </c>
      <c r="L1449" t="s">
        <v>423</v>
      </c>
      <c r="M1449" t="s">
        <v>424</v>
      </c>
      <c r="N1449" t="s">
        <v>425</v>
      </c>
      <c r="O1449" t="s">
        <v>134</v>
      </c>
      <c r="Q1449" t="s">
        <v>237</v>
      </c>
      <c r="R1449" t="s">
        <v>179</v>
      </c>
      <c r="S1449" t="s">
        <v>180</v>
      </c>
      <c r="T1449" t="s">
        <v>162</v>
      </c>
      <c r="U1449" t="s">
        <v>191</v>
      </c>
      <c r="V1449" t="s">
        <v>71</v>
      </c>
      <c r="W1449" s="58">
        <v>43317</v>
      </c>
      <c r="X1449" s="59">
        <v>0.70833333333333337</v>
      </c>
      <c r="Y1449" s="59">
        <v>0.83333333333333337</v>
      </c>
      <c r="Z1449" s="59">
        <v>0.125</v>
      </c>
      <c r="AA1449">
        <v>0</v>
      </c>
      <c r="AC1449">
        <v>0</v>
      </c>
      <c r="AD1449">
        <v>0</v>
      </c>
      <c r="AE1449" s="59">
        <v>0.70833333333333337</v>
      </c>
      <c r="AF1449" s="59">
        <v>0.83263888888888893</v>
      </c>
      <c r="AG1449">
        <v>37.5</v>
      </c>
    </row>
    <row r="1450" spans="1:33" x14ac:dyDescent="0.25">
      <c r="A1450" t="s">
        <v>258</v>
      </c>
      <c r="B1450" t="s">
        <v>281</v>
      </c>
      <c r="C1450" t="s">
        <v>282</v>
      </c>
      <c r="E1450" t="s">
        <v>283</v>
      </c>
      <c r="F1450" t="s">
        <v>134</v>
      </c>
      <c r="G1450" t="s">
        <v>218</v>
      </c>
      <c r="H1450" t="s">
        <v>146</v>
      </c>
      <c r="I1450" t="s">
        <v>147</v>
      </c>
      <c r="J1450" t="s">
        <v>266</v>
      </c>
      <c r="K1450" t="s">
        <v>422</v>
      </c>
      <c r="L1450" t="s">
        <v>423</v>
      </c>
      <c r="M1450" t="s">
        <v>424</v>
      </c>
      <c r="N1450" t="s">
        <v>425</v>
      </c>
      <c r="O1450" t="s">
        <v>134</v>
      </c>
      <c r="Q1450" t="s">
        <v>237</v>
      </c>
      <c r="R1450" t="s">
        <v>148</v>
      </c>
      <c r="S1450" t="s">
        <v>128</v>
      </c>
      <c r="T1450" t="s">
        <v>162</v>
      </c>
      <c r="U1450" t="s">
        <v>129</v>
      </c>
      <c r="V1450" t="s">
        <v>72</v>
      </c>
      <c r="W1450" s="58">
        <v>43325</v>
      </c>
      <c r="X1450" s="59">
        <v>0.3125</v>
      </c>
      <c r="Y1450" s="59">
        <v>0.35416666666666669</v>
      </c>
      <c r="Z1450" s="59">
        <v>4.1666666666666664E-2</v>
      </c>
      <c r="AA1450">
        <v>0</v>
      </c>
      <c r="AD1450">
        <v>10</v>
      </c>
      <c r="AE1450" s="59">
        <v>0.3125</v>
      </c>
      <c r="AF1450" s="59">
        <v>0.35347222222222219</v>
      </c>
      <c r="AG1450">
        <v>37.5</v>
      </c>
    </row>
    <row r="1451" spans="1:33" x14ac:dyDescent="0.25">
      <c r="A1451" t="s">
        <v>274</v>
      </c>
      <c r="B1451" t="s">
        <v>336</v>
      </c>
      <c r="C1451" t="s">
        <v>337</v>
      </c>
      <c r="E1451" t="s">
        <v>338</v>
      </c>
      <c r="F1451" t="s">
        <v>134</v>
      </c>
      <c r="H1451" t="s">
        <v>186</v>
      </c>
      <c r="I1451" t="s">
        <v>147</v>
      </c>
      <c r="J1451" t="s">
        <v>266</v>
      </c>
      <c r="K1451" t="s">
        <v>422</v>
      </c>
      <c r="L1451" t="s">
        <v>423</v>
      </c>
      <c r="M1451" t="s">
        <v>424</v>
      </c>
      <c r="N1451" t="s">
        <v>425</v>
      </c>
      <c r="O1451" t="s">
        <v>134</v>
      </c>
      <c r="Q1451" t="s">
        <v>237</v>
      </c>
      <c r="R1451" t="s">
        <v>187</v>
      </c>
      <c r="S1451" t="s">
        <v>128</v>
      </c>
      <c r="T1451" t="s">
        <v>162</v>
      </c>
      <c r="U1451" t="s">
        <v>151</v>
      </c>
      <c r="V1451" t="s">
        <v>72</v>
      </c>
      <c r="W1451" s="58">
        <v>43325</v>
      </c>
      <c r="X1451" s="59">
        <v>0.38194444444444442</v>
      </c>
      <c r="Y1451" s="59">
        <v>0.4236111111111111</v>
      </c>
      <c r="Z1451" s="59">
        <v>4.1666666666666664E-2</v>
      </c>
      <c r="AA1451">
        <v>0</v>
      </c>
      <c r="AB1451">
        <v>1.2876000000000001</v>
      </c>
      <c r="AC1451">
        <v>20</v>
      </c>
      <c r="AD1451">
        <v>10</v>
      </c>
      <c r="AE1451" s="59">
        <v>0.38194444444444442</v>
      </c>
      <c r="AF1451" s="59">
        <v>0.42291666666666666</v>
      </c>
      <c r="AG1451">
        <v>37.5</v>
      </c>
    </row>
    <row r="1452" spans="1:33" x14ac:dyDescent="0.25">
      <c r="A1452" t="s">
        <v>258</v>
      </c>
      <c r="B1452" t="s">
        <v>281</v>
      </c>
      <c r="C1452" t="s">
        <v>282</v>
      </c>
      <c r="E1452" t="s">
        <v>283</v>
      </c>
      <c r="F1452" t="s">
        <v>134</v>
      </c>
      <c r="G1452" t="s">
        <v>218</v>
      </c>
      <c r="H1452" t="s">
        <v>146</v>
      </c>
      <c r="I1452" t="s">
        <v>147</v>
      </c>
      <c r="J1452" t="s">
        <v>266</v>
      </c>
      <c r="K1452" t="s">
        <v>422</v>
      </c>
      <c r="L1452" t="s">
        <v>423</v>
      </c>
      <c r="M1452" t="s">
        <v>424</v>
      </c>
      <c r="N1452" t="s">
        <v>425</v>
      </c>
      <c r="O1452" t="s">
        <v>134</v>
      </c>
      <c r="Q1452" t="s">
        <v>237</v>
      </c>
      <c r="R1452" t="s">
        <v>148</v>
      </c>
      <c r="S1452" t="s">
        <v>128</v>
      </c>
      <c r="T1452" t="s">
        <v>162</v>
      </c>
      <c r="U1452" t="s">
        <v>129</v>
      </c>
      <c r="V1452" t="s">
        <v>72</v>
      </c>
      <c r="W1452" s="58">
        <v>43325</v>
      </c>
      <c r="X1452" s="59">
        <v>0.75</v>
      </c>
      <c r="Y1452" s="59">
        <v>0.79166666666666663</v>
      </c>
      <c r="Z1452" s="59">
        <v>4.1666666666666664E-2</v>
      </c>
      <c r="AA1452">
        <v>0</v>
      </c>
      <c r="AD1452">
        <v>10</v>
      </c>
      <c r="AE1452" s="59">
        <v>0.75</v>
      </c>
      <c r="AF1452" s="59">
        <v>0.7909722222222223</v>
      </c>
      <c r="AG1452">
        <v>37.5</v>
      </c>
    </row>
    <row r="1453" spans="1:33" x14ac:dyDescent="0.25">
      <c r="A1453" t="s">
        <v>258</v>
      </c>
      <c r="B1453" t="s">
        <v>354</v>
      </c>
      <c r="C1453" t="s">
        <v>355</v>
      </c>
      <c r="E1453" t="s">
        <v>356</v>
      </c>
      <c r="F1453" t="s">
        <v>134</v>
      </c>
      <c r="H1453" t="s">
        <v>205</v>
      </c>
      <c r="I1453" t="s">
        <v>198</v>
      </c>
      <c r="J1453" t="s">
        <v>266</v>
      </c>
      <c r="K1453" t="s">
        <v>422</v>
      </c>
      <c r="L1453" t="s">
        <v>423</v>
      </c>
      <c r="M1453" t="s">
        <v>424</v>
      </c>
      <c r="N1453" t="s">
        <v>425</v>
      </c>
      <c r="O1453" t="s">
        <v>134</v>
      </c>
      <c r="Q1453" t="s">
        <v>237</v>
      </c>
      <c r="R1453" t="s">
        <v>206</v>
      </c>
      <c r="S1453" t="s">
        <v>128</v>
      </c>
      <c r="T1453" t="s">
        <v>162</v>
      </c>
      <c r="U1453" t="s">
        <v>129</v>
      </c>
      <c r="V1453" t="s">
        <v>73</v>
      </c>
      <c r="W1453" s="58">
        <v>43326</v>
      </c>
      <c r="X1453" s="59">
        <v>0.3888888888888889</v>
      </c>
      <c r="Y1453" s="59">
        <v>0.43055555555555558</v>
      </c>
      <c r="Z1453" s="59">
        <v>4.1666666666666664E-2</v>
      </c>
      <c r="AA1453">
        <v>0</v>
      </c>
      <c r="AD1453">
        <v>10</v>
      </c>
      <c r="AE1453" s="59">
        <v>0.3888888888888889</v>
      </c>
      <c r="AF1453" s="59">
        <v>0.42986111111111108</v>
      </c>
      <c r="AG1453">
        <v>37.5</v>
      </c>
    </row>
    <row r="1454" spans="1:33" x14ac:dyDescent="0.25">
      <c r="A1454" t="s">
        <v>266</v>
      </c>
      <c r="B1454" t="s">
        <v>293</v>
      </c>
      <c r="C1454" t="s">
        <v>294</v>
      </c>
      <c r="E1454" t="s">
        <v>295</v>
      </c>
      <c r="F1454" t="s">
        <v>134</v>
      </c>
      <c r="H1454" t="s">
        <v>157</v>
      </c>
      <c r="I1454" t="s">
        <v>158</v>
      </c>
      <c r="J1454" t="s">
        <v>266</v>
      </c>
      <c r="K1454" t="s">
        <v>422</v>
      </c>
      <c r="L1454" t="s">
        <v>423</v>
      </c>
      <c r="M1454" t="s">
        <v>424</v>
      </c>
      <c r="N1454" t="s">
        <v>425</v>
      </c>
      <c r="O1454" t="s">
        <v>134</v>
      </c>
      <c r="Q1454" t="s">
        <v>237</v>
      </c>
      <c r="R1454" t="s">
        <v>161</v>
      </c>
      <c r="S1454" t="s">
        <v>128</v>
      </c>
      <c r="T1454" t="s">
        <v>162</v>
      </c>
      <c r="U1454" t="s">
        <v>163</v>
      </c>
      <c r="V1454" t="s">
        <v>73</v>
      </c>
      <c r="W1454" s="58">
        <v>43326</v>
      </c>
      <c r="X1454" s="59">
        <v>0.55208333333333337</v>
      </c>
      <c r="Y1454" s="59">
        <v>0.6875</v>
      </c>
      <c r="Z1454" s="59">
        <v>0.13541666666666666</v>
      </c>
      <c r="AA1454">
        <v>0</v>
      </c>
      <c r="AB1454">
        <v>7.6101999999999999</v>
      </c>
      <c r="AC1454">
        <v>58.5</v>
      </c>
      <c r="AD1454">
        <v>32.5</v>
      </c>
      <c r="AE1454" s="59">
        <v>0.55208333333333337</v>
      </c>
      <c r="AF1454" s="59">
        <v>0.66597222222222219</v>
      </c>
      <c r="AG1454">
        <v>37.5</v>
      </c>
    </row>
    <row r="1455" spans="1:33" x14ac:dyDescent="0.25">
      <c r="A1455" t="s">
        <v>258</v>
      </c>
      <c r="B1455" t="s">
        <v>354</v>
      </c>
      <c r="C1455" t="s">
        <v>355</v>
      </c>
      <c r="E1455" t="s">
        <v>356</v>
      </c>
      <c r="F1455" t="s">
        <v>134</v>
      </c>
      <c r="H1455" t="s">
        <v>205</v>
      </c>
      <c r="I1455" t="s">
        <v>198</v>
      </c>
      <c r="J1455" t="s">
        <v>266</v>
      </c>
      <c r="K1455" t="s">
        <v>422</v>
      </c>
      <c r="L1455" t="s">
        <v>423</v>
      </c>
      <c r="M1455" t="s">
        <v>424</v>
      </c>
      <c r="N1455" t="s">
        <v>425</v>
      </c>
      <c r="O1455" t="s">
        <v>134</v>
      </c>
      <c r="Q1455" t="s">
        <v>237</v>
      </c>
      <c r="R1455" t="s">
        <v>206</v>
      </c>
      <c r="S1455" t="s">
        <v>128</v>
      </c>
      <c r="T1455" t="s">
        <v>162</v>
      </c>
      <c r="U1455" t="s">
        <v>129</v>
      </c>
      <c r="V1455" t="s">
        <v>76</v>
      </c>
      <c r="W1455" s="58">
        <v>43329</v>
      </c>
      <c r="X1455" s="59">
        <v>0.3888888888888889</v>
      </c>
      <c r="Y1455" s="59">
        <v>0.43055555555555558</v>
      </c>
      <c r="Z1455" s="59">
        <v>4.1666666666666664E-2</v>
      </c>
      <c r="AA1455">
        <v>0</v>
      </c>
      <c r="AD1455">
        <v>10</v>
      </c>
      <c r="AE1455" s="59">
        <v>0.3888888888888889</v>
      </c>
      <c r="AF1455" s="59">
        <v>0.42986111111111108</v>
      </c>
      <c r="AG1455">
        <v>37.5</v>
      </c>
    </row>
    <row r="1456" spans="1:33" x14ac:dyDescent="0.25">
      <c r="A1456" t="s">
        <v>258</v>
      </c>
      <c r="B1456" t="s">
        <v>325</v>
      </c>
      <c r="C1456" t="s">
        <v>326</v>
      </c>
      <c r="E1456" t="s">
        <v>327</v>
      </c>
      <c r="F1456" t="s">
        <v>134</v>
      </c>
      <c r="H1456" t="s">
        <v>182</v>
      </c>
      <c r="I1456" t="s">
        <v>147</v>
      </c>
      <c r="J1456" t="s">
        <v>266</v>
      </c>
      <c r="K1456" t="s">
        <v>422</v>
      </c>
      <c r="L1456" t="s">
        <v>423</v>
      </c>
      <c r="M1456" t="s">
        <v>424</v>
      </c>
      <c r="N1456" t="s">
        <v>425</v>
      </c>
      <c r="O1456" t="s">
        <v>134</v>
      </c>
      <c r="Q1456" t="s">
        <v>237</v>
      </c>
      <c r="R1456" t="s">
        <v>183</v>
      </c>
      <c r="S1456" t="s">
        <v>128</v>
      </c>
      <c r="T1456" t="s">
        <v>162</v>
      </c>
      <c r="U1456" t="s">
        <v>129</v>
      </c>
      <c r="V1456" t="s">
        <v>72</v>
      </c>
      <c r="W1456" s="58">
        <v>43332</v>
      </c>
      <c r="X1456" s="59">
        <v>0.36458333333333331</v>
      </c>
      <c r="Y1456" s="59">
        <v>0.40625</v>
      </c>
      <c r="Z1456" s="59">
        <v>4.1666666666666664E-2</v>
      </c>
      <c r="AA1456">
        <v>0</v>
      </c>
      <c r="AC1456">
        <v>23</v>
      </c>
      <c r="AD1456">
        <v>10</v>
      </c>
      <c r="AE1456" s="59">
        <v>0.36458333333333331</v>
      </c>
      <c r="AF1456" s="59">
        <v>0.4055555555555555</v>
      </c>
      <c r="AG1456">
        <v>37.5</v>
      </c>
    </row>
    <row r="1457" spans="1:33" x14ac:dyDescent="0.25">
      <c r="A1457" t="s">
        <v>274</v>
      </c>
      <c r="B1457" t="s">
        <v>321</v>
      </c>
      <c r="C1457" t="s">
        <v>322</v>
      </c>
      <c r="D1457" t="s">
        <v>323</v>
      </c>
      <c r="E1457" t="s">
        <v>324</v>
      </c>
      <c r="F1457" t="s">
        <v>134</v>
      </c>
      <c r="H1457" t="s">
        <v>184</v>
      </c>
      <c r="I1457" t="s">
        <v>147</v>
      </c>
      <c r="J1457" t="s">
        <v>266</v>
      </c>
      <c r="K1457" t="s">
        <v>422</v>
      </c>
      <c r="L1457" t="s">
        <v>423</v>
      </c>
      <c r="M1457" t="s">
        <v>424</v>
      </c>
      <c r="N1457" t="s">
        <v>425</v>
      </c>
      <c r="O1457" t="s">
        <v>134</v>
      </c>
      <c r="Q1457" t="s">
        <v>237</v>
      </c>
      <c r="R1457" t="s">
        <v>185</v>
      </c>
      <c r="S1457" t="s">
        <v>128</v>
      </c>
      <c r="T1457" t="s">
        <v>162</v>
      </c>
      <c r="U1457" t="s">
        <v>151</v>
      </c>
      <c r="V1457" t="s">
        <v>72</v>
      </c>
      <c r="W1457" s="58">
        <v>43332</v>
      </c>
      <c r="X1457" s="59">
        <v>0.41666666666666669</v>
      </c>
      <c r="Y1457" s="59">
        <v>0.45833333333333331</v>
      </c>
      <c r="Z1457" s="59">
        <v>4.1666666666666664E-2</v>
      </c>
      <c r="AA1457">
        <v>0</v>
      </c>
      <c r="AB1457">
        <v>2.2181999999999999</v>
      </c>
      <c r="AC1457">
        <v>20</v>
      </c>
      <c r="AD1457">
        <v>10</v>
      </c>
      <c r="AE1457" s="59">
        <v>0.41666666666666669</v>
      </c>
      <c r="AF1457" s="59">
        <v>0.45763888888888887</v>
      </c>
      <c r="AG1457">
        <v>37.5</v>
      </c>
    </row>
    <row r="1458" spans="1:33" x14ac:dyDescent="0.25">
      <c r="A1458" t="s">
        <v>258</v>
      </c>
      <c r="B1458" t="s">
        <v>281</v>
      </c>
      <c r="C1458" t="s">
        <v>282</v>
      </c>
      <c r="E1458" t="s">
        <v>283</v>
      </c>
      <c r="F1458" t="s">
        <v>134</v>
      </c>
      <c r="G1458" t="s">
        <v>218</v>
      </c>
      <c r="H1458" t="s">
        <v>146</v>
      </c>
      <c r="I1458" t="s">
        <v>147</v>
      </c>
      <c r="J1458" t="s">
        <v>266</v>
      </c>
      <c r="K1458" t="s">
        <v>422</v>
      </c>
      <c r="L1458" t="s">
        <v>423</v>
      </c>
      <c r="M1458" t="s">
        <v>424</v>
      </c>
      <c r="N1458" t="s">
        <v>425</v>
      </c>
      <c r="O1458" t="s">
        <v>134</v>
      </c>
      <c r="Q1458" t="s">
        <v>237</v>
      </c>
      <c r="R1458" t="s">
        <v>148</v>
      </c>
      <c r="S1458" t="s">
        <v>128</v>
      </c>
      <c r="T1458" t="s">
        <v>162</v>
      </c>
      <c r="U1458" t="s">
        <v>129</v>
      </c>
      <c r="V1458" t="s">
        <v>72</v>
      </c>
      <c r="W1458" s="58">
        <v>43332</v>
      </c>
      <c r="X1458" s="59">
        <v>0.47916666666666669</v>
      </c>
      <c r="Y1458" s="59">
        <v>0.52083333333333337</v>
      </c>
      <c r="Z1458" s="59">
        <v>4.1666666666666664E-2</v>
      </c>
      <c r="AA1458">
        <v>0</v>
      </c>
      <c r="AB1458">
        <v>1.9228000000000001</v>
      </c>
      <c r="AD1458">
        <v>10</v>
      </c>
      <c r="AE1458" s="59">
        <v>0.47916666666666669</v>
      </c>
      <c r="AF1458" s="59">
        <v>0.52013888888888882</v>
      </c>
      <c r="AG1458">
        <v>37.5</v>
      </c>
    </row>
    <row r="1459" spans="1:33" x14ac:dyDescent="0.25">
      <c r="A1459" t="s">
        <v>258</v>
      </c>
      <c r="B1459" t="s">
        <v>281</v>
      </c>
      <c r="C1459" t="s">
        <v>282</v>
      </c>
      <c r="E1459" t="s">
        <v>283</v>
      </c>
      <c r="F1459" t="s">
        <v>134</v>
      </c>
      <c r="G1459" t="s">
        <v>218</v>
      </c>
      <c r="H1459" t="s">
        <v>146</v>
      </c>
      <c r="I1459" t="s">
        <v>147</v>
      </c>
      <c r="J1459" t="s">
        <v>266</v>
      </c>
      <c r="K1459" t="s">
        <v>422</v>
      </c>
      <c r="L1459" t="s">
        <v>423</v>
      </c>
      <c r="M1459" t="s">
        <v>424</v>
      </c>
      <c r="N1459" t="s">
        <v>425</v>
      </c>
      <c r="O1459" t="s">
        <v>134</v>
      </c>
      <c r="Q1459" t="s">
        <v>237</v>
      </c>
      <c r="R1459" t="s">
        <v>148</v>
      </c>
      <c r="S1459" t="s">
        <v>128</v>
      </c>
      <c r="T1459" t="s">
        <v>162</v>
      </c>
      <c r="U1459" t="s">
        <v>129</v>
      </c>
      <c r="V1459" t="s">
        <v>72</v>
      </c>
      <c r="W1459" s="58">
        <v>43332</v>
      </c>
      <c r="X1459" s="59">
        <v>0.75</v>
      </c>
      <c r="Y1459" s="59">
        <v>0.79166666666666663</v>
      </c>
      <c r="Z1459" s="59">
        <v>4.1666666666666664E-2</v>
      </c>
      <c r="AA1459">
        <v>0</v>
      </c>
      <c r="AD1459">
        <v>10</v>
      </c>
      <c r="AE1459" s="59">
        <v>0.75</v>
      </c>
      <c r="AF1459" s="59">
        <v>0.7909722222222223</v>
      </c>
      <c r="AG1459">
        <v>37.5</v>
      </c>
    </row>
    <row r="1460" spans="1:33" x14ac:dyDescent="0.25">
      <c r="A1460" t="s">
        <v>258</v>
      </c>
      <c r="B1460" t="s">
        <v>259</v>
      </c>
      <c r="C1460" t="s">
        <v>260</v>
      </c>
      <c r="E1460" t="s">
        <v>261</v>
      </c>
      <c r="F1460" t="s">
        <v>134</v>
      </c>
      <c r="H1460" t="s">
        <v>130</v>
      </c>
      <c r="I1460" t="s">
        <v>127</v>
      </c>
      <c r="J1460" t="s">
        <v>266</v>
      </c>
      <c r="K1460" t="s">
        <v>422</v>
      </c>
      <c r="L1460" t="s">
        <v>423</v>
      </c>
      <c r="M1460" t="s">
        <v>424</v>
      </c>
      <c r="N1460" t="s">
        <v>425</v>
      </c>
      <c r="O1460" t="s">
        <v>134</v>
      </c>
      <c r="Q1460" t="s">
        <v>237</v>
      </c>
      <c r="R1460" t="s">
        <v>131</v>
      </c>
      <c r="S1460" t="s">
        <v>128</v>
      </c>
      <c r="T1460" t="s">
        <v>162</v>
      </c>
      <c r="U1460" t="s">
        <v>129</v>
      </c>
      <c r="V1460" t="s">
        <v>74</v>
      </c>
      <c r="W1460" s="58">
        <v>43334</v>
      </c>
      <c r="X1460" s="59">
        <v>0.36458333333333331</v>
      </c>
      <c r="Y1460" s="59">
        <v>0.40625</v>
      </c>
      <c r="Z1460" s="59">
        <v>4.1666666666666664E-2</v>
      </c>
      <c r="AA1460">
        <v>0</v>
      </c>
      <c r="AC1460">
        <v>23</v>
      </c>
      <c r="AD1460">
        <v>0</v>
      </c>
      <c r="AG1460">
        <v>37.5</v>
      </c>
    </row>
    <row r="1461" spans="1:33" x14ac:dyDescent="0.25">
      <c r="A1461" t="s">
        <v>258</v>
      </c>
      <c r="B1461" t="s">
        <v>342</v>
      </c>
      <c r="C1461" t="s">
        <v>343</v>
      </c>
      <c r="E1461" t="s">
        <v>344</v>
      </c>
      <c r="F1461" t="s">
        <v>134</v>
      </c>
      <c r="H1461" t="s">
        <v>197</v>
      </c>
      <c r="I1461" t="s">
        <v>198</v>
      </c>
      <c r="J1461" t="s">
        <v>266</v>
      </c>
      <c r="K1461" t="s">
        <v>422</v>
      </c>
      <c r="L1461" t="s">
        <v>423</v>
      </c>
      <c r="M1461" t="s">
        <v>424</v>
      </c>
      <c r="N1461" t="s">
        <v>425</v>
      </c>
      <c r="O1461" t="s">
        <v>134</v>
      </c>
      <c r="Q1461" t="s">
        <v>237</v>
      </c>
      <c r="R1461" t="s">
        <v>199</v>
      </c>
      <c r="S1461" t="s">
        <v>128</v>
      </c>
      <c r="T1461" t="s">
        <v>162</v>
      </c>
      <c r="U1461" t="s">
        <v>151</v>
      </c>
      <c r="V1461" t="s">
        <v>74</v>
      </c>
      <c r="W1461" s="58">
        <v>43341</v>
      </c>
      <c r="X1461" s="59">
        <v>0.33333333333333331</v>
      </c>
      <c r="Y1461" s="59">
        <v>0.375</v>
      </c>
      <c r="Z1461" s="59">
        <v>4.1666666666666664E-2</v>
      </c>
      <c r="AA1461">
        <v>0</v>
      </c>
      <c r="AC1461">
        <v>20</v>
      </c>
      <c r="AD1461">
        <v>10</v>
      </c>
      <c r="AE1461" s="59">
        <v>0.33333333333333331</v>
      </c>
      <c r="AF1461" s="59">
        <v>0.3743055555555555</v>
      </c>
      <c r="AG1461">
        <v>37.5</v>
      </c>
    </row>
    <row r="1462" spans="1:33" x14ac:dyDescent="0.25">
      <c r="A1462" t="s">
        <v>258</v>
      </c>
      <c r="B1462" t="s">
        <v>342</v>
      </c>
      <c r="C1462" t="s">
        <v>343</v>
      </c>
      <c r="E1462" t="s">
        <v>344</v>
      </c>
      <c r="F1462" t="s">
        <v>134</v>
      </c>
      <c r="H1462" t="s">
        <v>197</v>
      </c>
      <c r="I1462" t="s">
        <v>198</v>
      </c>
      <c r="J1462" t="s">
        <v>266</v>
      </c>
      <c r="K1462" t="s">
        <v>422</v>
      </c>
      <c r="L1462" t="s">
        <v>423</v>
      </c>
      <c r="M1462" t="s">
        <v>424</v>
      </c>
      <c r="N1462" t="s">
        <v>425</v>
      </c>
      <c r="O1462" t="s">
        <v>134</v>
      </c>
      <c r="Q1462" t="s">
        <v>237</v>
      </c>
      <c r="R1462" t="s">
        <v>199</v>
      </c>
      <c r="S1462" t="s">
        <v>128</v>
      </c>
      <c r="T1462" t="s">
        <v>162</v>
      </c>
      <c r="U1462" t="s">
        <v>151</v>
      </c>
      <c r="V1462" t="s">
        <v>75</v>
      </c>
      <c r="W1462" s="58">
        <v>43342</v>
      </c>
      <c r="X1462" s="59">
        <v>0.33333333333333331</v>
      </c>
      <c r="Y1462" s="59">
        <v>0.375</v>
      </c>
      <c r="Z1462" s="59">
        <v>4.1666666666666664E-2</v>
      </c>
      <c r="AA1462">
        <v>0</v>
      </c>
      <c r="AC1462">
        <v>20</v>
      </c>
      <c r="AD1462">
        <v>10</v>
      </c>
      <c r="AE1462" s="59">
        <v>0.33333333333333331</v>
      </c>
      <c r="AF1462" s="59">
        <v>0.3743055555555555</v>
      </c>
      <c r="AG1462">
        <v>37.5</v>
      </c>
    </row>
    <row r="1463" spans="1:33" x14ac:dyDescent="0.25">
      <c r="A1463" t="s">
        <v>258</v>
      </c>
      <c r="B1463" t="s">
        <v>325</v>
      </c>
      <c r="C1463" t="s">
        <v>326</v>
      </c>
      <c r="E1463" t="s">
        <v>327</v>
      </c>
      <c r="F1463" t="s">
        <v>134</v>
      </c>
      <c r="H1463" t="s">
        <v>182</v>
      </c>
      <c r="I1463" t="s">
        <v>147</v>
      </c>
      <c r="J1463" t="s">
        <v>266</v>
      </c>
      <c r="K1463" t="s">
        <v>422</v>
      </c>
      <c r="L1463" t="s">
        <v>423</v>
      </c>
      <c r="M1463" t="s">
        <v>424</v>
      </c>
      <c r="N1463" t="s">
        <v>425</v>
      </c>
      <c r="O1463" t="s">
        <v>134</v>
      </c>
      <c r="Q1463" t="s">
        <v>237</v>
      </c>
      <c r="R1463" t="s">
        <v>183</v>
      </c>
      <c r="S1463" t="s">
        <v>128</v>
      </c>
      <c r="T1463" t="s">
        <v>162</v>
      </c>
      <c r="U1463" t="s">
        <v>129</v>
      </c>
      <c r="V1463" t="s">
        <v>76</v>
      </c>
      <c r="W1463" s="58">
        <v>43343</v>
      </c>
      <c r="X1463" s="59">
        <v>0.36458333333333331</v>
      </c>
      <c r="Y1463" s="59">
        <v>0.40625</v>
      </c>
      <c r="Z1463" s="59">
        <v>4.1666666666666664E-2</v>
      </c>
      <c r="AA1463">
        <v>0</v>
      </c>
      <c r="AC1463">
        <v>23</v>
      </c>
      <c r="AD1463">
        <v>10</v>
      </c>
      <c r="AE1463" s="59">
        <v>0.36458333333333331</v>
      </c>
      <c r="AF1463" s="59">
        <v>0.4055555555555555</v>
      </c>
      <c r="AG1463">
        <v>37.5</v>
      </c>
    </row>
    <row r="1464" spans="1:33" x14ac:dyDescent="0.25">
      <c r="A1464" t="s">
        <v>274</v>
      </c>
      <c r="B1464" t="s">
        <v>321</v>
      </c>
      <c r="C1464" t="s">
        <v>322</v>
      </c>
      <c r="D1464" t="s">
        <v>323</v>
      </c>
      <c r="E1464" t="s">
        <v>324</v>
      </c>
      <c r="F1464" t="s">
        <v>134</v>
      </c>
      <c r="H1464" t="s">
        <v>184</v>
      </c>
      <c r="I1464" t="s">
        <v>147</v>
      </c>
      <c r="J1464" t="s">
        <v>266</v>
      </c>
      <c r="K1464" t="s">
        <v>422</v>
      </c>
      <c r="L1464" t="s">
        <v>423</v>
      </c>
      <c r="M1464" t="s">
        <v>424</v>
      </c>
      <c r="N1464" t="s">
        <v>425</v>
      </c>
      <c r="O1464" t="s">
        <v>134</v>
      </c>
      <c r="Q1464" t="s">
        <v>237</v>
      </c>
      <c r="R1464" t="s">
        <v>185</v>
      </c>
      <c r="S1464" t="s">
        <v>128</v>
      </c>
      <c r="T1464" t="s">
        <v>162</v>
      </c>
      <c r="U1464" t="s">
        <v>151</v>
      </c>
      <c r="V1464" t="s">
        <v>76</v>
      </c>
      <c r="W1464" s="58">
        <v>43343</v>
      </c>
      <c r="X1464" s="59">
        <v>0.41666666666666669</v>
      </c>
      <c r="Y1464" s="59">
        <v>0.45833333333333331</v>
      </c>
      <c r="Z1464" s="59">
        <v>4.1666666666666664E-2</v>
      </c>
      <c r="AA1464">
        <v>0</v>
      </c>
      <c r="AB1464">
        <v>2.2181999999999999</v>
      </c>
      <c r="AC1464">
        <v>20</v>
      </c>
      <c r="AD1464">
        <v>10</v>
      </c>
      <c r="AE1464" s="59">
        <v>0.41666666666666669</v>
      </c>
      <c r="AF1464" s="59">
        <v>0.45763888888888887</v>
      </c>
      <c r="AG1464">
        <v>37.5</v>
      </c>
    </row>
    <row r="1465" spans="1:33" x14ac:dyDescent="0.25">
      <c r="A1465" t="s">
        <v>274</v>
      </c>
      <c r="B1465" t="s">
        <v>336</v>
      </c>
      <c r="C1465" t="s">
        <v>337</v>
      </c>
      <c r="E1465" t="s">
        <v>338</v>
      </c>
      <c r="F1465" t="s">
        <v>134</v>
      </c>
      <c r="H1465" t="s">
        <v>186</v>
      </c>
      <c r="I1465" t="s">
        <v>147</v>
      </c>
      <c r="J1465" t="s">
        <v>266</v>
      </c>
      <c r="K1465" t="s">
        <v>422</v>
      </c>
      <c r="L1465" t="s">
        <v>423</v>
      </c>
      <c r="M1465" t="s">
        <v>424</v>
      </c>
      <c r="N1465" t="s">
        <v>425</v>
      </c>
      <c r="O1465" t="s">
        <v>134</v>
      </c>
      <c r="Q1465" t="s">
        <v>237</v>
      </c>
      <c r="R1465" t="s">
        <v>187</v>
      </c>
      <c r="S1465" t="s">
        <v>128</v>
      </c>
      <c r="T1465" t="s">
        <v>162</v>
      </c>
      <c r="U1465" t="s">
        <v>151</v>
      </c>
      <c r="V1465" t="s">
        <v>77</v>
      </c>
      <c r="W1465" s="58">
        <v>43344</v>
      </c>
      <c r="X1465" s="59">
        <v>0.375</v>
      </c>
      <c r="Y1465" s="59">
        <v>0.41666666666666669</v>
      </c>
      <c r="Z1465" s="59">
        <v>4.1666666666666664E-2</v>
      </c>
      <c r="AA1465">
        <v>0</v>
      </c>
      <c r="AC1465">
        <v>20</v>
      </c>
      <c r="AD1465">
        <v>11</v>
      </c>
      <c r="AE1465" s="59">
        <v>0.375</v>
      </c>
      <c r="AF1465" s="59">
        <v>0.41597222222222219</v>
      </c>
      <c r="AG1465">
        <v>37.5</v>
      </c>
    </row>
    <row r="1466" spans="1:33" x14ac:dyDescent="0.25">
      <c r="A1466" t="s">
        <v>258</v>
      </c>
      <c r="B1466" t="s">
        <v>281</v>
      </c>
      <c r="C1466" t="s">
        <v>282</v>
      </c>
      <c r="E1466" t="s">
        <v>283</v>
      </c>
      <c r="F1466" t="s">
        <v>134</v>
      </c>
      <c r="G1466" t="s">
        <v>218</v>
      </c>
      <c r="H1466" t="s">
        <v>146</v>
      </c>
      <c r="I1466" t="s">
        <v>147</v>
      </c>
      <c r="J1466" t="s">
        <v>266</v>
      </c>
      <c r="K1466" t="s">
        <v>422</v>
      </c>
      <c r="L1466" t="s">
        <v>423</v>
      </c>
      <c r="M1466" t="s">
        <v>424</v>
      </c>
      <c r="N1466" t="s">
        <v>425</v>
      </c>
      <c r="O1466" t="s">
        <v>134</v>
      </c>
      <c r="Q1466" t="s">
        <v>237</v>
      </c>
      <c r="R1466" t="s">
        <v>148</v>
      </c>
      <c r="S1466" t="s">
        <v>128</v>
      </c>
      <c r="T1466" t="s">
        <v>162</v>
      </c>
      <c r="U1466" t="s">
        <v>129</v>
      </c>
      <c r="V1466" t="s">
        <v>71</v>
      </c>
      <c r="W1466" s="58">
        <v>43345</v>
      </c>
      <c r="X1466" s="59">
        <v>0.31944444444444448</v>
      </c>
      <c r="Y1466" s="59">
        <v>0.3611111111111111</v>
      </c>
      <c r="Z1466" s="59">
        <v>4.1666666666666664E-2</v>
      </c>
      <c r="AA1466">
        <v>0</v>
      </c>
      <c r="AC1466">
        <v>23</v>
      </c>
      <c r="AD1466">
        <v>11</v>
      </c>
      <c r="AE1466" s="59">
        <v>0.31944444444444448</v>
      </c>
      <c r="AF1466" s="59">
        <v>0.36041666666666666</v>
      </c>
      <c r="AG1466">
        <v>37.5</v>
      </c>
    </row>
    <row r="1467" spans="1:33" x14ac:dyDescent="0.25">
      <c r="A1467" t="s">
        <v>258</v>
      </c>
      <c r="B1467" t="s">
        <v>325</v>
      </c>
      <c r="C1467" t="s">
        <v>326</v>
      </c>
      <c r="E1467" t="s">
        <v>327</v>
      </c>
      <c r="F1467" t="s">
        <v>134</v>
      </c>
      <c r="H1467" t="s">
        <v>182</v>
      </c>
      <c r="I1467" t="s">
        <v>147</v>
      </c>
      <c r="J1467" t="s">
        <v>266</v>
      </c>
      <c r="K1467" t="s">
        <v>422</v>
      </c>
      <c r="L1467" t="s">
        <v>423</v>
      </c>
      <c r="M1467" t="s">
        <v>424</v>
      </c>
      <c r="N1467" t="s">
        <v>425</v>
      </c>
      <c r="O1467" t="s">
        <v>134</v>
      </c>
      <c r="Q1467" t="s">
        <v>237</v>
      </c>
      <c r="R1467" t="s">
        <v>183</v>
      </c>
      <c r="S1467" t="s">
        <v>128</v>
      </c>
      <c r="T1467" t="s">
        <v>162</v>
      </c>
      <c r="U1467" t="s">
        <v>129</v>
      </c>
      <c r="V1467" t="s">
        <v>71</v>
      </c>
      <c r="W1467" s="58">
        <v>43345</v>
      </c>
      <c r="X1467" s="59">
        <v>0.36458333333333331</v>
      </c>
      <c r="Y1467" s="59">
        <v>0.40625</v>
      </c>
      <c r="Z1467" s="59">
        <v>4.1666666666666664E-2</v>
      </c>
      <c r="AA1467">
        <v>2</v>
      </c>
      <c r="AB1467">
        <v>1.2704</v>
      </c>
      <c r="AC1467">
        <v>23</v>
      </c>
      <c r="AD1467">
        <v>11</v>
      </c>
      <c r="AE1467" s="59">
        <v>0.36458333333333331</v>
      </c>
      <c r="AF1467" s="59">
        <v>0.4055555555555555</v>
      </c>
      <c r="AG1467">
        <v>37.5</v>
      </c>
    </row>
    <row r="1468" spans="1:33" x14ac:dyDescent="0.25">
      <c r="A1468" t="s">
        <v>258</v>
      </c>
      <c r="B1468" t="s">
        <v>281</v>
      </c>
      <c r="C1468" t="s">
        <v>282</v>
      </c>
      <c r="E1468" t="s">
        <v>283</v>
      </c>
      <c r="F1468" t="s">
        <v>134</v>
      </c>
      <c r="G1468" t="s">
        <v>218</v>
      </c>
      <c r="H1468" t="s">
        <v>146</v>
      </c>
      <c r="I1468" t="s">
        <v>147</v>
      </c>
      <c r="J1468" t="s">
        <v>266</v>
      </c>
      <c r="K1468" t="s">
        <v>422</v>
      </c>
      <c r="L1468" t="s">
        <v>423</v>
      </c>
      <c r="M1468" t="s">
        <v>424</v>
      </c>
      <c r="N1468" t="s">
        <v>425</v>
      </c>
      <c r="O1468" t="s">
        <v>134</v>
      </c>
      <c r="Q1468" t="s">
        <v>237</v>
      </c>
      <c r="R1468" t="s">
        <v>148</v>
      </c>
      <c r="S1468" t="s">
        <v>128</v>
      </c>
      <c r="T1468" t="s">
        <v>162</v>
      </c>
      <c r="U1468" t="s">
        <v>129</v>
      </c>
      <c r="V1468" t="s">
        <v>71</v>
      </c>
      <c r="W1468" s="58">
        <v>43345</v>
      </c>
      <c r="X1468" s="59">
        <v>0.47916666666666669</v>
      </c>
      <c r="Y1468" s="59">
        <v>0.52083333333333337</v>
      </c>
      <c r="Z1468" s="59">
        <v>4.1666666666666664E-2</v>
      </c>
      <c r="AA1468">
        <v>2</v>
      </c>
      <c r="AB1468">
        <v>1.266</v>
      </c>
      <c r="AC1468">
        <v>23</v>
      </c>
      <c r="AD1468">
        <v>11</v>
      </c>
      <c r="AE1468" s="59">
        <v>0.47916666666666669</v>
      </c>
      <c r="AF1468" s="59">
        <v>0.52013888888888882</v>
      </c>
      <c r="AG1468">
        <v>37.5</v>
      </c>
    </row>
    <row r="1469" spans="1:33" x14ac:dyDescent="0.25">
      <c r="A1469" t="s">
        <v>258</v>
      </c>
      <c r="B1469" t="s">
        <v>325</v>
      </c>
      <c r="C1469" t="s">
        <v>326</v>
      </c>
      <c r="E1469" t="s">
        <v>327</v>
      </c>
      <c r="F1469" t="s">
        <v>134</v>
      </c>
      <c r="H1469" t="s">
        <v>182</v>
      </c>
      <c r="I1469" t="s">
        <v>147</v>
      </c>
      <c r="J1469" t="s">
        <v>266</v>
      </c>
      <c r="K1469" t="s">
        <v>422</v>
      </c>
      <c r="L1469" t="s">
        <v>423</v>
      </c>
      <c r="M1469" t="s">
        <v>424</v>
      </c>
      <c r="N1469" t="s">
        <v>425</v>
      </c>
      <c r="O1469" t="s">
        <v>134</v>
      </c>
      <c r="Q1469" t="s">
        <v>237</v>
      </c>
      <c r="R1469" t="s">
        <v>183</v>
      </c>
      <c r="S1469" t="s">
        <v>128</v>
      </c>
      <c r="T1469" t="s">
        <v>162</v>
      </c>
      <c r="U1469" t="s">
        <v>129</v>
      </c>
      <c r="V1469" t="s">
        <v>72</v>
      </c>
      <c r="W1469" s="58">
        <v>43346</v>
      </c>
      <c r="X1469" s="59">
        <v>0.36458333333333331</v>
      </c>
      <c r="Y1469" s="59">
        <v>0.40625</v>
      </c>
      <c r="Z1469" s="59">
        <v>4.1666666666666664E-2</v>
      </c>
      <c r="AA1469">
        <v>0</v>
      </c>
      <c r="AC1469">
        <v>23</v>
      </c>
      <c r="AD1469">
        <v>10</v>
      </c>
      <c r="AE1469" s="59">
        <v>0.36458333333333331</v>
      </c>
      <c r="AF1469" s="59">
        <v>0.4055555555555555</v>
      </c>
      <c r="AG1469">
        <v>37.5</v>
      </c>
    </row>
    <row r="1470" spans="1:33" x14ac:dyDescent="0.25">
      <c r="A1470" t="s">
        <v>274</v>
      </c>
      <c r="B1470" t="s">
        <v>321</v>
      </c>
      <c r="C1470" t="s">
        <v>322</v>
      </c>
      <c r="D1470" t="s">
        <v>323</v>
      </c>
      <c r="E1470" t="s">
        <v>324</v>
      </c>
      <c r="F1470" t="s">
        <v>134</v>
      </c>
      <c r="H1470" t="s">
        <v>184</v>
      </c>
      <c r="I1470" t="s">
        <v>147</v>
      </c>
      <c r="J1470" t="s">
        <v>266</v>
      </c>
      <c r="K1470" t="s">
        <v>422</v>
      </c>
      <c r="L1470" t="s">
        <v>423</v>
      </c>
      <c r="M1470" t="s">
        <v>424</v>
      </c>
      <c r="N1470" t="s">
        <v>425</v>
      </c>
      <c r="O1470" t="s">
        <v>134</v>
      </c>
      <c r="Q1470" t="s">
        <v>237</v>
      </c>
      <c r="R1470" t="s">
        <v>185</v>
      </c>
      <c r="S1470" t="s">
        <v>128</v>
      </c>
      <c r="T1470" t="s">
        <v>162</v>
      </c>
      <c r="U1470" t="s">
        <v>151</v>
      </c>
      <c r="V1470" t="s">
        <v>72</v>
      </c>
      <c r="W1470" s="58">
        <v>43346</v>
      </c>
      <c r="X1470" s="59">
        <v>0.41666666666666669</v>
      </c>
      <c r="Y1470" s="59">
        <v>0.45833333333333331</v>
      </c>
      <c r="Z1470" s="59">
        <v>4.1666666666666664E-2</v>
      </c>
      <c r="AA1470">
        <v>4</v>
      </c>
      <c r="AB1470">
        <v>2.2181999999999999</v>
      </c>
      <c r="AC1470">
        <v>20</v>
      </c>
      <c r="AD1470">
        <v>10</v>
      </c>
      <c r="AE1470" s="59">
        <v>0.41666666666666669</v>
      </c>
      <c r="AF1470" s="59">
        <v>0.45763888888888887</v>
      </c>
      <c r="AG1470">
        <v>37.5</v>
      </c>
    </row>
    <row r="1471" spans="1:33" x14ac:dyDescent="0.25">
      <c r="B1471" t="s">
        <v>331</v>
      </c>
      <c r="C1471" t="s">
        <v>332</v>
      </c>
      <c r="E1471" t="s">
        <v>333</v>
      </c>
      <c r="F1471" t="s">
        <v>134</v>
      </c>
      <c r="G1471" t="s">
        <v>218</v>
      </c>
      <c r="H1471" t="s">
        <v>177</v>
      </c>
      <c r="I1471" t="s">
        <v>158</v>
      </c>
      <c r="J1471" t="s">
        <v>266</v>
      </c>
      <c r="K1471" t="s">
        <v>422</v>
      </c>
      <c r="L1471" t="s">
        <v>423</v>
      </c>
      <c r="M1471" t="s">
        <v>424</v>
      </c>
      <c r="N1471" t="s">
        <v>425</v>
      </c>
      <c r="O1471" t="s">
        <v>134</v>
      </c>
      <c r="Q1471" t="s">
        <v>237</v>
      </c>
      <c r="R1471" t="s">
        <v>179</v>
      </c>
      <c r="S1471" t="s">
        <v>128</v>
      </c>
      <c r="T1471" t="s">
        <v>162</v>
      </c>
      <c r="U1471" t="s">
        <v>191</v>
      </c>
      <c r="V1471" t="s">
        <v>72</v>
      </c>
      <c r="W1471" s="58">
        <v>43346</v>
      </c>
      <c r="X1471" s="59">
        <v>0.70833333333333337</v>
      </c>
      <c r="Y1471" s="59">
        <v>0.83333333333333337</v>
      </c>
      <c r="Z1471" s="59">
        <v>0.125</v>
      </c>
      <c r="AA1471">
        <v>0</v>
      </c>
      <c r="AC1471">
        <v>0</v>
      </c>
      <c r="AD1471">
        <v>30</v>
      </c>
      <c r="AE1471" s="59">
        <v>0.70833333333333337</v>
      </c>
      <c r="AF1471" s="59">
        <v>0.83263888888888893</v>
      </c>
      <c r="AG1471">
        <v>37.5</v>
      </c>
    </row>
    <row r="1472" spans="1:33" x14ac:dyDescent="0.25">
      <c r="B1472" t="s">
        <v>331</v>
      </c>
      <c r="C1472" t="s">
        <v>332</v>
      </c>
      <c r="E1472" t="s">
        <v>333</v>
      </c>
      <c r="F1472" t="s">
        <v>134</v>
      </c>
      <c r="G1472" t="s">
        <v>218</v>
      </c>
      <c r="H1472" t="s">
        <v>177</v>
      </c>
      <c r="I1472" t="s">
        <v>158</v>
      </c>
      <c r="J1472" t="s">
        <v>266</v>
      </c>
      <c r="K1472" t="s">
        <v>422</v>
      </c>
      <c r="L1472" t="s">
        <v>423</v>
      </c>
      <c r="M1472" t="s">
        <v>424</v>
      </c>
      <c r="N1472" t="s">
        <v>425</v>
      </c>
      <c r="O1472" t="s">
        <v>134</v>
      </c>
      <c r="Q1472" t="s">
        <v>237</v>
      </c>
      <c r="R1472" t="s">
        <v>179</v>
      </c>
      <c r="S1472" t="s">
        <v>128</v>
      </c>
      <c r="T1472" t="s">
        <v>162</v>
      </c>
      <c r="U1472" t="s">
        <v>191</v>
      </c>
      <c r="V1472" t="s">
        <v>73</v>
      </c>
      <c r="W1472" s="58">
        <v>43347</v>
      </c>
      <c r="X1472" s="59">
        <v>0.25</v>
      </c>
      <c r="Y1472" s="59">
        <v>0.33333333333333331</v>
      </c>
      <c r="Z1472" s="59">
        <v>8.3333333333333329E-2</v>
      </c>
      <c r="AA1472">
        <v>0</v>
      </c>
      <c r="AC1472">
        <v>0</v>
      </c>
      <c r="AD1472">
        <v>20</v>
      </c>
      <c r="AE1472" s="59">
        <v>0.25</v>
      </c>
      <c r="AF1472" s="59">
        <v>0.33263888888888887</v>
      </c>
      <c r="AG1472">
        <v>37.5</v>
      </c>
    </row>
    <row r="1473" spans="1:33" x14ac:dyDescent="0.25">
      <c r="A1473" t="s">
        <v>258</v>
      </c>
      <c r="B1473" t="s">
        <v>342</v>
      </c>
      <c r="C1473" t="s">
        <v>343</v>
      </c>
      <c r="E1473" t="s">
        <v>344</v>
      </c>
      <c r="F1473" t="s">
        <v>134</v>
      </c>
      <c r="H1473" t="s">
        <v>197</v>
      </c>
      <c r="I1473" t="s">
        <v>198</v>
      </c>
      <c r="J1473" t="s">
        <v>266</v>
      </c>
      <c r="K1473" t="s">
        <v>422</v>
      </c>
      <c r="L1473" t="s">
        <v>423</v>
      </c>
      <c r="M1473" t="s">
        <v>424</v>
      </c>
      <c r="N1473" t="s">
        <v>425</v>
      </c>
      <c r="O1473" t="s">
        <v>134</v>
      </c>
      <c r="Q1473" t="s">
        <v>237</v>
      </c>
      <c r="R1473" t="s">
        <v>199</v>
      </c>
      <c r="S1473" t="s">
        <v>128</v>
      </c>
      <c r="T1473" t="s">
        <v>162</v>
      </c>
      <c r="U1473" t="s">
        <v>151</v>
      </c>
      <c r="V1473" t="s">
        <v>73</v>
      </c>
      <c r="W1473" s="58">
        <v>43347</v>
      </c>
      <c r="X1473" s="59">
        <v>0.33333333333333331</v>
      </c>
      <c r="Y1473" s="59">
        <v>0.375</v>
      </c>
      <c r="Z1473" s="59">
        <v>4.1666666666666664E-2</v>
      </c>
      <c r="AA1473">
        <v>19</v>
      </c>
      <c r="AB1473">
        <v>10.715999999999999</v>
      </c>
      <c r="AC1473">
        <v>20</v>
      </c>
      <c r="AD1473">
        <v>10</v>
      </c>
      <c r="AE1473" s="59">
        <v>0.33333333333333331</v>
      </c>
      <c r="AF1473" s="59">
        <v>0.3743055555555555</v>
      </c>
      <c r="AG1473">
        <v>37.5</v>
      </c>
    </row>
    <row r="1474" spans="1:33" x14ac:dyDescent="0.25">
      <c r="A1474" t="s">
        <v>258</v>
      </c>
      <c r="B1474" t="s">
        <v>310</v>
      </c>
      <c r="C1474" t="s">
        <v>311</v>
      </c>
      <c r="D1474" t="s">
        <v>312</v>
      </c>
      <c r="E1474" t="s">
        <v>313</v>
      </c>
      <c r="F1474" t="s">
        <v>134</v>
      </c>
      <c r="H1474" t="s">
        <v>175</v>
      </c>
      <c r="I1474" t="s">
        <v>127</v>
      </c>
      <c r="J1474" t="s">
        <v>266</v>
      </c>
      <c r="K1474" t="s">
        <v>422</v>
      </c>
      <c r="L1474" t="s">
        <v>423</v>
      </c>
      <c r="M1474" t="s">
        <v>424</v>
      </c>
      <c r="N1474" t="s">
        <v>425</v>
      </c>
      <c r="O1474" t="s">
        <v>134</v>
      </c>
      <c r="Q1474" t="s">
        <v>237</v>
      </c>
      <c r="R1474" t="s">
        <v>176</v>
      </c>
      <c r="S1474" t="s">
        <v>128</v>
      </c>
      <c r="T1474" t="s">
        <v>162</v>
      </c>
      <c r="U1474" t="s">
        <v>151</v>
      </c>
      <c r="V1474" t="s">
        <v>73</v>
      </c>
      <c r="W1474" s="58">
        <v>43347</v>
      </c>
      <c r="X1474" s="59">
        <v>0.40277777777777773</v>
      </c>
      <c r="Y1474" s="59">
        <v>0.44444444444444442</v>
      </c>
      <c r="Z1474" s="59">
        <v>4.1666666666666664E-2</v>
      </c>
      <c r="AA1474">
        <v>12</v>
      </c>
      <c r="AB1474">
        <v>5.3818000000000001</v>
      </c>
      <c r="AC1474">
        <v>20</v>
      </c>
      <c r="AD1474">
        <v>10</v>
      </c>
      <c r="AE1474" s="59">
        <v>0.40277777777777773</v>
      </c>
      <c r="AF1474" s="59">
        <v>0.44375000000000003</v>
      </c>
      <c r="AG1474">
        <v>37.5</v>
      </c>
    </row>
    <row r="1475" spans="1:33" x14ac:dyDescent="0.25">
      <c r="A1475" t="s">
        <v>266</v>
      </c>
      <c r="B1475" t="s">
        <v>293</v>
      </c>
      <c r="C1475" t="s">
        <v>294</v>
      </c>
      <c r="E1475" t="s">
        <v>295</v>
      </c>
      <c r="F1475" t="s">
        <v>134</v>
      </c>
      <c r="H1475" t="s">
        <v>157</v>
      </c>
      <c r="I1475" t="s">
        <v>158</v>
      </c>
      <c r="J1475" t="s">
        <v>266</v>
      </c>
      <c r="K1475" t="s">
        <v>422</v>
      </c>
      <c r="L1475" t="s">
        <v>423</v>
      </c>
      <c r="M1475" t="s">
        <v>424</v>
      </c>
      <c r="N1475" t="s">
        <v>425</v>
      </c>
      <c r="O1475" t="s">
        <v>134</v>
      </c>
      <c r="Q1475" t="s">
        <v>237</v>
      </c>
      <c r="R1475" t="s">
        <v>161</v>
      </c>
      <c r="S1475" t="s">
        <v>128</v>
      </c>
      <c r="T1475" t="s">
        <v>162</v>
      </c>
      <c r="U1475" t="s">
        <v>163</v>
      </c>
      <c r="V1475" t="s">
        <v>73</v>
      </c>
      <c r="W1475" s="58">
        <v>43347</v>
      </c>
      <c r="X1475" s="59">
        <v>0.6875</v>
      </c>
      <c r="Y1475" s="59">
        <v>0.85416666666666663</v>
      </c>
      <c r="Z1475" s="59">
        <v>0.16666666666666666</v>
      </c>
      <c r="AA1475">
        <v>0</v>
      </c>
      <c r="AC1475">
        <v>72</v>
      </c>
      <c r="AD1475">
        <v>40</v>
      </c>
      <c r="AE1475" s="59">
        <v>0.6875</v>
      </c>
      <c r="AF1475" s="59">
        <v>0.8534722222222223</v>
      </c>
      <c r="AG1475">
        <v>37.5</v>
      </c>
    </row>
    <row r="1476" spans="1:33" x14ac:dyDescent="0.25">
      <c r="A1476" t="s">
        <v>258</v>
      </c>
      <c r="B1476" t="s">
        <v>342</v>
      </c>
      <c r="C1476" t="s">
        <v>343</v>
      </c>
      <c r="E1476" t="s">
        <v>344</v>
      </c>
      <c r="F1476" t="s">
        <v>134</v>
      </c>
      <c r="H1476" t="s">
        <v>197</v>
      </c>
      <c r="I1476" t="s">
        <v>198</v>
      </c>
      <c r="J1476" t="s">
        <v>266</v>
      </c>
      <c r="K1476" t="s">
        <v>422</v>
      </c>
      <c r="L1476" t="s">
        <v>423</v>
      </c>
      <c r="M1476" t="s">
        <v>424</v>
      </c>
      <c r="N1476" t="s">
        <v>425</v>
      </c>
      <c r="O1476" t="s">
        <v>134</v>
      </c>
      <c r="Q1476" t="s">
        <v>237</v>
      </c>
      <c r="R1476" t="s">
        <v>199</v>
      </c>
      <c r="S1476" t="s">
        <v>128</v>
      </c>
      <c r="T1476" t="s">
        <v>162</v>
      </c>
      <c r="U1476" t="s">
        <v>151</v>
      </c>
      <c r="V1476" t="s">
        <v>75</v>
      </c>
      <c r="W1476" s="58">
        <v>43349</v>
      </c>
      <c r="X1476" s="59">
        <v>0.33333333333333331</v>
      </c>
      <c r="Y1476" s="59">
        <v>0.375</v>
      </c>
      <c r="Z1476" s="59">
        <v>4.1666666666666664E-2</v>
      </c>
      <c r="AA1476">
        <v>0</v>
      </c>
      <c r="AC1476">
        <v>20</v>
      </c>
      <c r="AD1476">
        <v>10</v>
      </c>
      <c r="AE1476" s="59">
        <v>0.33333333333333331</v>
      </c>
      <c r="AF1476" s="59">
        <v>0.3743055555555555</v>
      </c>
      <c r="AG1476">
        <v>37.5</v>
      </c>
    </row>
    <row r="1477" spans="1:33" x14ac:dyDescent="0.25">
      <c r="B1477" t="s">
        <v>331</v>
      </c>
      <c r="C1477" t="s">
        <v>332</v>
      </c>
      <c r="E1477" t="s">
        <v>333</v>
      </c>
      <c r="F1477" t="s">
        <v>134</v>
      </c>
      <c r="G1477" t="s">
        <v>218</v>
      </c>
      <c r="H1477" t="s">
        <v>177</v>
      </c>
      <c r="I1477" t="s">
        <v>158</v>
      </c>
      <c r="J1477" t="s">
        <v>266</v>
      </c>
      <c r="K1477" t="s">
        <v>422</v>
      </c>
      <c r="L1477" t="s">
        <v>423</v>
      </c>
      <c r="M1477" t="s">
        <v>424</v>
      </c>
      <c r="N1477" t="s">
        <v>425</v>
      </c>
      <c r="O1477" t="s">
        <v>134</v>
      </c>
      <c r="Q1477" t="s">
        <v>237</v>
      </c>
      <c r="R1477" t="s">
        <v>179</v>
      </c>
      <c r="S1477" t="s">
        <v>128</v>
      </c>
      <c r="T1477" t="s">
        <v>162</v>
      </c>
      <c r="U1477" t="s">
        <v>191</v>
      </c>
      <c r="V1477" t="s">
        <v>75</v>
      </c>
      <c r="W1477" s="58">
        <v>43349</v>
      </c>
      <c r="X1477" s="59">
        <v>0.70833333333333337</v>
      </c>
      <c r="Y1477" s="59">
        <v>0.83333333333333337</v>
      </c>
      <c r="Z1477" s="59">
        <v>0.125</v>
      </c>
      <c r="AA1477">
        <v>0</v>
      </c>
      <c r="AC1477">
        <v>0</v>
      </c>
      <c r="AD1477">
        <v>30</v>
      </c>
      <c r="AE1477" s="59">
        <v>0.70833333333333337</v>
      </c>
      <c r="AF1477" s="59">
        <v>0.83263888888888893</v>
      </c>
      <c r="AG1477">
        <v>37.5</v>
      </c>
    </row>
    <row r="1478" spans="1:33" x14ac:dyDescent="0.25">
      <c r="A1478" t="s">
        <v>258</v>
      </c>
      <c r="B1478" t="s">
        <v>342</v>
      </c>
      <c r="C1478" t="s">
        <v>343</v>
      </c>
      <c r="E1478" t="s">
        <v>344</v>
      </c>
      <c r="F1478" t="s">
        <v>134</v>
      </c>
      <c r="H1478" t="s">
        <v>197</v>
      </c>
      <c r="I1478" t="s">
        <v>198</v>
      </c>
      <c r="J1478" t="s">
        <v>266</v>
      </c>
      <c r="K1478" t="s">
        <v>422</v>
      </c>
      <c r="L1478" t="s">
        <v>423</v>
      </c>
      <c r="M1478" t="s">
        <v>424</v>
      </c>
      <c r="N1478" t="s">
        <v>425</v>
      </c>
      <c r="O1478" t="s">
        <v>134</v>
      </c>
      <c r="Q1478" t="s">
        <v>237</v>
      </c>
      <c r="R1478" t="s">
        <v>199</v>
      </c>
      <c r="S1478" t="s">
        <v>128</v>
      </c>
      <c r="T1478" t="s">
        <v>162</v>
      </c>
      <c r="U1478" t="s">
        <v>151</v>
      </c>
      <c r="V1478" t="s">
        <v>72</v>
      </c>
      <c r="W1478" s="58">
        <v>43353</v>
      </c>
      <c r="X1478" s="59">
        <v>0.33333333333333331</v>
      </c>
      <c r="Y1478" s="59">
        <v>0.375</v>
      </c>
      <c r="Z1478" s="59">
        <v>4.1666666666666664E-2</v>
      </c>
      <c r="AA1478">
        <v>0</v>
      </c>
      <c r="AC1478">
        <v>20</v>
      </c>
      <c r="AD1478">
        <v>10</v>
      </c>
      <c r="AE1478" s="59">
        <v>0.33333333333333331</v>
      </c>
      <c r="AF1478" s="59">
        <v>0.3743055555555555</v>
      </c>
      <c r="AG1478">
        <v>37.5</v>
      </c>
    </row>
    <row r="1479" spans="1:33" x14ac:dyDescent="0.25">
      <c r="A1479" t="s">
        <v>274</v>
      </c>
      <c r="B1479" t="s">
        <v>399</v>
      </c>
      <c r="C1479" t="s">
        <v>400</v>
      </c>
      <c r="D1479" t="s">
        <v>401</v>
      </c>
      <c r="E1479" t="s">
        <v>402</v>
      </c>
      <c r="F1479" t="s">
        <v>134</v>
      </c>
      <c r="G1479" t="s">
        <v>218</v>
      </c>
      <c r="H1479" t="s">
        <v>228</v>
      </c>
      <c r="I1479" t="s">
        <v>133</v>
      </c>
      <c r="J1479" t="s">
        <v>266</v>
      </c>
      <c r="K1479" t="s">
        <v>422</v>
      </c>
      <c r="L1479" t="s">
        <v>423</v>
      </c>
      <c r="M1479" t="s">
        <v>424</v>
      </c>
      <c r="N1479" t="s">
        <v>425</v>
      </c>
      <c r="O1479" t="s">
        <v>134</v>
      </c>
      <c r="Q1479" t="s">
        <v>237</v>
      </c>
      <c r="R1479" t="s">
        <v>229</v>
      </c>
      <c r="S1479" t="s">
        <v>128</v>
      </c>
      <c r="T1479" t="s">
        <v>162</v>
      </c>
      <c r="U1479" t="s">
        <v>129</v>
      </c>
      <c r="V1479" t="s">
        <v>72</v>
      </c>
      <c r="W1479" s="58">
        <v>43353</v>
      </c>
      <c r="X1479" s="59">
        <v>0.38541666666666669</v>
      </c>
      <c r="Y1479" s="59">
        <v>0.42708333333333331</v>
      </c>
      <c r="Z1479" s="59">
        <v>4.1666666666666664E-2</v>
      </c>
      <c r="AA1479">
        <v>3</v>
      </c>
      <c r="AB1479">
        <v>2.2875999999999999</v>
      </c>
      <c r="AC1479">
        <v>23</v>
      </c>
      <c r="AD1479">
        <v>10</v>
      </c>
      <c r="AE1479" s="59">
        <v>0.38541666666666669</v>
      </c>
      <c r="AF1479" s="59">
        <v>0.42638888888888887</v>
      </c>
      <c r="AG1479">
        <v>37.5</v>
      </c>
    </row>
    <row r="1480" spans="1:33" x14ac:dyDescent="0.25">
      <c r="A1480" t="s">
        <v>258</v>
      </c>
      <c r="B1480" t="s">
        <v>325</v>
      </c>
      <c r="C1480" t="s">
        <v>326</v>
      </c>
      <c r="E1480" t="s">
        <v>327</v>
      </c>
      <c r="F1480" t="s">
        <v>134</v>
      </c>
      <c r="H1480" t="s">
        <v>182</v>
      </c>
      <c r="I1480" t="s">
        <v>147</v>
      </c>
      <c r="J1480" t="s">
        <v>266</v>
      </c>
      <c r="K1480" t="s">
        <v>422</v>
      </c>
      <c r="L1480" t="s">
        <v>423</v>
      </c>
      <c r="M1480" t="s">
        <v>424</v>
      </c>
      <c r="N1480" t="s">
        <v>425</v>
      </c>
      <c r="O1480" t="s">
        <v>134</v>
      </c>
      <c r="Q1480" t="s">
        <v>237</v>
      </c>
      <c r="R1480" t="s">
        <v>183</v>
      </c>
      <c r="S1480" t="s">
        <v>128</v>
      </c>
      <c r="T1480" t="s">
        <v>162</v>
      </c>
      <c r="U1480" t="s">
        <v>129</v>
      </c>
      <c r="V1480" t="s">
        <v>73</v>
      </c>
      <c r="W1480" s="58">
        <v>43354</v>
      </c>
      <c r="X1480" s="59">
        <v>0.36458333333333331</v>
      </c>
      <c r="Y1480" s="59">
        <v>0.40625</v>
      </c>
      <c r="Z1480" s="59">
        <v>4.1666666666666664E-2</v>
      </c>
      <c r="AA1480">
        <v>0</v>
      </c>
      <c r="AC1480">
        <v>23</v>
      </c>
      <c r="AD1480">
        <v>10</v>
      </c>
      <c r="AE1480" s="59">
        <v>0.36458333333333331</v>
      </c>
      <c r="AF1480" s="59">
        <v>0.4055555555555555</v>
      </c>
      <c r="AG1480">
        <v>37.5</v>
      </c>
    </row>
    <row r="1481" spans="1:33" x14ac:dyDescent="0.25">
      <c r="A1481" t="s">
        <v>274</v>
      </c>
      <c r="B1481" t="s">
        <v>321</v>
      </c>
      <c r="C1481" t="s">
        <v>322</v>
      </c>
      <c r="D1481" t="s">
        <v>323</v>
      </c>
      <c r="E1481" t="s">
        <v>324</v>
      </c>
      <c r="F1481" t="s">
        <v>134</v>
      </c>
      <c r="H1481" t="s">
        <v>184</v>
      </c>
      <c r="I1481" t="s">
        <v>147</v>
      </c>
      <c r="J1481" t="s">
        <v>266</v>
      </c>
      <c r="K1481" t="s">
        <v>422</v>
      </c>
      <c r="L1481" t="s">
        <v>423</v>
      </c>
      <c r="M1481" t="s">
        <v>424</v>
      </c>
      <c r="N1481" t="s">
        <v>425</v>
      </c>
      <c r="O1481" t="s">
        <v>134</v>
      </c>
      <c r="Q1481" t="s">
        <v>237</v>
      </c>
      <c r="R1481" t="s">
        <v>185</v>
      </c>
      <c r="S1481" t="s">
        <v>128</v>
      </c>
      <c r="T1481" t="s">
        <v>162</v>
      </c>
      <c r="U1481" t="s">
        <v>151</v>
      </c>
      <c r="V1481" t="s">
        <v>73</v>
      </c>
      <c r="W1481" s="58">
        <v>43354</v>
      </c>
      <c r="X1481" s="59">
        <v>0.41666666666666669</v>
      </c>
      <c r="Y1481" s="59">
        <v>0.45833333333333331</v>
      </c>
      <c r="Z1481" s="59">
        <v>4.1666666666666664E-2</v>
      </c>
      <c r="AA1481">
        <v>4</v>
      </c>
      <c r="AB1481">
        <v>2.2181999999999999</v>
      </c>
      <c r="AC1481">
        <v>20</v>
      </c>
      <c r="AD1481">
        <v>10</v>
      </c>
      <c r="AE1481" s="59">
        <v>0.41666666666666669</v>
      </c>
      <c r="AF1481" s="59">
        <v>0.45763888888888887</v>
      </c>
      <c r="AG1481">
        <v>37.5</v>
      </c>
    </row>
    <row r="1482" spans="1:33" x14ac:dyDescent="0.25">
      <c r="A1482" t="s">
        <v>258</v>
      </c>
      <c r="B1482" t="s">
        <v>342</v>
      </c>
      <c r="C1482" t="s">
        <v>343</v>
      </c>
      <c r="E1482" t="s">
        <v>344</v>
      </c>
      <c r="F1482" t="s">
        <v>134</v>
      </c>
      <c r="H1482" t="s">
        <v>197</v>
      </c>
      <c r="I1482" t="s">
        <v>198</v>
      </c>
      <c r="J1482" t="s">
        <v>266</v>
      </c>
      <c r="K1482" t="s">
        <v>422</v>
      </c>
      <c r="L1482" t="s">
        <v>423</v>
      </c>
      <c r="M1482" t="s">
        <v>424</v>
      </c>
      <c r="N1482" t="s">
        <v>425</v>
      </c>
      <c r="O1482" t="s">
        <v>134</v>
      </c>
      <c r="Q1482" t="s">
        <v>237</v>
      </c>
      <c r="R1482" t="s">
        <v>199</v>
      </c>
      <c r="S1482" t="s">
        <v>128</v>
      </c>
      <c r="T1482" t="s">
        <v>162</v>
      </c>
      <c r="U1482" t="s">
        <v>151</v>
      </c>
      <c r="V1482" t="s">
        <v>74</v>
      </c>
      <c r="W1482" s="58">
        <v>43355</v>
      </c>
      <c r="X1482" s="59">
        <v>0.33333333333333331</v>
      </c>
      <c r="Y1482" s="59">
        <v>0.375</v>
      </c>
      <c r="Z1482" s="59">
        <v>4.1666666666666664E-2</v>
      </c>
      <c r="AA1482">
        <v>0</v>
      </c>
      <c r="AC1482">
        <v>20</v>
      </c>
      <c r="AD1482">
        <v>10</v>
      </c>
      <c r="AE1482" s="59">
        <v>0.33333333333333331</v>
      </c>
      <c r="AF1482" s="59">
        <v>0.3743055555555555</v>
      </c>
      <c r="AG1482">
        <v>37.5</v>
      </c>
    </row>
    <row r="1483" spans="1:33" x14ac:dyDescent="0.25">
      <c r="A1483" t="s">
        <v>274</v>
      </c>
      <c r="B1483" t="s">
        <v>399</v>
      </c>
      <c r="C1483" t="s">
        <v>400</v>
      </c>
      <c r="D1483" t="s">
        <v>401</v>
      </c>
      <c r="E1483" t="s">
        <v>402</v>
      </c>
      <c r="F1483" t="s">
        <v>134</v>
      </c>
      <c r="G1483" t="s">
        <v>218</v>
      </c>
      <c r="H1483" t="s">
        <v>228</v>
      </c>
      <c r="I1483" t="s">
        <v>133</v>
      </c>
      <c r="J1483" t="s">
        <v>266</v>
      </c>
      <c r="K1483" t="s">
        <v>422</v>
      </c>
      <c r="L1483" t="s">
        <v>423</v>
      </c>
      <c r="M1483" t="s">
        <v>424</v>
      </c>
      <c r="N1483" t="s">
        <v>425</v>
      </c>
      <c r="O1483" t="s">
        <v>134</v>
      </c>
      <c r="Q1483" t="s">
        <v>237</v>
      </c>
      <c r="R1483" t="s">
        <v>229</v>
      </c>
      <c r="S1483" t="s">
        <v>128</v>
      </c>
      <c r="T1483" t="s">
        <v>162</v>
      </c>
      <c r="U1483" t="s">
        <v>129</v>
      </c>
      <c r="V1483" t="s">
        <v>74</v>
      </c>
      <c r="W1483" s="58">
        <v>43355</v>
      </c>
      <c r="X1483" s="59">
        <v>0.3888888888888889</v>
      </c>
      <c r="Y1483" s="59">
        <v>0.43055555555555558</v>
      </c>
      <c r="Z1483" s="59">
        <v>4.1666666666666664E-2</v>
      </c>
      <c r="AA1483">
        <v>3</v>
      </c>
      <c r="AB1483">
        <v>2.2875999999999999</v>
      </c>
      <c r="AC1483">
        <v>23</v>
      </c>
      <c r="AD1483">
        <v>10</v>
      </c>
      <c r="AE1483" s="59">
        <v>0.3888888888888889</v>
      </c>
      <c r="AF1483" s="59">
        <v>0.42986111111111108</v>
      </c>
      <c r="AG1483">
        <v>37.5</v>
      </c>
    </row>
    <row r="1484" spans="1:33" x14ac:dyDescent="0.25">
      <c r="A1484" t="s">
        <v>258</v>
      </c>
      <c r="B1484" t="s">
        <v>314</v>
      </c>
      <c r="C1484" t="s">
        <v>315</v>
      </c>
      <c r="D1484">
        <v>72</v>
      </c>
      <c r="E1484" t="s">
        <v>316</v>
      </c>
      <c r="F1484" t="s">
        <v>317</v>
      </c>
      <c r="G1484" t="s">
        <v>218</v>
      </c>
      <c r="H1484" t="s">
        <v>168</v>
      </c>
      <c r="I1484" t="s">
        <v>169</v>
      </c>
      <c r="J1484" t="s">
        <v>266</v>
      </c>
      <c r="K1484" t="s">
        <v>422</v>
      </c>
      <c r="L1484" t="s">
        <v>423</v>
      </c>
      <c r="M1484" t="s">
        <v>424</v>
      </c>
      <c r="N1484" t="s">
        <v>425</v>
      </c>
      <c r="O1484" t="s">
        <v>134</v>
      </c>
      <c r="Q1484" t="s">
        <v>237</v>
      </c>
      <c r="R1484" t="s">
        <v>170</v>
      </c>
      <c r="S1484" t="s">
        <v>128</v>
      </c>
      <c r="T1484" t="s">
        <v>162</v>
      </c>
      <c r="U1484" t="s">
        <v>129</v>
      </c>
      <c r="V1484" t="s">
        <v>74</v>
      </c>
      <c r="W1484" s="58">
        <v>43355</v>
      </c>
      <c r="X1484" s="59">
        <v>0.70833333333333337</v>
      </c>
      <c r="Y1484" s="59">
        <v>0.75</v>
      </c>
      <c r="Z1484" s="59">
        <v>4.1666666666666664E-2</v>
      </c>
      <c r="AA1484">
        <v>0</v>
      </c>
      <c r="AC1484">
        <v>23</v>
      </c>
      <c r="AD1484">
        <v>10</v>
      </c>
      <c r="AE1484" s="59">
        <v>0.70833333333333337</v>
      </c>
      <c r="AF1484" s="59">
        <v>0.74930555555555556</v>
      </c>
      <c r="AG1484">
        <v>37.5</v>
      </c>
    </row>
    <row r="1485" spans="1:33" x14ac:dyDescent="0.25">
      <c r="A1485" t="s">
        <v>258</v>
      </c>
      <c r="B1485" t="s">
        <v>342</v>
      </c>
      <c r="C1485" t="s">
        <v>343</v>
      </c>
      <c r="E1485" t="s">
        <v>344</v>
      </c>
      <c r="F1485" t="s">
        <v>134</v>
      </c>
      <c r="H1485" t="s">
        <v>197</v>
      </c>
      <c r="I1485" t="s">
        <v>198</v>
      </c>
      <c r="J1485" t="s">
        <v>266</v>
      </c>
      <c r="K1485" t="s">
        <v>422</v>
      </c>
      <c r="L1485" t="s">
        <v>423</v>
      </c>
      <c r="M1485" t="s">
        <v>424</v>
      </c>
      <c r="N1485" t="s">
        <v>425</v>
      </c>
      <c r="O1485" t="s">
        <v>134</v>
      </c>
      <c r="Q1485" t="s">
        <v>237</v>
      </c>
      <c r="R1485" t="s">
        <v>199</v>
      </c>
      <c r="S1485" t="s">
        <v>128</v>
      </c>
      <c r="T1485" t="s">
        <v>162</v>
      </c>
      <c r="U1485" t="s">
        <v>151</v>
      </c>
      <c r="V1485" t="s">
        <v>75</v>
      </c>
      <c r="W1485" s="58">
        <v>43356</v>
      </c>
      <c r="X1485" s="59">
        <v>0.33333333333333331</v>
      </c>
      <c r="Y1485" s="59">
        <v>0.375</v>
      </c>
      <c r="Z1485" s="59">
        <v>4.1666666666666664E-2</v>
      </c>
      <c r="AA1485">
        <v>0</v>
      </c>
      <c r="AC1485">
        <v>20</v>
      </c>
      <c r="AD1485">
        <v>10</v>
      </c>
      <c r="AE1485" s="59">
        <v>0.33333333333333331</v>
      </c>
      <c r="AF1485" s="59">
        <v>0.3743055555555555</v>
      </c>
      <c r="AG1485">
        <v>37.5</v>
      </c>
    </row>
    <row r="1486" spans="1:33" x14ac:dyDescent="0.25">
      <c r="A1486" t="s">
        <v>274</v>
      </c>
      <c r="B1486" t="s">
        <v>399</v>
      </c>
      <c r="C1486" t="s">
        <v>400</v>
      </c>
      <c r="D1486" t="s">
        <v>401</v>
      </c>
      <c r="E1486" t="s">
        <v>402</v>
      </c>
      <c r="F1486" t="s">
        <v>134</v>
      </c>
      <c r="G1486" t="s">
        <v>218</v>
      </c>
      <c r="H1486" t="s">
        <v>228</v>
      </c>
      <c r="I1486" t="s">
        <v>133</v>
      </c>
      <c r="J1486" t="s">
        <v>266</v>
      </c>
      <c r="K1486" t="s">
        <v>422</v>
      </c>
      <c r="L1486" t="s">
        <v>423</v>
      </c>
      <c r="M1486" t="s">
        <v>424</v>
      </c>
      <c r="N1486" t="s">
        <v>425</v>
      </c>
      <c r="O1486" t="s">
        <v>134</v>
      </c>
      <c r="Q1486" t="s">
        <v>237</v>
      </c>
      <c r="R1486" t="s">
        <v>229</v>
      </c>
      <c r="S1486" t="s">
        <v>128</v>
      </c>
      <c r="T1486" t="s">
        <v>162</v>
      </c>
      <c r="U1486" t="s">
        <v>129</v>
      </c>
      <c r="V1486" t="s">
        <v>75</v>
      </c>
      <c r="W1486" s="58">
        <v>43356</v>
      </c>
      <c r="X1486" s="59">
        <v>0.38541666666666669</v>
      </c>
      <c r="Y1486" s="59">
        <v>0.42708333333333331</v>
      </c>
      <c r="Z1486" s="59">
        <v>4.1666666666666664E-2</v>
      </c>
      <c r="AA1486">
        <v>3</v>
      </c>
      <c r="AB1486">
        <v>2.2875999999999999</v>
      </c>
      <c r="AC1486">
        <v>23</v>
      </c>
      <c r="AD1486">
        <v>10</v>
      </c>
      <c r="AE1486" s="59">
        <v>0.38541666666666669</v>
      </c>
      <c r="AF1486" s="59">
        <v>0.42638888888888887</v>
      </c>
      <c r="AG1486">
        <v>37.5</v>
      </c>
    </row>
    <row r="1487" spans="1:33" x14ac:dyDescent="0.25">
      <c r="A1487" t="s">
        <v>258</v>
      </c>
      <c r="B1487" t="s">
        <v>342</v>
      </c>
      <c r="C1487" t="s">
        <v>343</v>
      </c>
      <c r="E1487" t="s">
        <v>344</v>
      </c>
      <c r="F1487" t="s">
        <v>134</v>
      </c>
      <c r="H1487" t="s">
        <v>197</v>
      </c>
      <c r="I1487" t="s">
        <v>198</v>
      </c>
      <c r="J1487" t="s">
        <v>426</v>
      </c>
      <c r="K1487" t="s">
        <v>284</v>
      </c>
      <c r="L1487" t="s">
        <v>427</v>
      </c>
      <c r="N1487" t="s">
        <v>428</v>
      </c>
      <c r="O1487" t="s">
        <v>134</v>
      </c>
      <c r="Q1487" t="s">
        <v>238</v>
      </c>
      <c r="R1487" t="s">
        <v>199</v>
      </c>
      <c r="S1487" t="s">
        <v>128</v>
      </c>
      <c r="T1487" t="s">
        <v>165</v>
      </c>
      <c r="U1487" t="s">
        <v>151</v>
      </c>
      <c r="V1487" t="s">
        <v>77</v>
      </c>
      <c r="W1487" s="58">
        <v>43309</v>
      </c>
      <c r="X1487" s="59">
        <v>0.33333333333333331</v>
      </c>
      <c r="Y1487" s="59">
        <v>0.375</v>
      </c>
      <c r="Z1487" s="59">
        <v>4.1666666666666664E-2</v>
      </c>
      <c r="AA1487">
        <v>0</v>
      </c>
      <c r="AC1487">
        <v>20</v>
      </c>
      <c r="AD1487">
        <v>10</v>
      </c>
      <c r="AE1487" s="59">
        <v>0.33333333333333331</v>
      </c>
      <c r="AF1487" s="59">
        <v>0.3743055555555555</v>
      </c>
    </row>
    <row r="1488" spans="1:33" x14ac:dyDescent="0.25">
      <c r="A1488" t="s">
        <v>258</v>
      </c>
      <c r="B1488" t="s">
        <v>342</v>
      </c>
      <c r="C1488" t="s">
        <v>343</v>
      </c>
      <c r="E1488" t="s">
        <v>344</v>
      </c>
      <c r="F1488" t="s">
        <v>134</v>
      </c>
      <c r="H1488" t="s">
        <v>197</v>
      </c>
      <c r="I1488" t="s">
        <v>198</v>
      </c>
      <c r="J1488" t="s">
        <v>426</v>
      </c>
      <c r="K1488" t="s">
        <v>284</v>
      </c>
      <c r="L1488" t="s">
        <v>427</v>
      </c>
      <c r="N1488" t="s">
        <v>428</v>
      </c>
      <c r="O1488" t="s">
        <v>134</v>
      </c>
      <c r="Q1488" t="s">
        <v>238</v>
      </c>
      <c r="R1488" t="s">
        <v>199</v>
      </c>
      <c r="S1488" t="s">
        <v>128</v>
      </c>
      <c r="T1488" t="s">
        <v>165</v>
      </c>
      <c r="U1488" t="s">
        <v>151</v>
      </c>
      <c r="V1488" t="s">
        <v>72</v>
      </c>
      <c r="W1488" s="58">
        <v>43311</v>
      </c>
      <c r="X1488" s="59">
        <v>0.33333333333333331</v>
      </c>
      <c r="Y1488" s="59">
        <v>0.375</v>
      </c>
      <c r="Z1488" s="59">
        <v>4.1666666666666664E-2</v>
      </c>
      <c r="AA1488">
        <v>0</v>
      </c>
      <c r="AC1488">
        <v>20</v>
      </c>
      <c r="AD1488">
        <v>9</v>
      </c>
      <c r="AE1488" s="59">
        <v>0.33333333333333331</v>
      </c>
      <c r="AF1488" s="59">
        <v>0.3743055555555555</v>
      </c>
    </row>
    <row r="1489" spans="1:32" x14ac:dyDescent="0.25">
      <c r="A1489" t="s">
        <v>258</v>
      </c>
      <c r="B1489" t="s">
        <v>310</v>
      </c>
      <c r="C1489" t="s">
        <v>311</v>
      </c>
      <c r="D1489" t="s">
        <v>312</v>
      </c>
      <c r="E1489" t="s">
        <v>313</v>
      </c>
      <c r="F1489" t="s">
        <v>134</v>
      </c>
      <c r="H1489" t="s">
        <v>175</v>
      </c>
      <c r="I1489" t="s">
        <v>127</v>
      </c>
      <c r="J1489" t="s">
        <v>426</v>
      </c>
      <c r="K1489" t="s">
        <v>284</v>
      </c>
      <c r="L1489" t="s">
        <v>427</v>
      </c>
      <c r="N1489" t="s">
        <v>428</v>
      </c>
      <c r="O1489" t="s">
        <v>134</v>
      </c>
      <c r="Q1489" t="s">
        <v>238</v>
      </c>
      <c r="R1489" t="s">
        <v>176</v>
      </c>
      <c r="S1489" t="s">
        <v>128</v>
      </c>
      <c r="T1489" t="s">
        <v>165</v>
      </c>
      <c r="U1489" t="s">
        <v>151</v>
      </c>
      <c r="V1489" t="s">
        <v>72</v>
      </c>
      <c r="W1489" s="58">
        <v>43311</v>
      </c>
      <c r="X1489" s="59">
        <v>0.58333333333333337</v>
      </c>
      <c r="Y1489" s="59">
        <v>0.70833333333333337</v>
      </c>
      <c r="Z1489" s="59">
        <v>0.125</v>
      </c>
      <c r="AA1489">
        <v>0</v>
      </c>
      <c r="AC1489">
        <v>75</v>
      </c>
      <c r="AD1489">
        <v>33.75</v>
      </c>
      <c r="AE1489" s="59">
        <v>0.58333333333333337</v>
      </c>
      <c r="AF1489" s="59">
        <v>0.70763888888888893</v>
      </c>
    </row>
    <row r="1490" spans="1:32" x14ac:dyDescent="0.25">
      <c r="A1490" t="s">
        <v>266</v>
      </c>
      <c r="B1490" t="s">
        <v>293</v>
      </c>
      <c r="C1490" t="s">
        <v>294</v>
      </c>
      <c r="E1490" t="s">
        <v>295</v>
      </c>
      <c r="F1490" t="s">
        <v>134</v>
      </c>
      <c r="H1490" t="s">
        <v>157</v>
      </c>
      <c r="I1490" t="s">
        <v>158</v>
      </c>
      <c r="J1490" t="s">
        <v>426</v>
      </c>
      <c r="K1490" t="s">
        <v>284</v>
      </c>
      <c r="L1490" t="s">
        <v>427</v>
      </c>
      <c r="N1490" t="s">
        <v>428</v>
      </c>
      <c r="O1490" t="s">
        <v>134</v>
      </c>
      <c r="Q1490" t="s">
        <v>238</v>
      </c>
      <c r="R1490" t="s">
        <v>161</v>
      </c>
      <c r="S1490" t="s">
        <v>128</v>
      </c>
      <c r="T1490" t="s">
        <v>165</v>
      </c>
      <c r="U1490" t="s">
        <v>163</v>
      </c>
      <c r="V1490" t="s">
        <v>73</v>
      </c>
      <c r="W1490" s="58">
        <v>43312</v>
      </c>
      <c r="X1490" s="59">
        <v>0.6875</v>
      </c>
      <c r="Y1490" s="59">
        <v>0.85416666666666663</v>
      </c>
      <c r="Z1490" s="59">
        <v>0.16666666666666666</v>
      </c>
      <c r="AA1490">
        <v>0</v>
      </c>
      <c r="AC1490">
        <v>72</v>
      </c>
      <c r="AD1490">
        <v>36</v>
      </c>
      <c r="AE1490" s="59">
        <v>0.6875</v>
      </c>
      <c r="AF1490" s="59">
        <v>0.8534722222222223</v>
      </c>
    </row>
    <row r="1491" spans="1:32" x14ac:dyDescent="0.25">
      <c r="A1491" t="s">
        <v>258</v>
      </c>
      <c r="B1491" t="s">
        <v>342</v>
      </c>
      <c r="C1491" t="s">
        <v>343</v>
      </c>
      <c r="E1491" t="s">
        <v>344</v>
      </c>
      <c r="F1491" t="s">
        <v>134</v>
      </c>
      <c r="H1491" t="s">
        <v>197</v>
      </c>
      <c r="I1491" t="s">
        <v>198</v>
      </c>
      <c r="J1491" t="s">
        <v>426</v>
      </c>
      <c r="K1491" t="s">
        <v>284</v>
      </c>
      <c r="L1491" t="s">
        <v>427</v>
      </c>
      <c r="N1491" t="s">
        <v>428</v>
      </c>
      <c r="O1491" t="s">
        <v>134</v>
      </c>
      <c r="Q1491" t="s">
        <v>238</v>
      </c>
      <c r="R1491" t="s">
        <v>199</v>
      </c>
      <c r="S1491" t="s">
        <v>128</v>
      </c>
      <c r="T1491" t="s">
        <v>165</v>
      </c>
      <c r="U1491" t="s">
        <v>151</v>
      </c>
      <c r="V1491" t="s">
        <v>74</v>
      </c>
      <c r="W1491" s="58">
        <v>43313</v>
      </c>
      <c r="X1491" s="59">
        <v>0.8125</v>
      </c>
      <c r="Y1491" s="59">
        <v>0.85416666666666663</v>
      </c>
      <c r="Z1491" s="59">
        <v>4.1666666666666664E-2</v>
      </c>
      <c r="AA1491">
        <v>0</v>
      </c>
      <c r="AC1491">
        <v>20</v>
      </c>
      <c r="AD1491">
        <v>9</v>
      </c>
      <c r="AE1491" s="59">
        <v>0.8125</v>
      </c>
      <c r="AF1491" s="59">
        <v>0.8534722222222223</v>
      </c>
    </row>
    <row r="1492" spans="1:32" x14ac:dyDescent="0.25">
      <c r="A1492" t="s">
        <v>274</v>
      </c>
      <c r="B1492" t="s">
        <v>336</v>
      </c>
      <c r="C1492" t="s">
        <v>337</v>
      </c>
      <c r="E1492" t="s">
        <v>338</v>
      </c>
      <c r="F1492" t="s">
        <v>134</v>
      </c>
      <c r="H1492" t="s">
        <v>186</v>
      </c>
      <c r="I1492" t="s">
        <v>147</v>
      </c>
      <c r="J1492" t="s">
        <v>426</v>
      </c>
      <c r="K1492" t="s">
        <v>284</v>
      </c>
      <c r="L1492" t="s">
        <v>427</v>
      </c>
      <c r="N1492" t="s">
        <v>428</v>
      </c>
      <c r="O1492" t="s">
        <v>134</v>
      </c>
      <c r="Q1492" t="s">
        <v>238</v>
      </c>
      <c r="R1492" t="s">
        <v>187</v>
      </c>
      <c r="S1492" t="s">
        <v>128</v>
      </c>
      <c r="T1492" t="s">
        <v>165</v>
      </c>
      <c r="U1492" t="s">
        <v>151</v>
      </c>
      <c r="V1492" t="s">
        <v>77</v>
      </c>
      <c r="W1492" s="58">
        <v>43316</v>
      </c>
      <c r="X1492" s="59">
        <v>0.36805555555555558</v>
      </c>
      <c r="Y1492" s="59">
        <v>0.40972222222222227</v>
      </c>
      <c r="Z1492" s="59">
        <v>4.1666666666666664E-2</v>
      </c>
      <c r="AA1492">
        <v>0</v>
      </c>
      <c r="AC1492">
        <v>20</v>
      </c>
      <c r="AD1492">
        <v>10</v>
      </c>
      <c r="AE1492" s="59">
        <v>0.36805555555555558</v>
      </c>
      <c r="AF1492" s="59">
        <v>0.40902777777777777</v>
      </c>
    </row>
    <row r="1493" spans="1:32" x14ac:dyDescent="0.25">
      <c r="A1493" t="s">
        <v>266</v>
      </c>
      <c r="B1493" t="s">
        <v>293</v>
      </c>
      <c r="C1493" t="s">
        <v>294</v>
      </c>
      <c r="E1493" t="s">
        <v>295</v>
      </c>
      <c r="F1493" t="s">
        <v>134</v>
      </c>
      <c r="H1493" t="s">
        <v>157</v>
      </c>
      <c r="I1493" t="s">
        <v>158</v>
      </c>
      <c r="J1493" t="s">
        <v>426</v>
      </c>
      <c r="K1493" t="s">
        <v>284</v>
      </c>
      <c r="L1493" t="s">
        <v>427</v>
      </c>
      <c r="N1493" t="s">
        <v>428</v>
      </c>
      <c r="O1493" t="s">
        <v>134</v>
      </c>
      <c r="Q1493" t="s">
        <v>238</v>
      </c>
      <c r="R1493" t="s">
        <v>161</v>
      </c>
      <c r="S1493" t="s">
        <v>128</v>
      </c>
      <c r="T1493" t="s">
        <v>165</v>
      </c>
      <c r="U1493" t="s">
        <v>163</v>
      </c>
      <c r="V1493" t="s">
        <v>77</v>
      </c>
      <c r="W1493" s="58">
        <v>43316</v>
      </c>
      <c r="X1493" s="59">
        <v>0.42708333333333331</v>
      </c>
      <c r="Y1493" s="59">
        <v>0.63541666666666663</v>
      </c>
      <c r="Z1493" s="59">
        <v>0.20833333333333334</v>
      </c>
      <c r="AA1493">
        <v>0</v>
      </c>
      <c r="AB1493">
        <v>13.070399999999999</v>
      </c>
      <c r="AC1493">
        <v>90</v>
      </c>
      <c r="AD1493">
        <v>50</v>
      </c>
      <c r="AE1493" s="59">
        <v>0.42708333333333331</v>
      </c>
      <c r="AF1493" s="59">
        <v>0.63472222222222219</v>
      </c>
    </row>
    <row r="1494" spans="1:32" x14ac:dyDescent="0.25">
      <c r="A1494" t="s">
        <v>258</v>
      </c>
      <c r="B1494" t="s">
        <v>342</v>
      </c>
      <c r="C1494" t="s">
        <v>343</v>
      </c>
      <c r="E1494" t="s">
        <v>344</v>
      </c>
      <c r="F1494" t="s">
        <v>134</v>
      </c>
      <c r="H1494" t="s">
        <v>197</v>
      </c>
      <c r="I1494" t="s">
        <v>198</v>
      </c>
      <c r="J1494" t="s">
        <v>426</v>
      </c>
      <c r="K1494" t="s">
        <v>284</v>
      </c>
      <c r="L1494" t="s">
        <v>427</v>
      </c>
      <c r="N1494" t="s">
        <v>428</v>
      </c>
      <c r="O1494" t="s">
        <v>134</v>
      </c>
      <c r="Q1494" t="s">
        <v>238</v>
      </c>
      <c r="R1494" t="s">
        <v>199</v>
      </c>
      <c r="S1494" t="s">
        <v>128</v>
      </c>
      <c r="T1494" t="s">
        <v>165</v>
      </c>
      <c r="U1494" t="s">
        <v>151</v>
      </c>
      <c r="V1494" t="s">
        <v>71</v>
      </c>
      <c r="W1494" s="58">
        <v>43317</v>
      </c>
      <c r="X1494" s="59">
        <v>0.8125</v>
      </c>
      <c r="Y1494" s="59">
        <v>0.85416666666666663</v>
      </c>
      <c r="Z1494" s="59">
        <v>4.1666666666666664E-2</v>
      </c>
      <c r="AA1494">
        <v>0</v>
      </c>
      <c r="AC1494">
        <v>20</v>
      </c>
      <c r="AD1494">
        <v>10</v>
      </c>
      <c r="AE1494" s="59">
        <v>0.8125</v>
      </c>
      <c r="AF1494" s="59">
        <v>0.8534722222222223</v>
      </c>
    </row>
    <row r="1495" spans="1:32" x14ac:dyDescent="0.25">
      <c r="A1495" t="s">
        <v>258</v>
      </c>
      <c r="B1495" t="s">
        <v>262</v>
      </c>
      <c r="C1495" t="s">
        <v>263</v>
      </c>
      <c r="D1495" t="s">
        <v>264</v>
      </c>
      <c r="E1495" t="s">
        <v>265</v>
      </c>
      <c r="F1495" t="s">
        <v>134</v>
      </c>
      <c r="H1495" t="s">
        <v>132</v>
      </c>
      <c r="I1495" t="s">
        <v>133</v>
      </c>
      <c r="J1495" t="s">
        <v>426</v>
      </c>
      <c r="K1495" t="s">
        <v>284</v>
      </c>
      <c r="L1495" t="s">
        <v>427</v>
      </c>
      <c r="N1495" t="s">
        <v>428</v>
      </c>
      <c r="O1495" t="s">
        <v>134</v>
      </c>
      <c r="Q1495" t="s">
        <v>238</v>
      </c>
      <c r="R1495" t="s">
        <v>136</v>
      </c>
      <c r="S1495" t="s">
        <v>128</v>
      </c>
      <c r="T1495" t="s">
        <v>165</v>
      </c>
      <c r="U1495" t="s">
        <v>129</v>
      </c>
      <c r="V1495" t="s">
        <v>72</v>
      </c>
      <c r="W1495" s="58">
        <v>43318</v>
      </c>
      <c r="X1495" s="59">
        <v>0.72916666666666663</v>
      </c>
      <c r="Y1495" s="59">
        <v>0.77083333333333337</v>
      </c>
      <c r="Z1495" s="59">
        <v>4.1666666666666664E-2</v>
      </c>
      <c r="AA1495">
        <v>0</v>
      </c>
      <c r="AC1495">
        <v>23</v>
      </c>
      <c r="AD1495">
        <v>9</v>
      </c>
      <c r="AE1495" s="59">
        <v>0.72916666666666663</v>
      </c>
      <c r="AF1495" s="59">
        <v>0.77013888888888893</v>
      </c>
    </row>
    <row r="1496" spans="1:32" x14ac:dyDescent="0.25">
      <c r="A1496" t="s">
        <v>258</v>
      </c>
      <c r="B1496" t="s">
        <v>342</v>
      </c>
      <c r="C1496" t="s">
        <v>343</v>
      </c>
      <c r="E1496" t="s">
        <v>344</v>
      </c>
      <c r="F1496" t="s">
        <v>134</v>
      </c>
      <c r="H1496" t="s">
        <v>197</v>
      </c>
      <c r="I1496" t="s">
        <v>198</v>
      </c>
      <c r="J1496" t="s">
        <v>426</v>
      </c>
      <c r="K1496" t="s">
        <v>284</v>
      </c>
      <c r="L1496" t="s">
        <v>427</v>
      </c>
      <c r="N1496" t="s">
        <v>428</v>
      </c>
      <c r="O1496" t="s">
        <v>134</v>
      </c>
      <c r="Q1496" t="s">
        <v>238</v>
      </c>
      <c r="R1496" t="s">
        <v>199</v>
      </c>
      <c r="S1496" t="s">
        <v>128</v>
      </c>
      <c r="T1496" t="s">
        <v>165</v>
      </c>
      <c r="U1496" t="s">
        <v>151</v>
      </c>
      <c r="V1496" t="s">
        <v>72</v>
      </c>
      <c r="W1496" s="58">
        <v>43318</v>
      </c>
      <c r="X1496" s="59">
        <v>0.8125</v>
      </c>
      <c r="Y1496" s="59">
        <v>0.85416666666666663</v>
      </c>
      <c r="Z1496" s="59">
        <v>4.1666666666666664E-2</v>
      </c>
      <c r="AA1496">
        <v>0</v>
      </c>
      <c r="AB1496">
        <v>11.222799999999999</v>
      </c>
      <c r="AC1496">
        <v>20</v>
      </c>
      <c r="AD1496">
        <v>9</v>
      </c>
      <c r="AE1496" s="59">
        <v>0.8125</v>
      </c>
      <c r="AF1496" s="59">
        <v>0.8534722222222223</v>
      </c>
    </row>
    <row r="1497" spans="1:32" x14ac:dyDescent="0.25">
      <c r="A1497" t="s">
        <v>258</v>
      </c>
      <c r="B1497" t="s">
        <v>262</v>
      </c>
      <c r="C1497" t="s">
        <v>263</v>
      </c>
      <c r="D1497" t="s">
        <v>264</v>
      </c>
      <c r="E1497" t="s">
        <v>265</v>
      </c>
      <c r="F1497" t="s">
        <v>134</v>
      </c>
      <c r="H1497" t="s">
        <v>132</v>
      </c>
      <c r="I1497" t="s">
        <v>133</v>
      </c>
      <c r="J1497" t="s">
        <v>426</v>
      </c>
      <c r="K1497" t="s">
        <v>284</v>
      </c>
      <c r="L1497" t="s">
        <v>427</v>
      </c>
      <c r="N1497" t="s">
        <v>428</v>
      </c>
      <c r="O1497" t="s">
        <v>134</v>
      </c>
      <c r="Q1497" t="s">
        <v>238</v>
      </c>
      <c r="R1497" t="s">
        <v>136</v>
      </c>
      <c r="S1497" t="s">
        <v>128</v>
      </c>
      <c r="T1497" t="s">
        <v>165</v>
      </c>
      <c r="U1497" t="s">
        <v>129</v>
      </c>
      <c r="V1497" t="s">
        <v>73</v>
      </c>
      <c r="W1497" s="58">
        <v>43319</v>
      </c>
      <c r="X1497" s="59">
        <v>0.72916666666666663</v>
      </c>
      <c r="Y1497" s="59">
        <v>0.77083333333333337</v>
      </c>
      <c r="Z1497" s="59">
        <v>4.1666666666666664E-2</v>
      </c>
      <c r="AA1497">
        <v>0</v>
      </c>
      <c r="AC1497">
        <v>23</v>
      </c>
      <c r="AD1497">
        <v>9</v>
      </c>
      <c r="AE1497" s="59">
        <v>0.72916666666666663</v>
      </c>
      <c r="AF1497" s="59">
        <v>0.77013888888888893</v>
      </c>
    </row>
    <row r="1498" spans="1:32" x14ac:dyDescent="0.25">
      <c r="A1498" t="s">
        <v>258</v>
      </c>
      <c r="B1498" t="s">
        <v>342</v>
      </c>
      <c r="C1498" t="s">
        <v>343</v>
      </c>
      <c r="E1498" t="s">
        <v>344</v>
      </c>
      <c r="F1498" t="s">
        <v>134</v>
      </c>
      <c r="H1498" t="s">
        <v>197</v>
      </c>
      <c r="I1498" t="s">
        <v>198</v>
      </c>
      <c r="J1498" t="s">
        <v>426</v>
      </c>
      <c r="K1498" t="s">
        <v>284</v>
      </c>
      <c r="L1498" t="s">
        <v>427</v>
      </c>
      <c r="N1498" t="s">
        <v>428</v>
      </c>
      <c r="O1498" t="s">
        <v>134</v>
      </c>
      <c r="Q1498" t="s">
        <v>238</v>
      </c>
      <c r="R1498" t="s">
        <v>199</v>
      </c>
      <c r="S1498" t="s">
        <v>128</v>
      </c>
      <c r="T1498" t="s">
        <v>165</v>
      </c>
      <c r="U1498" t="s">
        <v>151</v>
      </c>
      <c r="V1498" t="s">
        <v>73</v>
      </c>
      <c r="W1498" s="58">
        <v>43319</v>
      </c>
      <c r="X1498" s="59">
        <v>0.8125</v>
      </c>
      <c r="Y1498" s="59">
        <v>0.85416666666666663</v>
      </c>
      <c r="Z1498" s="59">
        <v>4.1666666666666664E-2</v>
      </c>
      <c r="AA1498">
        <v>0</v>
      </c>
      <c r="AB1498">
        <v>11.222799999999999</v>
      </c>
      <c r="AC1498">
        <v>20</v>
      </c>
      <c r="AD1498">
        <v>9</v>
      </c>
      <c r="AE1498" s="59">
        <v>0.8125</v>
      </c>
      <c r="AF1498" s="59">
        <v>0.8534722222222223</v>
      </c>
    </row>
    <row r="1499" spans="1:32" x14ac:dyDescent="0.25">
      <c r="A1499" t="s">
        <v>258</v>
      </c>
      <c r="B1499" t="s">
        <v>325</v>
      </c>
      <c r="C1499" t="s">
        <v>326</v>
      </c>
      <c r="E1499" t="s">
        <v>327</v>
      </c>
      <c r="F1499" t="s">
        <v>134</v>
      </c>
      <c r="H1499" t="s">
        <v>182</v>
      </c>
      <c r="I1499" t="s">
        <v>147</v>
      </c>
      <c r="J1499" t="s">
        <v>426</v>
      </c>
      <c r="K1499" t="s">
        <v>284</v>
      </c>
      <c r="L1499" t="s">
        <v>427</v>
      </c>
      <c r="N1499" t="s">
        <v>428</v>
      </c>
      <c r="O1499" t="s">
        <v>134</v>
      </c>
      <c r="Q1499" t="s">
        <v>238</v>
      </c>
      <c r="R1499" t="s">
        <v>183</v>
      </c>
      <c r="S1499" t="s">
        <v>128</v>
      </c>
      <c r="T1499" t="s">
        <v>165</v>
      </c>
      <c r="U1499" t="s">
        <v>129</v>
      </c>
      <c r="V1499" t="s">
        <v>76</v>
      </c>
      <c r="W1499" s="58">
        <v>43322</v>
      </c>
      <c r="X1499" s="59">
        <v>0.36458333333333331</v>
      </c>
      <c r="Y1499" s="59">
        <v>0.40625</v>
      </c>
      <c r="Z1499" s="59">
        <v>4.1666666666666664E-2</v>
      </c>
      <c r="AA1499">
        <v>0</v>
      </c>
      <c r="AC1499">
        <v>23</v>
      </c>
      <c r="AD1499">
        <v>9</v>
      </c>
      <c r="AE1499" s="59">
        <v>0.36458333333333331</v>
      </c>
      <c r="AF1499" s="59">
        <v>0.4055555555555555</v>
      </c>
    </row>
    <row r="1500" spans="1:32" x14ac:dyDescent="0.25">
      <c r="A1500" t="s">
        <v>258</v>
      </c>
      <c r="B1500" t="s">
        <v>342</v>
      </c>
      <c r="C1500" t="s">
        <v>343</v>
      </c>
      <c r="E1500" t="s">
        <v>344</v>
      </c>
      <c r="F1500" t="s">
        <v>134</v>
      </c>
      <c r="H1500" t="s">
        <v>197</v>
      </c>
      <c r="I1500" t="s">
        <v>198</v>
      </c>
      <c r="J1500" t="s">
        <v>426</v>
      </c>
      <c r="K1500" t="s">
        <v>284</v>
      </c>
      <c r="L1500" t="s">
        <v>427</v>
      </c>
      <c r="N1500" t="s">
        <v>428</v>
      </c>
      <c r="O1500" t="s">
        <v>134</v>
      </c>
      <c r="Q1500" t="s">
        <v>238</v>
      </c>
      <c r="R1500" t="s">
        <v>199</v>
      </c>
      <c r="S1500" t="s">
        <v>128</v>
      </c>
      <c r="T1500" t="s">
        <v>165</v>
      </c>
      <c r="U1500" t="s">
        <v>151</v>
      </c>
      <c r="V1500" t="s">
        <v>77</v>
      </c>
      <c r="W1500" s="58">
        <v>43323</v>
      </c>
      <c r="X1500" s="59">
        <v>0.33333333333333331</v>
      </c>
      <c r="Y1500" s="59">
        <v>0.375</v>
      </c>
      <c r="Z1500" s="59">
        <v>4.1666666666666664E-2</v>
      </c>
      <c r="AA1500">
        <v>0</v>
      </c>
      <c r="AC1500">
        <v>20</v>
      </c>
      <c r="AD1500">
        <v>10</v>
      </c>
      <c r="AE1500" s="59">
        <v>0.33333333333333331</v>
      </c>
      <c r="AF1500" s="59">
        <v>0.3743055555555555</v>
      </c>
    </row>
    <row r="1501" spans="1:32" x14ac:dyDescent="0.25">
      <c r="A1501" t="s">
        <v>258</v>
      </c>
      <c r="B1501" t="s">
        <v>342</v>
      </c>
      <c r="C1501" t="s">
        <v>343</v>
      </c>
      <c r="E1501" t="s">
        <v>344</v>
      </c>
      <c r="F1501" t="s">
        <v>134</v>
      </c>
      <c r="H1501" t="s">
        <v>197</v>
      </c>
      <c r="I1501" t="s">
        <v>198</v>
      </c>
      <c r="J1501" t="s">
        <v>426</v>
      </c>
      <c r="K1501" t="s">
        <v>284</v>
      </c>
      <c r="L1501" t="s">
        <v>427</v>
      </c>
      <c r="N1501" t="s">
        <v>428</v>
      </c>
      <c r="O1501" t="s">
        <v>134</v>
      </c>
      <c r="Q1501" t="s">
        <v>238</v>
      </c>
      <c r="R1501" t="s">
        <v>199</v>
      </c>
      <c r="S1501" t="s">
        <v>128</v>
      </c>
      <c r="T1501" t="s">
        <v>165</v>
      </c>
      <c r="U1501" t="s">
        <v>151</v>
      </c>
      <c r="V1501" t="s">
        <v>71</v>
      </c>
      <c r="W1501" s="58">
        <v>43324</v>
      </c>
      <c r="X1501" s="59">
        <v>0.33333333333333331</v>
      </c>
      <c r="Y1501" s="59">
        <v>0.375</v>
      </c>
      <c r="Z1501" s="59">
        <v>4.1666666666666664E-2</v>
      </c>
      <c r="AA1501">
        <v>0</v>
      </c>
      <c r="AC1501">
        <v>20</v>
      </c>
      <c r="AD1501">
        <v>10</v>
      </c>
      <c r="AE1501" s="59">
        <v>0.33333333333333331</v>
      </c>
      <c r="AF1501" s="59">
        <v>0.3743055555555555</v>
      </c>
    </row>
    <row r="1502" spans="1:32" x14ac:dyDescent="0.25">
      <c r="A1502" t="s">
        <v>258</v>
      </c>
      <c r="B1502" t="s">
        <v>342</v>
      </c>
      <c r="C1502" t="s">
        <v>343</v>
      </c>
      <c r="E1502" t="s">
        <v>344</v>
      </c>
      <c r="F1502" t="s">
        <v>134</v>
      </c>
      <c r="H1502" t="s">
        <v>197</v>
      </c>
      <c r="I1502" t="s">
        <v>198</v>
      </c>
      <c r="J1502" t="s">
        <v>426</v>
      </c>
      <c r="K1502" t="s">
        <v>284</v>
      </c>
      <c r="L1502" t="s">
        <v>427</v>
      </c>
      <c r="N1502" t="s">
        <v>428</v>
      </c>
      <c r="O1502" t="s">
        <v>134</v>
      </c>
      <c r="Q1502" t="s">
        <v>238</v>
      </c>
      <c r="R1502" t="s">
        <v>199</v>
      </c>
      <c r="S1502" t="s">
        <v>128</v>
      </c>
      <c r="T1502" t="s">
        <v>165</v>
      </c>
      <c r="U1502" t="s">
        <v>151</v>
      </c>
      <c r="V1502" t="s">
        <v>72</v>
      </c>
      <c r="W1502" s="58">
        <v>43325</v>
      </c>
      <c r="X1502" s="59">
        <v>0.33333333333333331</v>
      </c>
      <c r="Y1502" s="59">
        <v>0.375</v>
      </c>
      <c r="Z1502" s="59">
        <v>4.1666666666666664E-2</v>
      </c>
      <c r="AA1502">
        <v>0</v>
      </c>
      <c r="AC1502">
        <v>20</v>
      </c>
      <c r="AD1502">
        <v>9</v>
      </c>
      <c r="AE1502" s="59">
        <v>0.33333333333333331</v>
      </c>
      <c r="AF1502" s="59">
        <v>0.3743055555555555</v>
      </c>
    </row>
    <row r="1503" spans="1:32" x14ac:dyDescent="0.25">
      <c r="A1503" t="s">
        <v>258</v>
      </c>
      <c r="B1503" t="s">
        <v>342</v>
      </c>
      <c r="C1503" t="s">
        <v>343</v>
      </c>
      <c r="E1503" t="s">
        <v>344</v>
      </c>
      <c r="F1503" t="s">
        <v>134</v>
      </c>
      <c r="H1503" t="s">
        <v>197</v>
      </c>
      <c r="I1503" t="s">
        <v>198</v>
      </c>
      <c r="J1503" t="s">
        <v>426</v>
      </c>
      <c r="K1503" t="s">
        <v>284</v>
      </c>
      <c r="L1503" t="s">
        <v>427</v>
      </c>
      <c r="N1503" t="s">
        <v>428</v>
      </c>
      <c r="O1503" t="s">
        <v>134</v>
      </c>
      <c r="Q1503" t="s">
        <v>238</v>
      </c>
      <c r="R1503" t="s">
        <v>199</v>
      </c>
      <c r="S1503" t="s">
        <v>128</v>
      </c>
      <c r="T1503" t="s">
        <v>165</v>
      </c>
      <c r="U1503" t="s">
        <v>151</v>
      </c>
      <c r="V1503" t="s">
        <v>72</v>
      </c>
      <c r="W1503" s="58">
        <v>43325</v>
      </c>
      <c r="X1503" s="59">
        <v>0.375</v>
      </c>
      <c r="Y1503" s="59">
        <v>0.54166666666666663</v>
      </c>
      <c r="Z1503" s="59">
        <v>0.16666666666666666</v>
      </c>
      <c r="AA1503">
        <v>0</v>
      </c>
      <c r="AB1503">
        <v>0</v>
      </c>
      <c r="AC1503">
        <v>80</v>
      </c>
      <c r="AD1503">
        <v>36</v>
      </c>
      <c r="AE1503" s="59">
        <v>0.375</v>
      </c>
      <c r="AF1503" s="59">
        <v>0.54097222222222219</v>
      </c>
    </row>
    <row r="1504" spans="1:32" x14ac:dyDescent="0.25">
      <c r="A1504" t="s">
        <v>258</v>
      </c>
      <c r="B1504" t="s">
        <v>262</v>
      </c>
      <c r="C1504" t="s">
        <v>263</v>
      </c>
      <c r="D1504" t="s">
        <v>264</v>
      </c>
      <c r="E1504" t="s">
        <v>265</v>
      </c>
      <c r="F1504" t="s">
        <v>134</v>
      </c>
      <c r="H1504" t="s">
        <v>132</v>
      </c>
      <c r="I1504" t="s">
        <v>133</v>
      </c>
      <c r="J1504" t="s">
        <v>426</v>
      </c>
      <c r="K1504" t="s">
        <v>284</v>
      </c>
      <c r="L1504" t="s">
        <v>427</v>
      </c>
      <c r="N1504" t="s">
        <v>428</v>
      </c>
      <c r="O1504" t="s">
        <v>134</v>
      </c>
      <c r="Q1504" t="s">
        <v>238</v>
      </c>
      <c r="R1504" t="s">
        <v>136</v>
      </c>
      <c r="S1504" t="s">
        <v>128</v>
      </c>
      <c r="T1504" t="s">
        <v>165</v>
      </c>
      <c r="U1504" t="s">
        <v>129</v>
      </c>
      <c r="V1504" t="s">
        <v>72</v>
      </c>
      <c r="W1504" s="58">
        <v>43325</v>
      </c>
      <c r="X1504" s="59">
        <v>0.64583333333333337</v>
      </c>
      <c r="Y1504" s="59">
        <v>0.6875</v>
      </c>
      <c r="Z1504" s="59">
        <v>4.1666666666666664E-2</v>
      </c>
      <c r="AA1504">
        <v>0</v>
      </c>
      <c r="AB1504">
        <v>11.287599999999999</v>
      </c>
      <c r="AC1504">
        <v>23</v>
      </c>
      <c r="AD1504">
        <v>9</v>
      </c>
      <c r="AE1504" s="59">
        <v>0.64583333333333337</v>
      </c>
      <c r="AF1504" s="59">
        <v>0.68680555555555556</v>
      </c>
    </row>
    <row r="1505" spans="1:32" x14ac:dyDescent="0.25">
      <c r="A1505" t="s">
        <v>258</v>
      </c>
      <c r="B1505" t="s">
        <v>314</v>
      </c>
      <c r="C1505" t="s">
        <v>315</v>
      </c>
      <c r="D1505">
        <v>72</v>
      </c>
      <c r="E1505" t="s">
        <v>316</v>
      </c>
      <c r="F1505" t="s">
        <v>317</v>
      </c>
      <c r="G1505" t="s">
        <v>218</v>
      </c>
      <c r="H1505" t="s">
        <v>168</v>
      </c>
      <c r="I1505" t="s">
        <v>169</v>
      </c>
      <c r="J1505" t="s">
        <v>426</v>
      </c>
      <c r="K1505" t="s">
        <v>284</v>
      </c>
      <c r="L1505" t="s">
        <v>427</v>
      </c>
      <c r="N1505" t="s">
        <v>428</v>
      </c>
      <c r="O1505" t="s">
        <v>134</v>
      </c>
      <c r="Q1505" t="s">
        <v>238</v>
      </c>
      <c r="R1505" t="s">
        <v>170</v>
      </c>
      <c r="S1505" t="s">
        <v>128</v>
      </c>
      <c r="T1505" t="s">
        <v>165</v>
      </c>
      <c r="U1505" t="s">
        <v>129</v>
      </c>
      <c r="V1505" t="s">
        <v>72</v>
      </c>
      <c r="W1505" s="58">
        <v>43325</v>
      </c>
      <c r="X1505" s="59">
        <v>0.69791666666666663</v>
      </c>
      <c r="Y1505" s="59">
        <v>0.73958333333333337</v>
      </c>
      <c r="Z1505" s="59">
        <v>4.1666666666666664E-2</v>
      </c>
      <c r="AA1505">
        <v>0</v>
      </c>
      <c r="AB1505">
        <v>7.9555999999999996</v>
      </c>
      <c r="AC1505">
        <v>23</v>
      </c>
      <c r="AD1505">
        <v>9</v>
      </c>
      <c r="AE1505" s="59">
        <v>0.69791666666666663</v>
      </c>
      <c r="AF1505" s="59">
        <v>0.73888888888888893</v>
      </c>
    </row>
    <row r="1506" spans="1:32" x14ac:dyDescent="0.25">
      <c r="A1506" t="s">
        <v>266</v>
      </c>
      <c r="B1506" t="s">
        <v>293</v>
      </c>
      <c r="C1506" t="s">
        <v>294</v>
      </c>
      <c r="E1506" t="s">
        <v>295</v>
      </c>
      <c r="F1506" t="s">
        <v>134</v>
      </c>
      <c r="H1506" t="s">
        <v>157</v>
      </c>
      <c r="I1506" t="s">
        <v>158</v>
      </c>
      <c r="J1506" t="s">
        <v>426</v>
      </c>
      <c r="K1506" t="s">
        <v>284</v>
      </c>
      <c r="L1506" t="s">
        <v>427</v>
      </c>
      <c r="N1506" t="s">
        <v>428</v>
      </c>
      <c r="O1506" t="s">
        <v>134</v>
      </c>
      <c r="Q1506" t="s">
        <v>238</v>
      </c>
      <c r="R1506" t="s">
        <v>161</v>
      </c>
      <c r="S1506" t="s">
        <v>128</v>
      </c>
      <c r="T1506" t="s">
        <v>165</v>
      </c>
      <c r="U1506" t="s">
        <v>163</v>
      </c>
      <c r="V1506" t="s">
        <v>73</v>
      </c>
      <c r="W1506" s="58">
        <v>43326</v>
      </c>
      <c r="X1506" s="59">
        <v>0.6875</v>
      </c>
      <c r="Y1506" s="59">
        <v>0.85416666666666663</v>
      </c>
      <c r="Z1506" s="59">
        <v>0.16666666666666666</v>
      </c>
      <c r="AA1506">
        <v>0</v>
      </c>
      <c r="AC1506">
        <v>72</v>
      </c>
      <c r="AD1506">
        <v>36</v>
      </c>
      <c r="AE1506" s="59">
        <v>0.6875</v>
      </c>
      <c r="AF1506" s="59">
        <v>0.8534722222222223</v>
      </c>
    </row>
    <row r="1507" spans="1:32" x14ac:dyDescent="0.25">
      <c r="A1507" t="s">
        <v>258</v>
      </c>
      <c r="B1507" t="s">
        <v>342</v>
      </c>
      <c r="C1507" t="s">
        <v>343</v>
      </c>
      <c r="E1507" t="s">
        <v>344</v>
      </c>
      <c r="F1507" t="s">
        <v>134</v>
      </c>
      <c r="H1507" t="s">
        <v>197</v>
      </c>
      <c r="I1507" t="s">
        <v>198</v>
      </c>
      <c r="J1507" t="s">
        <v>426</v>
      </c>
      <c r="K1507" t="s">
        <v>284</v>
      </c>
      <c r="L1507" t="s">
        <v>427</v>
      </c>
      <c r="N1507" t="s">
        <v>428</v>
      </c>
      <c r="O1507" t="s">
        <v>134</v>
      </c>
      <c r="Q1507" t="s">
        <v>238</v>
      </c>
      <c r="R1507" t="s">
        <v>199</v>
      </c>
      <c r="S1507" t="s">
        <v>128</v>
      </c>
      <c r="T1507" t="s">
        <v>165</v>
      </c>
      <c r="U1507" t="s">
        <v>151</v>
      </c>
      <c r="V1507" t="s">
        <v>76</v>
      </c>
      <c r="W1507" s="58">
        <v>43329</v>
      </c>
      <c r="X1507" s="59">
        <v>0.33333333333333331</v>
      </c>
      <c r="Y1507" s="59">
        <v>0.375</v>
      </c>
      <c r="Z1507" s="59">
        <v>4.1666666666666664E-2</v>
      </c>
      <c r="AA1507">
        <v>0</v>
      </c>
      <c r="AC1507">
        <v>20</v>
      </c>
      <c r="AD1507">
        <v>9</v>
      </c>
      <c r="AE1507" s="59">
        <v>0.33333333333333331</v>
      </c>
      <c r="AF1507" s="59">
        <v>0.3743055555555555</v>
      </c>
    </row>
    <row r="1508" spans="1:32" x14ac:dyDescent="0.25">
      <c r="A1508" t="s">
        <v>258</v>
      </c>
      <c r="B1508" t="s">
        <v>354</v>
      </c>
      <c r="C1508" t="s">
        <v>355</v>
      </c>
      <c r="E1508" t="s">
        <v>356</v>
      </c>
      <c r="F1508" t="s">
        <v>134</v>
      </c>
      <c r="H1508" t="s">
        <v>205</v>
      </c>
      <c r="I1508" t="s">
        <v>198</v>
      </c>
      <c r="J1508" t="s">
        <v>426</v>
      </c>
      <c r="K1508" t="s">
        <v>284</v>
      </c>
      <c r="L1508" t="s">
        <v>427</v>
      </c>
      <c r="N1508" t="s">
        <v>428</v>
      </c>
      <c r="O1508" t="s">
        <v>134</v>
      </c>
      <c r="Q1508" t="s">
        <v>238</v>
      </c>
      <c r="R1508" t="s">
        <v>206</v>
      </c>
      <c r="S1508" t="s">
        <v>128</v>
      </c>
      <c r="T1508" t="s">
        <v>165</v>
      </c>
      <c r="U1508" t="s">
        <v>129</v>
      </c>
      <c r="V1508" t="s">
        <v>76</v>
      </c>
      <c r="W1508" s="58">
        <v>43329</v>
      </c>
      <c r="X1508" s="59">
        <v>0.3888888888888889</v>
      </c>
      <c r="Y1508" s="59">
        <v>0.43055555555555558</v>
      </c>
      <c r="Z1508" s="59">
        <v>4.1666666666666664E-2</v>
      </c>
      <c r="AA1508">
        <v>0</v>
      </c>
      <c r="AB1508">
        <v>2.1305999999999998</v>
      </c>
      <c r="AC1508">
        <v>23</v>
      </c>
      <c r="AD1508">
        <v>9</v>
      </c>
      <c r="AE1508" s="59">
        <v>0.3888888888888889</v>
      </c>
      <c r="AF1508" s="59">
        <v>0.42986111111111108</v>
      </c>
    </row>
    <row r="1509" spans="1:32" x14ac:dyDescent="0.25">
      <c r="A1509" t="s">
        <v>266</v>
      </c>
      <c r="B1509" t="s">
        <v>293</v>
      </c>
      <c r="C1509" t="s">
        <v>294</v>
      </c>
      <c r="E1509" t="s">
        <v>295</v>
      </c>
      <c r="F1509" t="s">
        <v>134</v>
      </c>
      <c r="H1509" t="s">
        <v>157</v>
      </c>
      <c r="I1509" t="s">
        <v>158</v>
      </c>
      <c r="J1509" t="s">
        <v>426</v>
      </c>
      <c r="K1509" t="s">
        <v>284</v>
      </c>
      <c r="L1509" t="s">
        <v>427</v>
      </c>
      <c r="N1509" t="s">
        <v>428</v>
      </c>
      <c r="O1509" t="s">
        <v>134</v>
      </c>
      <c r="Q1509" t="s">
        <v>238</v>
      </c>
      <c r="R1509" t="s">
        <v>161</v>
      </c>
      <c r="S1509" t="s">
        <v>128</v>
      </c>
      <c r="T1509" t="s">
        <v>165</v>
      </c>
      <c r="U1509" t="s">
        <v>163</v>
      </c>
      <c r="V1509" t="s">
        <v>76</v>
      </c>
      <c r="W1509" s="58">
        <v>43329</v>
      </c>
      <c r="X1509" s="59">
        <v>0.44444444444444442</v>
      </c>
      <c r="Y1509" s="59">
        <v>0.69444444444444453</v>
      </c>
      <c r="Z1509" s="59">
        <v>0.25</v>
      </c>
      <c r="AA1509">
        <v>0</v>
      </c>
      <c r="AB1509">
        <v>7.6101999999999999</v>
      </c>
      <c r="AC1509">
        <v>108</v>
      </c>
      <c r="AD1509">
        <v>54</v>
      </c>
      <c r="AE1509" s="59">
        <v>0.44444444444444442</v>
      </c>
      <c r="AF1509" s="59">
        <v>0.69374999999999998</v>
      </c>
    </row>
    <row r="1510" spans="1:32" x14ac:dyDescent="0.25">
      <c r="A1510" t="s">
        <v>258</v>
      </c>
      <c r="B1510" t="s">
        <v>342</v>
      </c>
      <c r="C1510" t="s">
        <v>343</v>
      </c>
      <c r="E1510" t="s">
        <v>344</v>
      </c>
      <c r="F1510" t="s">
        <v>134</v>
      </c>
      <c r="H1510" t="s">
        <v>197</v>
      </c>
      <c r="I1510" t="s">
        <v>198</v>
      </c>
      <c r="J1510" t="s">
        <v>426</v>
      </c>
      <c r="K1510" t="s">
        <v>284</v>
      </c>
      <c r="L1510" t="s">
        <v>427</v>
      </c>
      <c r="N1510" t="s">
        <v>428</v>
      </c>
      <c r="O1510" t="s">
        <v>134</v>
      </c>
      <c r="Q1510" t="s">
        <v>238</v>
      </c>
      <c r="R1510" t="s">
        <v>199</v>
      </c>
      <c r="S1510" t="s">
        <v>128</v>
      </c>
      <c r="T1510" t="s">
        <v>165</v>
      </c>
      <c r="U1510" t="s">
        <v>151</v>
      </c>
      <c r="V1510" t="s">
        <v>77</v>
      </c>
      <c r="W1510" s="58">
        <v>43330</v>
      </c>
      <c r="X1510" s="59">
        <v>0.33333333333333331</v>
      </c>
      <c r="Y1510" s="59">
        <v>0.375</v>
      </c>
      <c r="Z1510" s="59">
        <v>4.1666666666666664E-2</v>
      </c>
      <c r="AA1510">
        <v>0</v>
      </c>
      <c r="AC1510">
        <v>20</v>
      </c>
      <c r="AD1510">
        <v>10</v>
      </c>
      <c r="AE1510" s="59">
        <v>0.33333333333333331</v>
      </c>
      <c r="AF1510" s="59">
        <v>0.3743055555555555</v>
      </c>
    </row>
    <row r="1511" spans="1:32" x14ac:dyDescent="0.25">
      <c r="A1511" t="s">
        <v>258</v>
      </c>
      <c r="B1511" t="s">
        <v>262</v>
      </c>
      <c r="C1511" t="s">
        <v>263</v>
      </c>
      <c r="D1511" t="s">
        <v>264</v>
      </c>
      <c r="E1511" t="s">
        <v>265</v>
      </c>
      <c r="F1511" t="s">
        <v>134</v>
      </c>
      <c r="H1511" t="s">
        <v>132</v>
      </c>
      <c r="I1511" t="s">
        <v>133</v>
      </c>
      <c r="J1511" t="s">
        <v>426</v>
      </c>
      <c r="K1511" t="s">
        <v>284</v>
      </c>
      <c r="L1511" t="s">
        <v>427</v>
      </c>
      <c r="N1511" t="s">
        <v>428</v>
      </c>
      <c r="O1511" t="s">
        <v>134</v>
      </c>
      <c r="Q1511" t="s">
        <v>238</v>
      </c>
      <c r="R1511" t="s">
        <v>136</v>
      </c>
      <c r="S1511" t="s">
        <v>128</v>
      </c>
      <c r="T1511" t="s">
        <v>165</v>
      </c>
      <c r="U1511" t="s">
        <v>129</v>
      </c>
      <c r="V1511" t="s">
        <v>77</v>
      </c>
      <c r="W1511" s="58">
        <v>43330</v>
      </c>
      <c r="X1511" s="59">
        <v>0.39583333333333331</v>
      </c>
      <c r="Y1511" s="59">
        <v>0.4375</v>
      </c>
      <c r="Z1511" s="59">
        <v>4.1666666666666664E-2</v>
      </c>
      <c r="AA1511">
        <v>0</v>
      </c>
      <c r="AB1511">
        <v>11.287599999999999</v>
      </c>
      <c r="AC1511">
        <v>23</v>
      </c>
      <c r="AD1511">
        <v>10</v>
      </c>
      <c r="AE1511" s="59">
        <v>0.39583333333333331</v>
      </c>
      <c r="AF1511" s="59">
        <v>0.4368055555555555</v>
      </c>
    </row>
    <row r="1512" spans="1:32" x14ac:dyDescent="0.25">
      <c r="A1512" t="s">
        <v>258</v>
      </c>
      <c r="B1512" t="s">
        <v>310</v>
      </c>
      <c r="C1512" t="s">
        <v>311</v>
      </c>
      <c r="D1512" t="s">
        <v>312</v>
      </c>
      <c r="E1512" t="s">
        <v>313</v>
      </c>
      <c r="F1512" t="s">
        <v>134</v>
      </c>
      <c r="H1512" t="s">
        <v>175</v>
      </c>
      <c r="I1512" t="s">
        <v>127</v>
      </c>
      <c r="J1512" t="s">
        <v>426</v>
      </c>
      <c r="K1512" t="s">
        <v>284</v>
      </c>
      <c r="L1512" t="s">
        <v>427</v>
      </c>
      <c r="N1512" t="s">
        <v>428</v>
      </c>
      <c r="O1512" t="s">
        <v>134</v>
      </c>
      <c r="Q1512" t="s">
        <v>238</v>
      </c>
      <c r="R1512" t="s">
        <v>176</v>
      </c>
      <c r="S1512" t="s">
        <v>128</v>
      </c>
      <c r="T1512" t="s">
        <v>165</v>
      </c>
      <c r="U1512" t="s">
        <v>151</v>
      </c>
      <c r="V1512" t="s">
        <v>77</v>
      </c>
      <c r="W1512" s="58">
        <v>43330</v>
      </c>
      <c r="X1512" s="59">
        <v>0.50347222222222221</v>
      </c>
      <c r="Y1512" s="59">
        <v>0.58680555555555558</v>
      </c>
      <c r="Z1512" s="59">
        <v>8.3333333333333329E-2</v>
      </c>
      <c r="AA1512">
        <v>0</v>
      </c>
      <c r="AB1512">
        <v>8.3000000000000007</v>
      </c>
      <c r="AC1512">
        <v>40</v>
      </c>
      <c r="AD1512">
        <v>20</v>
      </c>
      <c r="AE1512" s="59">
        <v>0.50347222222222221</v>
      </c>
      <c r="AF1512" s="59">
        <v>0.58611111111111114</v>
      </c>
    </row>
    <row r="1513" spans="1:32" x14ac:dyDescent="0.25">
      <c r="A1513" t="s">
        <v>258</v>
      </c>
      <c r="B1513" t="s">
        <v>314</v>
      </c>
      <c r="C1513" t="s">
        <v>315</v>
      </c>
      <c r="D1513">
        <v>72</v>
      </c>
      <c r="E1513" t="s">
        <v>316</v>
      </c>
      <c r="F1513" t="s">
        <v>317</v>
      </c>
      <c r="G1513" t="s">
        <v>218</v>
      </c>
      <c r="H1513" t="s">
        <v>168</v>
      </c>
      <c r="I1513" t="s">
        <v>169</v>
      </c>
      <c r="J1513" t="s">
        <v>426</v>
      </c>
      <c r="K1513" t="s">
        <v>284</v>
      </c>
      <c r="L1513" t="s">
        <v>427</v>
      </c>
      <c r="N1513" t="s">
        <v>428</v>
      </c>
      <c r="O1513" t="s">
        <v>134</v>
      </c>
      <c r="Q1513" t="s">
        <v>238</v>
      </c>
      <c r="R1513" t="s">
        <v>170</v>
      </c>
      <c r="S1513" t="s">
        <v>128</v>
      </c>
      <c r="T1513" t="s">
        <v>165</v>
      </c>
      <c r="U1513" t="s">
        <v>129</v>
      </c>
      <c r="V1513" t="s">
        <v>76</v>
      </c>
      <c r="W1513" s="58">
        <v>43336</v>
      </c>
      <c r="X1513" s="59">
        <v>0.33333333333333331</v>
      </c>
      <c r="Y1513" s="59">
        <v>0.35416666666666669</v>
      </c>
      <c r="Z1513" s="59">
        <v>2.0833333333333332E-2</v>
      </c>
      <c r="AA1513">
        <v>0</v>
      </c>
      <c r="AC1513">
        <v>11.5</v>
      </c>
      <c r="AD1513">
        <v>4.5</v>
      </c>
      <c r="AE1513" s="59">
        <v>0.33333333333333331</v>
      </c>
      <c r="AF1513" s="59">
        <v>0.35347222222222219</v>
      </c>
    </row>
    <row r="1514" spans="1:32" x14ac:dyDescent="0.25">
      <c r="A1514" t="s">
        <v>258</v>
      </c>
      <c r="B1514" t="s">
        <v>325</v>
      </c>
      <c r="C1514" t="s">
        <v>326</v>
      </c>
      <c r="E1514" t="s">
        <v>327</v>
      </c>
      <c r="F1514" t="s">
        <v>134</v>
      </c>
      <c r="H1514" t="s">
        <v>182</v>
      </c>
      <c r="I1514" t="s">
        <v>147</v>
      </c>
      <c r="J1514" t="s">
        <v>426</v>
      </c>
      <c r="K1514" t="s">
        <v>284</v>
      </c>
      <c r="L1514" t="s">
        <v>427</v>
      </c>
      <c r="N1514" t="s">
        <v>428</v>
      </c>
      <c r="O1514" t="s">
        <v>134</v>
      </c>
      <c r="Q1514" t="s">
        <v>238</v>
      </c>
      <c r="R1514" t="s">
        <v>183</v>
      </c>
      <c r="S1514" t="s">
        <v>128</v>
      </c>
      <c r="T1514" t="s">
        <v>165</v>
      </c>
      <c r="U1514" t="s">
        <v>129</v>
      </c>
      <c r="V1514" t="s">
        <v>76</v>
      </c>
      <c r="W1514" s="58">
        <v>43336</v>
      </c>
      <c r="X1514" s="59">
        <v>0.36458333333333331</v>
      </c>
      <c r="Y1514" s="59">
        <v>0.40625</v>
      </c>
      <c r="Z1514" s="59">
        <v>4.1666666666666664E-2</v>
      </c>
      <c r="AA1514">
        <v>0</v>
      </c>
      <c r="AB1514">
        <v>3.7126000000000001</v>
      </c>
      <c r="AC1514">
        <v>23</v>
      </c>
      <c r="AD1514">
        <v>9</v>
      </c>
      <c r="AE1514" s="59">
        <v>0.36458333333333331</v>
      </c>
      <c r="AF1514" s="59">
        <v>0.4055555555555555</v>
      </c>
    </row>
    <row r="1515" spans="1:32" x14ac:dyDescent="0.25">
      <c r="A1515" t="s">
        <v>266</v>
      </c>
      <c r="B1515" t="s">
        <v>293</v>
      </c>
      <c r="C1515" t="s">
        <v>294</v>
      </c>
      <c r="E1515" t="s">
        <v>295</v>
      </c>
      <c r="F1515" t="s">
        <v>134</v>
      </c>
      <c r="H1515" t="s">
        <v>157</v>
      </c>
      <c r="I1515" t="s">
        <v>158</v>
      </c>
      <c r="J1515" t="s">
        <v>426</v>
      </c>
      <c r="K1515" t="s">
        <v>284</v>
      </c>
      <c r="L1515" t="s">
        <v>427</v>
      </c>
      <c r="N1515" t="s">
        <v>428</v>
      </c>
      <c r="O1515" t="s">
        <v>134</v>
      </c>
      <c r="Q1515" t="s">
        <v>238</v>
      </c>
      <c r="R1515" t="s">
        <v>161</v>
      </c>
      <c r="S1515" t="s">
        <v>128</v>
      </c>
      <c r="T1515" t="s">
        <v>165</v>
      </c>
      <c r="U1515" t="s">
        <v>163</v>
      </c>
      <c r="V1515" t="s">
        <v>76</v>
      </c>
      <c r="W1515" s="58">
        <v>43336</v>
      </c>
      <c r="X1515" s="59">
        <v>0.42708333333333331</v>
      </c>
      <c r="Y1515" s="59">
        <v>0.67708333333333337</v>
      </c>
      <c r="Z1515" s="59">
        <v>0.25</v>
      </c>
      <c r="AA1515">
        <v>0</v>
      </c>
      <c r="AB1515">
        <v>11.9</v>
      </c>
      <c r="AC1515">
        <v>108</v>
      </c>
      <c r="AD1515">
        <v>54</v>
      </c>
      <c r="AE1515" s="59">
        <v>0.42708333333333331</v>
      </c>
      <c r="AF1515" s="59">
        <v>0.67638888888888893</v>
      </c>
    </row>
    <row r="1516" spans="1:32" x14ac:dyDescent="0.25">
      <c r="A1516" t="s">
        <v>258</v>
      </c>
      <c r="B1516" t="s">
        <v>342</v>
      </c>
      <c r="C1516" t="s">
        <v>343</v>
      </c>
      <c r="E1516" t="s">
        <v>344</v>
      </c>
      <c r="F1516" t="s">
        <v>134</v>
      </c>
      <c r="H1516" t="s">
        <v>197</v>
      </c>
      <c r="I1516" t="s">
        <v>198</v>
      </c>
      <c r="J1516" t="s">
        <v>426</v>
      </c>
      <c r="K1516" t="s">
        <v>284</v>
      </c>
      <c r="L1516" t="s">
        <v>427</v>
      </c>
      <c r="N1516" t="s">
        <v>428</v>
      </c>
      <c r="O1516" t="s">
        <v>134</v>
      </c>
      <c r="Q1516" t="s">
        <v>238</v>
      </c>
      <c r="R1516" t="s">
        <v>199</v>
      </c>
      <c r="S1516" t="s">
        <v>128</v>
      </c>
      <c r="T1516" t="s">
        <v>165</v>
      </c>
      <c r="U1516" t="s">
        <v>151</v>
      </c>
      <c r="V1516" t="s">
        <v>77</v>
      </c>
      <c r="W1516" s="58">
        <v>43337</v>
      </c>
      <c r="X1516" s="59">
        <v>0.33333333333333331</v>
      </c>
      <c r="Y1516" s="59">
        <v>0.375</v>
      </c>
      <c r="Z1516" s="59">
        <v>4.1666666666666664E-2</v>
      </c>
      <c r="AA1516">
        <v>0</v>
      </c>
      <c r="AC1516">
        <v>20</v>
      </c>
      <c r="AD1516">
        <v>10</v>
      </c>
      <c r="AE1516" s="59">
        <v>0.33333333333333331</v>
      </c>
      <c r="AF1516" s="59">
        <v>0.3743055555555555</v>
      </c>
    </row>
    <row r="1517" spans="1:32" x14ac:dyDescent="0.25">
      <c r="A1517" t="s">
        <v>258</v>
      </c>
      <c r="B1517" t="s">
        <v>354</v>
      </c>
      <c r="C1517" t="s">
        <v>355</v>
      </c>
      <c r="E1517" t="s">
        <v>356</v>
      </c>
      <c r="F1517" t="s">
        <v>134</v>
      </c>
      <c r="H1517" t="s">
        <v>205</v>
      </c>
      <c r="I1517" t="s">
        <v>198</v>
      </c>
      <c r="J1517" t="s">
        <v>426</v>
      </c>
      <c r="K1517" t="s">
        <v>284</v>
      </c>
      <c r="L1517" t="s">
        <v>427</v>
      </c>
      <c r="N1517" t="s">
        <v>428</v>
      </c>
      <c r="O1517" t="s">
        <v>134</v>
      </c>
      <c r="Q1517" t="s">
        <v>238</v>
      </c>
      <c r="R1517" t="s">
        <v>206</v>
      </c>
      <c r="S1517" t="s">
        <v>128</v>
      </c>
      <c r="T1517" t="s">
        <v>165</v>
      </c>
      <c r="U1517" t="s">
        <v>129</v>
      </c>
      <c r="V1517" t="s">
        <v>77</v>
      </c>
      <c r="W1517" s="58">
        <v>43337</v>
      </c>
      <c r="X1517" s="59">
        <v>0.3888888888888889</v>
      </c>
      <c r="Y1517" s="59">
        <v>0.43055555555555558</v>
      </c>
      <c r="Z1517" s="59">
        <v>4.1666666666666664E-2</v>
      </c>
      <c r="AA1517">
        <v>0</v>
      </c>
      <c r="AB1517">
        <v>2.1305999999999998</v>
      </c>
      <c r="AC1517">
        <v>23</v>
      </c>
      <c r="AD1517">
        <v>10</v>
      </c>
      <c r="AE1517" s="59">
        <v>0.3888888888888889</v>
      </c>
      <c r="AF1517" s="59">
        <v>0.42986111111111108</v>
      </c>
    </row>
    <row r="1518" spans="1:32" x14ac:dyDescent="0.25">
      <c r="A1518" t="s">
        <v>266</v>
      </c>
      <c r="B1518" t="s">
        <v>293</v>
      </c>
      <c r="C1518" t="s">
        <v>294</v>
      </c>
      <c r="E1518" t="s">
        <v>295</v>
      </c>
      <c r="F1518" t="s">
        <v>134</v>
      </c>
      <c r="H1518" t="s">
        <v>157</v>
      </c>
      <c r="I1518" t="s">
        <v>158</v>
      </c>
      <c r="J1518" t="s">
        <v>426</v>
      </c>
      <c r="K1518" t="s">
        <v>284</v>
      </c>
      <c r="L1518" t="s">
        <v>427</v>
      </c>
      <c r="N1518" t="s">
        <v>428</v>
      </c>
      <c r="O1518" t="s">
        <v>134</v>
      </c>
      <c r="Q1518" t="s">
        <v>238</v>
      </c>
      <c r="R1518" t="s">
        <v>161</v>
      </c>
      <c r="S1518" t="s">
        <v>128</v>
      </c>
      <c r="T1518" t="s">
        <v>165</v>
      </c>
      <c r="U1518" t="s">
        <v>163</v>
      </c>
      <c r="V1518" t="s">
        <v>77</v>
      </c>
      <c r="W1518" s="58">
        <v>43337</v>
      </c>
      <c r="X1518" s="59">
        <v>0.4375</v>
      </c>
      <c r="Y1518" s="59">
        <v>0.64583333333333337</v>
      </c>
      <c r="Z1518" s="59">
        <v>0.20833333333333334</v>
      </c>
      <c r="AA1518">
        <v>0</v>
      </c>
      <c r="AB1518">
        <v>7.6101999999999999</v>
      </c>
      <c r="AC1518">
        <v>90</v>
      </c>
      <c r="AD1518">
        <v>50</v>
      </c>
      <c r="AE1518" s="59">
        <v>0.4375</v>
      </c>
      <c r="AF1518" s="59">
        <v>0.64513888888888882</v>
      </c>
    </row>
    <row r="1519" spans="1:32" x14ac:dyDescent="0.25">
      <c r="A1519" t="s">
        <v>274</v>
      </c>
      <c r="B1519" t="s">
        <v>334</v>
      </c>
      <c r="C1519" t="s">
        <v>285</v>
      </c>
      <c r="E1519" t="s">
        <v>335</v>
      </c>
      <c r="F1519" t="s">
        <v>134</v>
      </c>
      <c r="H1519" t="s">
        <v>192</v>
      </c>
      <c r="I1519" t="s">
        <v>155</v>
      </c>
      <c r="J1519" t="s">
        <v>426</v>
      </c>
      <c r="K1519" t="s">
        <v>284</v>
      </c>
      <c r="L1519" t="s">
        <v>427</v>
      </c>
      <c r="N1519" t="s">
        <v>428</v>
      </c>
      <c r="O1519" t="s">
        <v>134</v>
      </c>
      <c r="Q1519" t="s">
        <v>238</v>
      </c>
      <c r="R1519" t="s">
        <v>193</v>
      </c>
      <c r="S1519" t="s">
        <v>128</v>
      </c>
      <c r="T1519" t="s">
        <v>165</v>
      </c>
      <c r="U1519" t="s">
        <v>129</v>
      </c>
      <c r="V1519" t="s">
        <v>77</v>
      </c>
      <c r="W1519" s="58">
        <v>43337</v>
      </c>
      <c r="X1519" s="59">
        <v>0.70833333333333337</v>
      </c>
      <c r="Y1519" s="59">
        <v>0.75</v>
      </c>
      <c r="Z1519" s="59">
        <v>4.1666666666666664E-2</v>
      </c>
      <c r="AA1519">
        <v>0</v>
      </c>
      <c r="AB1519">
        <v>9.9863999999999997</v>
      </c>
      <c r="AC1519">
        <v>23</v>
      </c>
      <c r="AD1519">
        <v>10</v>
      </c>
      <c r="AE1519" s="59">
        <v>0.70833333333333337</v>
      </c>
      <c r="AF1519" s="59">
        <v>0.74930555555555556</v>
      </c>
    </row>
    <row r="1520" spans="1:32" x14ac:dyDescent="0.25">
      <c r="A1520" t="s">
        <v>258</v>
      </c>
      <c r="B1520" t="s">
        <v>281</v>
      </c>
      <c r="C1520" t="s">
        <v>282</v>
      </c>
      <c r="E1520" t="s">
        <v>283</v>
      </c>
      <c r="F1520" t="s">
        <v>134</v>
      </c>
      <c r="G1520" t="s">
        <v>218</v>
      </c>
      <c r="H1520" t="s">
        <v>146</v>
      </c>
      <c r="I1520" t="s">
        <v>147</v>
      </c>
      <c r="J1520" t="s">
        <v>426</v>
      </c>
      <c r="K1520" t="s">
        <v>284</v>
      </c>
      <c r="L1520" t="s">
        <v>427</v>
      </c>
      <c r="N1520" t="s">
        <v>428</v>
      </c>
      <c r="O1520" t="s">
        <v>134</v>
      </c>
      <c r="Q1520" t="s">
        <v>238</v>
      </c>
      <c r="R1520" t="s">
        <v>148</v>
      </c>
      <c r="S1520" t="s">
        <v>128</v>
      </c>
      <c r="T1520" t="s">
        <v>165</v>
      </c>
      <c r="U1520" t="s">
        <v>129</v>
      </c>
      <c r="V1520" t="s">
        <v>77</v>
      </c>
      <c r="W1520" s="58">
        <v>43337</v>
      </c>
      <c r="X1520" s="59">
        <v>0.76041666666666663</v>
      </c>
      <c r="Y1520" s="59">
        <v>0.80208333333333337</v>
      </c>
      <c r="Z1520" s="59">
        <v>4.1666666666666664E-2</v>
      </c>
      <c r="AA1520">
        <v>0</v>
      </c>
      <c r="AB1520">
        <v>6.9386000000000001</v>
      </c>
      <c r="AC1520">
        <v>23</v>
      </c>
      <c r="AD1520">
        <v>10</v>
      </c>
      <c r="AE1520" s="59">
        <v>0.76041666666666663</v>
      </c>
      <c r="AF1520" s="59">
        <v>0.80138888888888893</v>
      </c>
    </row>
    <row r="1521" spans="1:33" x14ac:dyDescent="0.25">
      <c r="A1521" t="s">
        <v>258</v>
      </c>
      <c r="B1521" t="s">
        <v>342</v>
      </c>
      <c r="C1521" t="s">
        <v>343</v>
      </c>
      <c r="E1521" t="s">
        <v>344</v>
      </c>
      <c r="F1521" t="s">
        <v>134</v>
      </c>
      <c r="H1521" t="s">
        <v>197</v>
      </c>
      <c r="I1521" t="s">
        <v>198</v>
      </c>
      <c r="J1521" t="s">
        <v>426</v>
      </c>
      <c r="K1521" t="s">
        <v>284</v>
      </c>
      <c r="L1521" t="s">
        <v>427</v>
      </c>
      <c r="N1521" t="s">
        <v>428</v>
      </c>
      <c r="O1521" t="s">
        <v>134</v>
      </c>
      <c r="Q1521" t="s">
        <v>238</v>
      </c>
      <c r="R1521" t="s">
        <v>199</v>
      </c>
      <c r="S1521" t="s">
        <v>128</v>
      </c>
      <c r="T1521" t="s">
        <v>165</v>
      </c>
      <c r="U1521" t="s">
        <v>151</v>
      </c>
      <c r="V1521" t="s">
        <v>77</v>
      </c>
      <c r="W1521" s="58">
        <v>43337</v>
      </c>
      <c r="X1521" s="59">
        <v>0.8125</v>
      </c>
      <c r="Y1521" s="59">
        <v>0.85416666666666663</v>
      </c>
      <c r="Z1521" s="59">
        <v>4.1666666666666664E-2</v>
      </c>
      <c r="AA1521">
        <v>0</v>
      </c>
      <c r="AB1521">
        <v>5.7431999999999999</v>
      </c>
      <c r="AC1521">
        <v>20</v>
      </c>
      <c r="AD1521">
        <v>10</v>
      </c>
      <c r="AE1521" s="59">
        <v>0.8125</v>
      </c>
      <c r="AF1521" s="59">
        <v>0.8534722222222223</v>
      </c>
    </row>
    <row r="1522" spans="1:33" x14ac:dyDescent="0.25">
      <c r="A1522" t="s">
        <v>258</v>
      </c>
      <c r="B1522" t="s">
        <v>310</v>
      </c>
      <c r="C1522" t="s">
        <v>311</v>
      </c>
      <c r="D1522" t="s">
        <v>312</v>
      </c>
      <c r="E1522" t="s">
        <v>313</v>
      </c>
      <c r="F1522" t="s">
        <v>134</v>
      </c>
      <c r="H1522" t="s">
        <v>175</v>
      </c>
      <c r="I1522" t="s">
        <v>127</v>
      </c>
      <c r="J1522" t="s">
        <v>426</v>
      </c>
      <c r="K1522" t="s">
        <v>284</v>
      </c>
      <c r="L1522" t="s">
        <v>427</v>
      </c>
      <c r="N1522" t="s">
        <v>428</v>
      </c>
      <c r="O1522" t="s">
        <v>134</v>
      </c>
      <c r="Q1522" t="s">
        <v>238</v>
      </c>
      <c r="R1522" t="s">
        <v>176</v>
      </c>
      <c r="S1522" t="s">
        <v>128</v>
      </c>
      <c r="T1522" t="s">
        <v>165</v>
      </c>
      <c r="U1522" t="s">
        <v>151</v>
      </c>
      <c r="V1522" t="s">
        <v>77</v>
      </c>
      <c r="W1522" s="58">
        <v>43337</v>
      </c>
      <c r="X1522" s="59">
        <v>0.86319444444444438</v>
      </c>
      <c r="Y1522" s="59">
        <v>0.88402777777777775</v>
      </c>
      <c r="Z1522" s="59">
        <v>2.0833333333333332E-2</v>
      </c>
      <c r="AA1522">
        <v>0</v>
      </c>
      <c r="AB1522">
        <v>5.3818000000000001</v>
      </c>
      <c r="AC1522">
        <v>10</v>
      </c>
      <c r="AD1522">
        <v>5</v>
      </c>
      <c r="AE1522" s="59">
        <v>0.86319444444444438</v>
      </c>
      <c r="AF1522" s="59">
        <v>0.8833333333333333</v>
      </c>
    </row>
    <row r="1523" spans="1:33" x14ac:dyDescent="0.25">
      <c r="A1523" t="s">
        <v>258</v>
      </c>
      <c r="B1523" t="s">
        <v>342</v>
      </c>
      <c r="C1523" t="s">
        <v>343</v>
      </c>
      <c r="E1523" t="s">
        <v>344</v>
      </c>
      <c r="F1523" t="s">
        <v>134</v>
      </c>
      <c r="H1523" t="s">
        <v>197</v>
      </c>
      <c r="I1523" t="s">
        <v>198</v>
      </c>
      <c r="J1523" t="s">
        <v>426</v>
      </c>
      <c r="K1523" t="s">
        <v>284</v>
      </c>
      <c r="L1523" t="s">
        <v>427</v>
      </c>
      <c r="N1523" t="s">
        <v>428</v>
      </c>
      <c r="O1523" t="s">
        <v>134</v>
      </c>
      <c r="Q1523" t="s">
        <v>238</v>
      </c>
      <c r="R1523" t="s">
        <v>199</v>
      </c>
      <c r="S1523" t="s">
        <v>128</v>
      </c>
      <c r="T1523" t="s">
        <v>165</v>
      </c>
      <c r="U1523" t="s">
        <v>151</v>
      </c>
      <c r="V1523" t="s">
        <v>72</v>
      </c>
      <c r="W1523" s="58">
        <v>43339</v>
      </c>
      <c r="X1523" s="59">
        <v>0.33333333333333331</v>
      </c>
      <c r="Y1523" s="59">
        <v>0.375</v>
      </c>
      <c r="Z1523" s="59">
        <v>4.1666666666666664E-2</v>
      </c>
      <c r="AA1523">
        <v>0</v>
      </c>
      <c r="AC1523">
        <v>20</v>
      </c>
      <c r="AD1523">
        <v>9</v>
      </c>
      <c r="AE1523" s="59">
        <v>0.33333333333333331</v>
      </c>
      <c r="AF1523" s="59">
        <v>0.3743055555555555</v>
      </c>
    </row>
    <row r="1524" spans="1:33" x14ac:dyDescent="0.25">
      <c r="A1524" t="s">
        <v>258</v>
      </c>
      <c r="B1524" t="s">
        <v>354</v>
      </c>
      <c r="C1524" t="s">
        <v>355</v>
      </c>
      <c r="E1524" t="s">
        <v>356</v>
      </c>
      <c r="F1524" t="s">
        <v>134</v>
      </c>
      <c r="H1524" t="s">
        <v>205</v>
      </c>
      <c r="I1524" t="s">
        <v>198</v>
      </c>
      <c r="J1524" t="s">
        <v>426</v>
      </c>
      <c r="K1524" t="s">
        <v>284</v>
      </c>
      <c r="L1524" t="s">
        <v>427</v>
      </c>
      <c r="N1524" t="s">
        <v>428</v>
      </c>
      <c r="O1524" t="s">
        <v>134</v>
      </c>
      <c r="Q1524" t="s">
        <v>238</v>
      </c>
      <c r="R1524" t="s">
        <v>206</v>
      </c>
      <c r="S1524" t="s">
        <v>128</v>
      </c>
      <c r="T1524" t="s">
        <v>165</v>
      </c>
      <c r="U1524" t="s">
        <v>129</v>
      </c>
      <c r="V1524" t="s">
        <v>72</v>
      </c>
      <c r="W1524" s="58">
        <v>43339</v>
      </c>
      <c r="X1524" s="59">
        <v>0.3888888888888889</v>
      </c>
      <c r="Y1524" s="59">
        <v>0.43055555555555558</v>
      </c>
      <c r="Z1524" s="59">
        <v>4.1666666666666664E-2</v>
      </c>
      <c r="AA1524">
        <v>0</v>
      </c>
      <c r="AB1524">
        <v>2.1305999999999998</v>
      </c>
      <c r="AC1524">
        <v>23</v>
      </c>
      <c r="AD1524">
        <v>9</v>
      </c>
      <c r="AE1524" s="59">
        <v>0.3888888888888889</v>
      </c>
      <c r="AF1524" s="59">
        <v>0.42986111111111108</v>
      </c>
    </row>
    <row r="1525" spans="1:33" x14ac:dyDescent="0.25">
      <c r="A1525" t="s">
        <v>258</v>
      </c>
      <c r="B1525" t="s">
        <v>310</v>
      </c>
      <c r="C1525" t="s">
        <v>311</v>
      </c>
      <c r="D1525" t="s">
        <v>312</v>
      </c>
      <c r="E1525" t="s">
        <v>313</v>
      </c>
      <c r="F1525" t="s">
        <v>134</v>
      </c>
      <c r="H1525" t="s">
        <v>175</v>
      </c>
      <c r="I1525" t="s">
        <v>127</v>
      </c>
      <c r="J1525" t="s">
        <v>426</v>
      </c>
      <c r="K1525" t="s">
        <v>284</v>
      </c>
      <c r="L1525" t="s">
        <v>427</v>
      </c>
      <c r="N1525" t="s">
        <v>428</v>
      </c>
      <c r="O1525" t="s">
        <v>134</v>
      </c>
      <c r="Q1525" t="s">
        <v>238</v>
      </c>
      <c r="R1525" t="s">
        <v>176</v>
      </c>
      <c r="S1525" t="s">
        <v>128</v>
      </c>
      <c r="T1525" t="s">
        <v>165</v>
      </c>
      <c r="U1525" t="s">
        <v>151</v>
      </c>
      <c r="V1525" t="s">
        <v>72</v>
      </c>
      <c r="W1525" s="58">
        <v>43339</v>
      </c>
      <c r="X1525" s="59">
        <v>0.54166666666666663</v>
      </c>
      <c r="Y1525" s="59">
        <v>0.66666666666666663</v>
      </c>
      <c r="Z1525" s="59">
        <v>0.125</v>
      </c>
      <c r="AA1525">
        <v>0</v>
      </c>
      <c r="AB1525">
        <v>3.9613999999999998</v>
      </c>
      <c r="AC1525">
        <v>60</v>
      </c>
      <c r="AD1525">
        <v>27</v>
      </c>
      <c r="AE1525" s="59">
        <v>0.54166666666666663</v>
      </c>
      <c r="AF1525" s="59">
        <v>0.66597222222222219</v>
      </c>
    </row>
    <row r="1526" spans="1:33" x14ac:dyDescent="0.25">
      <c r="A1526" t="s">
        <v>258</v>
      </c>
      <c r="B1526" t="s">
        <v>342</v>
      </c>
      <c r="C1526" t="s">
        <v>343</v>
      </c>
      <c r="E1526" t="s">
        <v>344</v>
      </c>
      <c r="F1526" t="s">
        <v>134</v>
      </c>
      <c r="H1526" t="s">
        <v>197</v>
      </c>
      <c r="I1526" t="s">
        <v>198</v>
      </c>
      <c r="J1526" t="s">
        <v>266</v>
      </c>
      <c r="K1526" t="s">
        <v>429</v>
      </c>
      <c r="L1526" t="s">
        <v>430</v>
      </c>
      <c r="M1526">
        <v>21</v>
      </c>
      <c r="N1526" t="s">
        <v>431</v>
      </c>
      <c r="O1526" t="s">
        <v>134</v>
      </c>
      <c r="Q1526" t="s">
        <v>239</v>
      </c>
      <c r="R1526" t="s">
        <v>199</v>
      </c>
      <c r="S1526" t="s">
        <v>128</v>
      </c>
      <c r="T1526" t="s">
        <v>137</v>
      </c>
      <c r="U1526" t="s">
        <v>151</v>
      </c>
      <c r="V1526" t="s">
        <v>75</v>
      </c>
      <c r="W1526" s="58">
        <v>43335</v>
      </c>
      <c r="X1526" s="59">
        <v>0.35416666666666669</v>
      </c>
      <c r="Y1526" s="59">
        <v>0.39583333333333331</v>
      </c>
      <c r="Z1526" s="59">
        <v>4.1666666666666664E-2</v>
      </c>
      <c r="AA1526">
        <v>0</v>
      </c>
      <c r="AC1526">
        <v>20</v>
      </c>
      <c r="AD1526">
        <v>8.75</v>
      </c>
      <c r="AE1526" s="59">
        <v>0.35416666666666669</v>
      </c>
      <c r="AF1526" s="59">
        <v>0.39513888888888887</v>
      </c>
    </row>
    <row r="1527" spans="1:33" x14ac:dyDescent="0.25">
      <c r="A1527" t="s">
        <v>258</v>
      </c>
      <c r="B1527" t="s">
        <v>342</v>
      </c>
      <c r="C1527" t="s">
        <v>343</v>
      </c>
      <c r="E1527" t="s">
        <v>344</v>
      </c>
      <c r="F1527" t="s">
        <v>134</v>
      </c>
      <c r="H1527" t="s">
        <v>197</v>
      </c>
      <c r="I1527" t="s">
        <v>198</v>
      </c>
      <c r="J1527" t="s">
        <v>266</v>
      </c>
      <c r="K1527" t="s">
        <v>429</v>
      </c>
      <c r="L1527" t="s">
        <v>430</v>
      </c>
      <c r="M1527">
        <v>21</v>
      </c>
      <c r="N1527" t="s">
        <v>431</v>
      </c>
      <c r="O1527" t="s">
        <v>134</v>
      </c>
      <c r="Q1527" t="s">
        <v>239</v>
      </c>
      <c r="R1527" t="s">
        <v>199</v>
      </c>
      <c r="S1527" t="s">
        <v>128</v>
      </c>
      <c r="T1527" t="s">
        <v>137</v>
      </c>
      <c r="U1527" t="s">
        <v>151</v>
      </c>
      <c r="V1527" t="s">
        <v>72</v>
      </c>
      <c r="W1527" s="58">
        <v>43339</v>
      </c>
      <c r="X1527" s="59">
        <v>0.33333333333333331</v>
      </c>
      <c r="Y1527" s="59">
        <v>0.375</v>
      </c>
      <c r="Z1527" s="59">
        <v>4.1666666666666664E-2</v>
      </c>
      <c r="AA1527">
        <v>0</v>
      </c>
      <c r="AC1527">
        <v>20</v>
      </c>
      <c r="AD1527">
        <v>8.75</v>
      </c>
      <c r="AE1527" s="59">
        <v>0.33333333333333331</v>
      </c>
      <c r="AF1527" s="59">
        <v>0.3743055555555555</v>
      </c>
    </row>
    <row r="1528" spans="1:33" x14ac:dyDescent="0.25">
      <c r="A1528" t="s">
        <v>258</v>
      </c>
      <c r="B1528" t="s">
        <v>310</v>
      </c>
      <c r="C1528" t="s">
        <v>311</v>
      </c>
      <c r="D1528" t="s">
        <v>312</v>
      </c>
      <c r="E1528" t="s">
        <v>313</v>
      </c>
      <c r="F1528" t="s">
        <v>134</v>
      </c>
      <c r="H1528" t="s">
        <v>175</v>
      </c>
      <c r="I1528" t="s">
        <v>127</v>
      </c>
      <c r="J1528" t="s">
        <v>266</v>
      </c>
      <c r="K1528" t="s">
        <v>429</v>
      </c>
      <c r="L1528" t="s">
        <v>430</v>
      </c>
      <c r="M1528">
        <v>21</v>
      </c>
      <c r="N1528" t="s">
        <v>431</v>
      </c>
      <c r="O1528" t="s">
        <v>134</v>
      </c>
      <c r="Q1528" t="s">
        <v>239</v>
      </c>
      <c r="R1528" t="s">
        <v>176</v>
      </c>
      <c r="S1528" t="s">
        <v>128</v>
      </c>
      <c r="T1528" t="s">
        <v>137</v>
      </c>
      <c r="U1528" t="s">
        <v>151</v>
      </c>
      <c r="V1528" t="s">
        <v>72</v>
      </c>
      <c r="W1528" s="58">
        <v>43339</v>
      </c>
      <c r="X1528" s="59">
        <v>0.3840277777777778</v>
      </c>
      <c r="Y1528" s="59">
        <v>0.42569444444444443</v>
      </c>
      <c r="Z1528" s="59">
        <v>4.1666666666666664E-2</v>
      </c>
      <c r="AA1528">
        <v>0</v>
      </c>
      <c r="AB1528">
        <v>5.3818000000000001</v>
      </c>
      <c r="AC1528">
        <v>20</v>
      </c>
      <c r="AD1528">
        <v>8.75</v>
      </c>
      <c r="AE1528" s="59">
        <v>0.3840277777777778</v>
      </c>
      <c r="AF1528" s="59">
        <v>0.42499999999999999</v>
      </c>
    </row>
    <row r="1529" spans="1:33" x14ac:dyDescent="0.25">
      <c r="A1529" t="s">
        <v>258</v>
      </c>
      <c r="B1529" t="s">
        <v>314</v>
      </c>
      <c r="C1529" t="s">
        <v>315</v>
      </c>
      <c r="D1529">
        <v>72</v>
      </c>
      <c r="E1529" t="s">
        <v>316</v>
      </c>
      <c r="F1529" t="s">
        <v>317</v>
      </c>
      <c r="G1529" t="s">
        <v>218</v>
      </c>
      <c r="H1529" t="s">
        <v>168</v>
      </c>
      <c r="I1529" t="s">
        <v>169</v>
      </c>
      <c r="J1529" t="s">
        <v>266</v>
      </c>
      <c r="K1529" t="s">
        <v>429</v>
      </c>
      <c r="L1529" t="s">
        <v>430</v>
      </c>
      <c r="M1529">
        <v>21</v>
      </c>
      <c r="N1529" t="s">
        <v>431</v>
      </c>
      <c r="O1529" t="s">
        <v>134</v>
      </c>
      <c r="Q1529" t="s">
        <v>239</v>
      </c>
      <c r="R1529" t="s">
        <v>170</v>
      </c>
      <c r="S1529" t="s">
        <v>128</v>
      </c>
      <c r="T1529" t="s">
        <v>137</v>
      </c>
      <c r="U1529" t="s">
        <v>129</v>
      </c>
      <c r="V1529" t="s">
        <v>73</v>
      </c>
      <c r="W1529" s="58">
        <v>43340</v>
      </c>
      <c r="X1529" s="59">
        <v>0.33333333333333331</v>
      </c>
      <c r="Y1529" s="59">
        <v>0.35416666666666669</v>
      </c>
      <c r="Z1529" s="59">
        <v>2.0833333333333332E-2</v>
      </c>
      <c r="AA1529">
        <v>0</v>
      </c>
      <c r="AD1529">
        <v>4.375</v>
      </c>
      <c r="AE1529" s="59">
        <v>0.33333333333333331</v>
      </c>
      <c r="AF1529" s="59">
        <v>0.35347222222222219</v>
      </c>
    </row>
    <row r="1530" spans="1:33" x14ac:dyDescent="0.25">
      <c r="A1530" t="s">
        <v>258</v>
      </c>
      <c r="B1530" t="s">
        <v>310</v>
      </c>
      <c r="C1530" t="s">
        <v>311</v>
      </c>
      <c r="D1530" t="s">
        <v>312</v>
      </c>
      <c r="E1530" t="s">
        <v>313</v>
      </c>
      <c r="F1530" t="s">
        <v>134</v>
      </c>
      <c r="H1530" t="s">
        <v>175</v>
      </c>
      <c r="I1530" t="s">
        <v>127</v>
      </c>
      <c r="J1530" t="s">
        <v>266</v>
      </c>
      <c r="K1530" t="s">
        <v>429</v>
      </c>
      <c r="L1530" t="s">
        <v>430</v>
      </c>
      <c r="M1530">
        <v>21</v>
      </c>
      <c r="N1530" t="s">
        <v>431</v>
      </c>
      <c r="O1530" t="s">
        <v>134</v>
      </c>
      <c r="Q1530" t="s">
        <v>239</v>
      </c>
      <c r="R1530" t="s">
        <v>176</v>
      </c>
      <c r="S1530" t="s">
        <v>128</v>
      </c>
      <c r="T1530" t="s">
        <v>137</v>
      </c>
      <c r="U1530" t="s">
        <v>151</v>
      </c>
      <c r="V1530" t="s">
        <v>73</v>
      </c>
      <c r="W1530" s="58">
        <v>43340</v>
      </c>
      <c r="X1530" s="59">
        <v>0.375</v>
      </c>
      <c r="Y1530" s="59">
        <v>0.41666666666666669</v>
      </c>
      <c r="Z1530" s="59">
        <v>4.1666666666666664E-2</v>
      </c>
      <c r="AA1530">
        <v>0</v>
      </c>
      <c r="AB1530">
        <v>1.4703999999999999</v>
      </c>
      <c r="AC1530">
        <v>20</v>
      </c>
      <c r="AD1530">
        <v>8.75</v>
      </c>
      <c r="AE1530" s="59">
        <v>0.375</v>
      </c>
      <c r="AF1530" s="59">
        <v>0.41597222222222219</v>
      </c>
    </row>
    <row r="1531" spans="1:33" x14ac:dyDescent="0.25">
      <c r="A1531" t="s">
        <v>258</v>
      </c>
      <c r="B1531" t="s">
        <v>342</v>
      </c>
      <c r="C1531" t="s">
        <v>343</v>
      </c>
      <c r="E1531" t="s">
        <v>344</v>
      </c>
      <c r="F1531" t="s">
        <v>134</v>
      </c>
      <c r="H1531" t="s">
        <v>197</v>
      </c>
      <c r="I1531" t="s">
        <v>198</v>
      </c>
      <c r="J1531" t="s">
        <v>426</v>
      </c>
      <c r="K1531" t="s">
        <v>432</v>
      </c>
      <c r="L1531" t="s">
        <v>433</v>
      </c>
      <c r="N1531" t="s">
        <v>434</v>
      </c>
      <c r="O1531" t="s">
        <v>134</v>
      </c>
      <c r="Q1531" t="s">
        <v>240</v>
      </c>
      <c r="R1531" t="s">
        <v>199</v>
      </c>
      <c r="S1531" t="s">
        <v>128</v>
      </c>
      <c r="T1531" t="s">
        <v>137</v>
      </c>
      <c r="U1531" t="s">
        <v>151</v>
      </c>
      <c r="V1531" t="s">
        <v>75</v>
      </c>
      <c r="W1531" s="58">
        <v>43321</v>
      </c>
      <c r="X1531" s="59">
        <v>0.8125</v>
      </c>
      <c r="Y1531" s="59">
        <v>0.85416666666666663</v>
      </c>
      <c r="Z1531" s="59">
        <v>4.1666666666666664E-2</v>
      </c>
      <c r="AA1531">
        <v>0</v>
      </c>
      <c r="AC1531">
        <v>20</v>
      </c>
      <c r="AD1531">
        <v>8.75</v>
      </c>
      <c r="AE1531" s="59">
        <v>0.8125</v>
      </c>
      <c r="AF1531" s="59">
        <v>0.8534722222222223</v>
      </c>
      <c r="AG1531">
        <v>8</v>
      </c>
    </row>
    <row r="1532" spans="1:33" x14ac:dyDescent="0.25">
      <c r="A1532" t="s">
        <v>258</v>
      </c>
      <c r="B1532" t="s">
        <v>310</v>
      </c>
      <c r="C1532" t="s">
        <v>311</v>
      </c>
      <c r="D1532" t="s">
        <v>312</v>
      </c>
      <c r="E1532" t="s">
        <v>313</v>
      </c>
      <c r="F1532" t="s">
        <v>134</v>
      </c>
      <c r="H1532" t="s">
        <v>175</v>
      </c>
      <c r="I1532" t="s">
        <v>127</v>
      </c>
      <c r="J1532" t="s">
        <v>426</v>
      </c>
      <c r="K1532" t="s">
        <v>432</v>
      </c>
      <c r="L1532" t="s">
        <v>433</v>
      </c>
      <c r="N1532" t="s">
        <v>434</v>
      </c>
      <c r="O1532" t="s">
        <v>134</v>
      </c>
      <c r="Q1532" t="s">
        <v>240</v>
      </c>
      <c r="R1532" t="s">
        <v>176</v>
      </c>
      <c r="S1532" t="s">
        <v>128</v>
      </c>
      <c r="T1532" t="s">
        <v>137</v>
      </c>
      <c r="U1532" t="s">
        <v>151</v>
      </c>
      <c r="V1532" t="s">
        <v>75</v>
      </c>
      <c r="W1532" s="58">
        <v>43321</v>
      </c>
      <c r="X1532" s="59">
        <v>0.85416666666666663</v>
      </c>
      <c r="Y1532" s="59">
        <v>0.875</v>
      </c>
      <c r="Z1532" s="59">
        <v>2.0833333333333332E-2</v>
      </c>
      <c r="AA1532">
        <v>0</v>
      </c>
      <c r="AB1532">
        <v>5.3818000000000001</v>
      </c>
      <c r="AC1532">
        <v>10</v>
      </c>
      <c r="AD1532">
        <v>4.375</v>
      </c>
      <c r="AE1532" s="59">
        <v>0.85416666666666663</v>
      </c>
      <c r="AF1532" s="59">
        <v>0.87430555555555556</v>
      </c>
      <c r="AG1532">
        <v>8</v>
      </c>
    </row>
    <row r="1533" spans="1:33" x14ac:dyDescent="0.25">
      <c r="A1533" t="s">
        <v>274</v>
      </c>
      <c r="B1533" t="s">
        <v>321</v>
      </c>
      <c r="C1533" t="s">
        <v>322</v>
      </c>
      <c r="D1533" t="s">
        <v>323</v>
      </c>
      <c r="E1533" t="s">
        <v>324</v>
      </c>
      <c r="F1533" t="s">
        <v>134</v>
      </c>
      <c r="H1533" t="s">
        <v>184</v>
      </c>
      <c r="I1533" t="s">
        <v>147</v>
      </c>
      <c r="J1533" t="s">
        <v>426</v>
      </c>
      <c r="K1533" t="s">
        <v>432</v>
      </c>
      <c r="L1533" t="s">
        <v>433</v>
      </c>
      <c r="N1533" t="s">
        <v>434</v>
      </c>
      <c r="O1533" t="s">
        <v>134</v>
      </c>
      <c r="Q1533" t="s">
        <v>240</v>
      </c>
      <c r="R1533" t="s">
        <v>185</v>
      </c>
      <c r="S1533" t="s">
        <v>128</v>
      </c>
      <c r="T1533" t="s">
        <v>137</v>
      </c>
      <c r="U1533" t="s">
        <v>151</v>
      </c>
      <c r="V1533" t="s">
        <v>72</v>
      </c>
      <c r="W1533" s="58">
        <v>43325</v>
      </c>
      <c r="X1533" s="59">
        <v>0.8125</v>
      </c>
      <c r="Y1533" s="59">
        <v>0.84375</v>
      </c>
      <c r="Z1533" s="59">
        <v>3.125E-2</v>
      </c>
      <c r="AA1533">
        <v>0</v>
      </c>
      <c r="AC1533">
        <v>15</v>
      </c>
      <c r="AD1533">
        <v>6.5625</v>
      </c>
      <c r="AE1533" s="59">
        <v>0.8125</v>
      </c>
      <c r="AF1533" s="59">
        <v>0.84305555555555556</v>
      </c>
      <c r="AG1533">
        <v>8</v>
      </c>
    </row>
    <row r="1534" spans="1:33" x14ac:dyDescent="0.25">
      <c r="A1534" t="s">
        <v>258</v>
      </c>
      <c r="B1534" t="s">
        <v>342</v>
      </c>
      <c r="C1534" t="s">
        <v>343</v>
      </c>
      <c r="E1534" t="s">
        <v>344</v>
      </c>
      <c r="F1534" t="s">
        <v>134</v>
      </c>
      <c r="H1534" t="s">
        <v>197</v>
      </c>
      <c r="I1534" t="s">
        <v>198</v>
      </c>
      <c r="J1534" t="s">
        <v>426</v>
      </c>
      <c r="K1534" t="s">
        <v>432</v>
      </c>
      <c r="L1534" t="s">
        <v>433</v>
      </c>
      <c r="N1534" t="s">
        <v>434</v>
      </c>
      <c r="O1534" t="s">
        <v>134</v>
      </c>
      <c r="Q1534" t="s">
        <v>240</v>
      </c>
      <c r="R1534" t="s">
        <v>199</v>
      </c>
      <c r="S1534" t="s">
        <v>128</v>
      </c>
      <c r="T1534" t="s">
        <v>137</v>
      </c>
      <c r="U1534" t="s">
        <v>151</v>
      </c>
      <c r="V1534" t="s">
        <v>75</v>
      </c>
      <c r="W1534" s="58">
        <v>43328</v>
      </c>
      <c r="X1534" s="59">
        <v>0.8125</v>
      </c>
      <c r="Y1534" s="59">
        <v>0.85416666666666663</v>
      </c>
      <c r="Z1534" s="59">
        <v>4.1666666666666664E-2</v>
      </c>
      <c r="AA1534">
        <v>0</v>
      </c>
      <c r="AC1534">
        <v>20</v>
      </c>
      <c r="AD1534">
        <v>8.75</v>
      </c>
      <c r="AE1534" s="59">
        <v>0.8125</v>
      </c>
      <c r="AF1534" s="59">
        <v>0.8534722222222223</v>
      </c>
      <c r="AG1534">
        <v>8</v>
      </c>
    </row>
    <row r="1535" spans="1:33" x14ac:dyDescent="0.25">
      <c r="A1535" t="s">
        <v>258</v>
      </c>
      <c r="B1535" t="s">
        <v>310</v>
      </c>
      <c r="C1535" t="s">
        <v>311</v>
      </c>
      <c r="D1535" t="s">
        <v>312</v>
      </c>
      <c r="E1535" t="s">
        <v>313</v>
      </c>
      <c r="F1535" t="s">
        <v>134</v>
      </c>
      <c r="H1535" t="s">
        <v>175</v>
      </c>
      <c r="I1535" t="s">
        <v>127</v>
      </c>
      <c r="J1535" t="s">
        <v>426</v>
      </c>
      <c r="K1535" t="s">
        <v>432</v>
      </c>
      <c r="L1535" t="s">
        <v>433</v>
      </c>
      <c r="N1535" t="s">
        <v>434</v>
      </c>
      <c r="O1535" t="s">
        <v>134</v>
      </c>
      <c r="Q1535" t="s">
        <v>240</v>
      </c>
      <c r="R1535" t="s">
        <v>176</v>
      </c>
      <c r="S1535" t="s">
        <v>128</v>
      </c>
      <c r="T1535" t="s">
        <v>137</v>
      </c>
      <c r="U1535" t="s">
        <v>151</v>
      </c>
      <c r="V1535" t="s">
        <v>75</v>
      </c>
      <c r="W1535" s="58">
        <v>43328</v>
      </c>
      <c r="X1535" s="59">
        <v>0.86458333333333337</v>
      </c>
      <c r="Y1535" s="59">
        <v>0.88541666666666663</v>
      </c>
      <c r="Z1535" s="59">
        <v>2.0833333333333332E-2</v>
      </c>
      <c r="AA1535">
        <v>0</v>
      </c>
      <c r="AB1535">
        <v>5.3818000000000001</v>
      </c>
      <c r="AC1535">
        <v>10</v>
      </c>
      <c r="AD1535">
        <v>4.375</v>
      </c>
      <c r="AE1535" s="59">
        <v>0.86458333333333337</v>
      </c>
      <c r="AF1535" s="59">
        <v>0.8847222222222223</v>
      </c>
      <c r="AG1535">
        <v>8</v>
      </c>
    </row>
    <row r="1536" spans="1:33" x14ac:dyDescent="0.25">
      <c r="A1536" t="s">
        <v>258</v>
      </c>
      <c r="B1536" t="s">
        <v>281</v>
      </c>
      <c r="C1536" t="s">
        <v>282</v>
      </c>
      <c r="E1536" t="s">
        <v>283</v>
      </c>
      <c r="F1536" t="s">
        <v>134</v>
      </c>
      <c r="G1536" t="s">
        <v>218</v>
      </c>
      <c r="H1536" t="s">
        <v>146</v>
      </c>
      <c r="I1536" t="s">
        <v>147</v>
      </c>
      <c r="J1536" t="s">
        <v>426</v>
      </c>
      <c r="K1536" t="s">
        <v>432</v>
      </c>
      <c r="L1536" t="s">
        <v>433</v>
      </c>
      <c r="N1536" t="s">
        <v>434</v>
      </c>
      <c r="O1536" t="s">
        <v>134</v>
      </c>
      <c r="Q1536" t="s">
        <v>240</v>
      </c>
      <c r="R1536" t="s">
        <v>148</v>
      </c>
      <c r="S1536" t="s">
        <v>128</v>
      </c>
      <c r="T1536" t="s">
        <v>137</v>
      </c>
      <c r="U1536" t="s">
        <v>129</v>
      </c>
      <c r="V1536" t="s">
        <v>76</v>
      </c>
      <c r="W1536" s="58">
        <v>43329</v>
      </c>
      <c r="X1536" s="59">
        <v>0.75</v>
      </c>
      <c r="Y1536" s="59">
        <v>0.79166666666666663</v>
      </c>
      <c r="Z1536" s="59">
        <v>4.1666666666666664E-2</v>
      </c>
      <c r="AA1536">
        <v>0</v>
      </c>
      <c r="AC1536">
        <v>23</v>
      </c>
      <c r="AD1536">
        <v>8.75</v>
      </c>
      <c r="AE1536" s="59">
        <v>0.75</v>
      </c>
      <c r="AF1536" s="59">
        <v>0.7909722222222223</v>
      </c>
      <c r="AG1536">
        <v>8</v>
      </c>
    </row>
    <row r="1537" spans="1:33" x14ac:dyDescent="0.25">
      <c r="A1537" t="s">
        <v>258</v>
      </c>
      <c r="B1537" t="s">
        <v>342</v>
      </c>
      <c r="C1537" t="s">
        <v>343</v>
      </c>
      <c r="E1537" t="s">
        <v>344</v>
      </c>
      <c r="F1537" t="s">
        <v>134</v>
      </c>
      <c r="H1537" t="s">
        <v>197</v>
      </c>
      <c r="I1537" t="s">
        <v>198</v>
      </c>
      <c r="J1537" t="s">
        <v>426</v>
      </c>
      <c r="K1537" t="s">
        <v>432</v>
      </c>
      <c r="L1537" t="s">
        <v>433</v>
      </c>
      <c r="N1537" t="s">
        <v>434</v>
      </c>
      <c r="O1537" t="s">
        <v>134</v>
      </c>
      <c r="Q1537" t="s">
        <v>240</v>
      </c>
      <c r="R1537" t="s">
        <v>199</v>
      </c>
      <c r="S1537" t="s">
        <v>128</v>
      </c>
      <c r="T1537" t="s">
        <v>137</v>
      </c>
      <c r="U1537" t="s">
        <v>151</v>
      </c>
      <c r="V1537" t="s">
        <v>76</v>
      </c>
      <c r="W1537" s="58">
        <v>43329</v>
      </c>
      <c r="X1537" s="59">
        <v>0.80555555555555547</v>
      </c>
      <c r="Y1537" s="59">
        <v>0.84722222222222221</v>
      </c>
      <c r="Z1537" s="59">
        <v>4.1666666666666664E-2</v>
      </c>
      <c r="AA1537">
        <v>0</v>
      </c>
      <c r="AB1537">
        <v>5.7431999999999999</v>
      </c>
      <c r="AC1537">
        <v>20</v>
      </c>
      <c r="AD1537">
        <v>8.75</v>
      </c>
      <c r="AE1537" s="59">
        <v>0.80555555555555547</v>
      </c>
      <c r="AF1537" s="59">
        <v>0.84652777777777777</v>
      </c>
      <c r="AG1537">
        <v>8</v>
      </c>
    </row>
    <row r="1538" spans="1:33" x14ac:dyDescent="0.25">
      <c r="A1538" t="s">
        <v>274</v>
      </c>
      <c r="B1538" t="s">
        <v>321</v>
      </c>
      <c r="C1538" t="s">
        <v>322</v>
      </c>
      <c r="D1538" t="s">
        <v>323</v>
      </c>
      <c r="E1538" t="s">
        <v>324</v>
      </c>
      <c r="F1538" t="s">
        <v>134</v>
      </c>
      <c r="H1538" t="s">
        <v>184</v>
      </c>
      <c r="I1538" t="s">
        <v>147</v>
      </c>
      <c r="J1538" t="s">
        <v>426</v>
      </c>
      <c r="K1538" t="s">
        <v>432</v>
      </c>
      <c r="L1538" t="s">
        <v>433</v>
      </c>
      <c r="N1538" t="s">
        <v>434</v>
      </c>
      <c r="O1538" t="s">
        <v>134</v>
      </c>
      <c r="Q1538" t="s">
        <v>240</v>
      </c>
      <c r="R1538" t="s">
        <v>185</v>
      </c>
      <c r="S1538" t="s">
        <v>128</v>
      </c>
      <c r="T1538" t="s">
        <v>137</v>
      </c>
      <c r="U1538" t="s">
        <v>151</v>
      </c>
      <c r="V1538" t="s">
        <v>76</v>
      </c>
      <c r="W1538" s="58">
        <v>43329</v>
      </c>
      <c r="X1538" s="59">
        <v>0.85416666666666663</v>
      </c>
      <c r="Y1538" s="59">
        <v>0.88541666666666663</v>
      </c>
      <c r="Z1538" s="59">
        <v>3.125E-2</v>
      </c>
      <c r="AA1538">
        <v>0</v>
      </c>
      <c r="AB1538">
        <v>7.7363999999999997</v>
      </c>
      <c r="AC1538">
        <v>15</v>
      </c>
      <c r="AD1538">
        <v>6.5625</v>
      </c>
      <c r="AE1538" s="59">
        <v>0.85416666666666663</v>
      </c>
      <c r="AF1538" s="59">
        <v>0.8847222222222223</v>
      </c>
      <c r="AG1538">
        <v>8</v>
      </c>
    </row>
    <row r="1539" spans="1:33" x14ac:dyDescent="0.25">
      <c r="A1539" t="s">
        <v>258</v>
      </c>
      <c r="B1539" t="s">
        <v>310</v>
      </c>
      <c r="C1539" t="s">
        <v>311</v>
      </c>
      <c r="D1539" t="s">
        <v>312</v>
      </c>
      <c r="E1539" t="s">
        <v>313</v>
      </c>
      <c r="F1539" t="s">
        <v>134</v>
      </c>
      <c r="H1539" t="s">
        <v>175</v>
      </c>
      <c r="I1539" t="s">
        <v>127</v>
      </c>
      <c r="J1539" t="s">
        <v>426</v>
      </c>
      <c r="K1539" t="s">
        <v>432</v>
      </c>
      <c r="L1539" t="s">
        <v>433</v>
      </c>
      <c r="N1539" t="s">
        <v>434</v>
      </c>
      <c r="O1539" t="s">
        <v>134</v>
      </c>
      <c r="Q1539" t="s">
        <v>240</v>
      </c>
      <c r="R1539" t="s">
        <v>176</v>
      </c>
      <c r="S1539" t="s">
        <v>128</v>
      </c>
      <c r="T1539" t="s">
        <v>137</v>
      </c>
      <c r="U1539" t="s">
        <v>151</v>
      </c>
      <c r="V1539" t="s">
        <v>76</v>
      </c>
      <c r="W1539" s="58">
        <v>43329</v>
      </c>
      <c r="X1539" s="59">
        <v>0.88888888888888884</v>
      </c>
      <c r="Y1539" s="59">
        <v>0.90972222222222221</v>
      </c>
      <c r="Z1539" s="59">
        <v>2.0833333333333332E-2</v>
      </c>
      <c r="AA1539">
        <v>0</v>
      </c>
      <c r="AB1539">
        <v>4.8944000000000001</v>
      </c>
      <c r="AC1539">
        <v>10</v>
      </c>
      <c r="AD1539">
        <v>4.375</v>
      </c>
      <c r="AE1539" s="59">
        <v>0.88888888888888884</v>
      </c>
      <c r="AF1539" s="59">
        <v>0.90902777777777777</v>
      </c>
      <c r="AG1539">
        <v>8</v>
      </c>
    </row>
    <row r="1540" spans="1:33" x14ac:dyDescent="0.25">
      <c r="A1540" t="s">
        <v>266</v>
      </c>
      <c r="B1540" t="s">
        <v>348</v>
      </c>
      <c r="C1540" t="s">
        <v>349</v>
      </c>
      <c r="E1540" t="s">
        <v>350</v>
      </c>
      <c r="F1540" t="s">
        <v>134</v>
      </c>
      <c r="H1540" t="s">
        <v>202</v>
      </c>
      <c r="I1540" t="s">
        <v>139</v>
      </c>
      <c r="J1540" t="s">
        <v>426</v>
      </c>
      <c r="K1540" t="s">
        <v>432</v>
      </c>
      <c r="L1540" t="s">
        <v>433</v>
      </c>
      <c r="N1540" t="s">
        <v>434</v>
      </c>
      <c r="O1540" t="s">
        <v>134</v>
      </c>
      <c r="Q1540" t="s">
        <v>240</v>
      </c>
      <c r="R1540" t="s">
        <v>203</v>
      </c>
      <c r="S1540" t="s">
        <v>128</v>
      </c>
      <c r="T1540" t="s">
        <v>137</v>
      </c>
      <c r="U1540" t="s">
        <v>151</v>
      </c>
      <c r="V1540" t="s">
        <v>71</v>
      </c>
      <c r="W1540" s="58">
        <v>43331</v>
      </c>
      <c r="X1540" s="59">
        <v>0.32291666666666669</v>
      </c>
      <c r="Y1540" s="59">
        <v>0.36458333333333331</v>
      </c>
      <c r="Z1540" s="59">
        <v>4.1666666666666664E-2</v>
      </c>
      <c r="AA1540">
        <v>0</v>
      </c>
      <c r="AC1540">
        <v>20</v>
      </c>
      <c r="AD1540">
        <v>9.75</v>
      </c>
      <c r="AE1540" s="59">
        <v>0.32291666666666669</v>
      </c>
      <c r="AF1540" s="59">
        <v>0.36388888888888887</v>
      </c>
      <c r="AG1540">
        <v>8</v>
      </c>
    </row>
    <row r="1541" spans="1:33" x14ac:dyDescent="0.25">
      <c r="A1541" t="s">
        <v>258</v>
      </c>
      <c r="B1541" t="s">
        <v>310</v>
      </c>
      <c r="C1541" t="s">
        <v>311</v>
      </c>
      <c r="D1541" t="s">
        <v>312</v>
      </c>
      <c r="E1541" t="s">
        <v>313</v>
      </c>
      <c r="F1541" t="s">
        <v>134</v>
      </c>
      <c r="H1541" t="s">
        <v>175</v>
      </c>
      <c r="I1541" t="s">
        <v>127</v>
      </c>
      <c r="J1541" t="s">
        <v>426</v>
      </c>
      <c r="K1541" t="s">
        <v>432</v>
      </c>
      <c r="L1541" t="s">
        <v>433</v>
      </c>
      <c r="N1541" t="s">
        <v>434</v>
      </c>
      <c r="O1541" t="s">
        <v>134</v>
      </c>
      <c r="Q1541" t="s">
        <v>240</v>
      </c>
      <c r="R1541" t="s">
        <v>176</v>
      </c>
      <c r="S1541" t="s">
        <v>128</v>
      </c>
      <c r="T1541" t="s">
        <v>137</v>
      </c>
      <c r="U1541" t="s">
        <v>151</v>
      </c>
      <c r="V1541" t="s">
        <v>71</v>
      </c>
      <c r="W1541" s="58">
        <v>43331</v>
      </c>
      <c r="X1541" s="59">
        <v>0.38263888888888892</v>
      </c>
      <c r="Y1541" s="59">
        <v>0.42430555555555555</v>
      </c>
      <c r="Z1541" s="59">
        <v>4.1666666666666664E-2</v>
      </c>
      <c r="AA1541">
        <v>0</v>
      </c>
      <c r="AB1541">
        <v>7.3352000000000004</v>
      </c>
      <c r="AC1541">
        <v>20</v>
      </c>
      <c r="AD1541">
        <v>9.75</v>
      </c>
      <c r="AE1541" s="59">
        <v>0.38263888888888892</v>
      </c>
      <c r="AF1541" s="59">
        <v>0.4236111111111111</v>
      </c>
      <c r="AG1541">
        <v>8</v>
      </c>
    </row>
    <row r="1542" spans="1:33" x14ac:dyDescent="0.25">
      <c r="A1542" t="s">
        <v>258</v>
      </c>
      <c r="B1542" t="s">
        <v>314</v>
      </c>
      <c r="C1542" t="s">
        <v>315</v>
      </c>
      <c r="D1542">
        <v>72</v>
      </c>
      <c r="E1542" t="s">
        <v>316</v>
      </c>
      <c r="F1542" t="s">
        <v>317</v>
      </c>
      <c r="G1542" t="s">
        <v>218</v>
      </c>
      <c r="H1542" t="s">
        <v>168</v>
      </c>
      <c r="I1542" t="s">
        <v>169</v>
      </c>
      <c r="J1542" t="s">
        <v>426</v>
      </c>
      <c r="K1542" t="s">
        <v>432</v>
      </c>
      <c r="L1542" t="s">
        <v>433</v>
      </c>
      <c r="N1542" t="s">
        <v>434</v>
      </c>
      <c r="O1542" t="s">
        <v>134</v>
      </c>
      <c r="Q1542" t="s">
        <v>240</v>
      </c>
      <c r="R1542" t="s">
        <v>170</v>
      </c>
      <c r="S1542" t="s">
        <v>128</v>
      </c>
      <c r="T1542" t="s">
        <v>137</v>
      </c>
      <c r="U1542" t="s">
        <v>129</v>
      </c>
      <c r="V1542" t="s">
        <v>71</v>
      </c>
      <c r="W1542" s="58">
        <v>43331</v>
      </c>
      <c r="X1542" s="59">
        <v>0.69791666666666663</v>
      </c>
      <c r="Y1542" s="59">
        <v>0.73958333333333337</v>
      </c>
      <c r="Z1542" s="59">
        <v>4.1666666666666664E-2</v>
      </c>
      <c r="AA1542">
        <v>0</v>
      </c>
      <c r="AC1542">
        <v>23</v>
      </c>
      <c r="AD1542">
        <v>9.75</v>
      </c>
      <c r="AE1542" s="59">
        <v>0.69791666666666663</v>
      </c>
      <c r="AF1542" s="59">
        <v>0.73888888888888893</v>
      </c>
      <c r="AG1542">
        <v>8</v>
      </c>
    </row>
    <row r="1543" spans="1:33" x14ac:dyDescent="0.25">
      <c r="A1543" t="s">
        <v>258</v>
      </c>
      <c r="B1543" t="s">
        <v>281</v>
      </c>
      <c r="C1543" t="s">
        <v>282</v>
      </c>
      <c r="E1543" t="s">
        <v>283</v>
      </c>
      <c r="F1543" t="s">
        <v>134</v>
      </c>
      <c r="G1543" t="s">
        <v>218</v>
      </c>
      <c r="H1543" t="s">
        <v>146</v>
      </c>
      <c r="I1543" t="s">
        <v>147</v>
      </c>
      <c r="J1543" t="s">
        <v>426</v>
      </c>
      <c r="K1543" t="s">
        <v>432</v>
      </c>
      <c r="L1543" t="s">
        <v>433</v>
      </c>
      <c r="N1543" t="s">
        <v>434</v>
      </c>
      <c r="O1543" t="s">
        <v>134</v>
      </c>
      <c r="Q1543" t="s">
        <v>240</v>
      </c>
      <c r="R1543" t="s">
        <v>148</v>
      </c>
      <c r="S1543" t="s">
        <v>128</v>
      </c>
      <c r="T1543" t="s">
        <v>137</v>
      </c>
      <c r="U1543" t="s">
        <v>129</v>
      </c>
      <c r="V1543" t="s">
        <v>71</v>
      </c>
      <c r="W1543" s="58">
        <v>43331</v>
      </c>
      <c r="X1543" s="59">
        <v>0.75</v>
      </c>
      <c r="Y1543" s="59">
        <v>0.79166666666666663</v>
      </c>
      <c r="Z1543" s="59">
        <v>4.1666666666666664E-2</v>
      </c>
      <c r="AA1543">
        <v>0</v>
      </c>
      <c r="AB1543">
        <v>3.6886000000000001</v>
      </c>
      <c r="AD1543">
        <v>9.75</v>
      </c>
      <c r="AE1543" s="59">
        <v>0.75</v>
      </c>
      <c r="AF1543" s="59">
        <v>0.7909722222222223</v>
      </c>
      <c r="AG1543">
        <v>8</v>
      </c>
    </row>
    <row r="1544" spans="1:33" x14ac:dyDescent="0.25">
      <c r="A1544" t="s">
        <v>258</v>
      </c>
      <c r="B1544" t="s">
        <v>342</v>
      </c>
      <c r="C1544" t="s">
        <v>343</v>
      </c>
      <c r="E1544" t="s">
        <v>344</v>
      </c>
      <c r="F1544" t="s">
        <v>134</v>
      </c>
      <c r="H1544" t="s">
        <v>197</v>
      </c>
      <c r="I1544" t="s">
        <v>198</v>
      </c>
      <c r="J1544" t="s">
        <v>426</v>
      </c>
      <c r="K1544" t="s">
        <v>432</v>
      </c>
      <c r="L1544" t="s">
        <v>433</v>
      </c>
      <c r="N1544" t="s">
        <v>434</v>
      </c>
      <c r="O1544" t="s">
        <v>134</v>
      </c>
      <c r="Q1544" t="s">
        <v>240</v>
      </c>
      <c r="R1544" t="s">
        <v>199</v>
      </c>
      <c r="S1544" t="s">
        <v>128</v>
      </c>
      <c r="T1544" t="s">
        <v>137</v>
      </c>
      <c r="U1544" t="s">
        <v>151</v>
      </c>
      <c r="V1544" t="s">
        <v>71</v>
      </c>
      <c r="W1544" s="58">
        <v>43331</v>
      </c>
      <c r="X1544" s="59">
        <v>0.80555555555555547</v>
      </c>
      <c r="Y1544" s="59">
        <v>0.84722222222222221</v>
      </c>
      <c r="Z1544" s="59">
        <v>4.1666666666666664E-2</v>
      </c>
      <c r="AA1544">
        <v>0</v>
      </c>
      <c r="AB1544">
        <v>5.7431999999999999</v>
      </c>
      <c r="AC1544">
        <v>20</v>
      </c>
      <c r="AD1544">
        <v>9.75</v>
      </c>
      <c r="AE1544" s="59">
        <v>0.80555555555555547</v>
      </c>
      <c r="AF1544" s="59">
        <v>0.84652777777777777</v>
      </c>
      <c r="AG1544">
        <v>8</v>
      </c>
    </row>
    <row r="1545" spans="1:33" x14ac:dyDescent="0.25">
      <c r="A1545" t="s">
        <v>274</v>
      </c>
      <c r="B1545" t="s">
        <v>321</v>
      </c>
      <c r="C1545" t="s">
        <v>322</v>
      </c>
      <c r="D1545" t="s">
        <v>323</v>
      </c>
      <c r="E1545" t="s">
        <v>324</v>
      </c>
      <c r="F1545" t="s">
        <v>134</v>
      </c>
      <c r="H1545" t="s">
        <v>184</v>
      </c>
      <c r="I1545" t="s">
        <v>147</v>
      </c>
      <c r="J1545" t="s">
        <v>426</v>
      </c>
      <c r="K1545" t="s">
        <v>432</v>
      </c>
      <c r="L1545" t="s">
        <v>433</v>
      </c>
      <c r="N1545" t="s">
        <v>434</v>
      </c>
      <c r="O1545" t="s">
        <v>134</v>
      </c>
      <c r="Q1545" t="s">
        <v>240</v>
      </c>
      <c r="R1545" t="s">
        <v>185</v>
      </c>
      <c r="S1545" t="s">
        <v>128</v>
      </c>
      <c r="T1545" t="s">
        <v>137</v>
      </c>
      <c r="U1545" t="s">
        <v>151</v>
      </c>
      <c r="V1545" t="s">
        <v>71</v>
      </c>
      <c r="W1545" s="58">
        <v>43331</v>
      </c>
      <c r="X1545" s="59">
        <v>0.85416666666666663</v>
      </c>
      <c r="Y1545" s="59">
        <v>0.88541666666666663</v>
      </c>
      <c r="Z1545" s="59">
        <v>3.125E-2</v>
      </c>
      <c r="AA1545">
        <v>0</v>
      </c>
      <c r="AB1545">
        <v>7.7363999999999997</v>
      </c>
      <c r="AC1545">
        <v>15</v>
      </c>
      <c r="AD1545">
        <v>7.3125</v>
      </c>
      <c r="AE1545" s="59">
        <v>0.85416666666666663</v>
      </c>
      <c r="AF1545" s="59">
        <v>0.8847222222222223</v>
      </c>
      <c r="AG1545">
        <v>8</v>
      </c>
    </row>
    <row r="1546" spans="1:33" x14ac:dyDescent="0.25">
      <c r="A1546" t="s">
        <v>258</v>
      </c>
      <c r="B1546" t="s">
        <v>310</v>
      </c>
      <c r="C1546" t="s">
        <v>311</v>
      </c>
      <c r="D1546" t="s">
        <v>312</v>
      </c>
      <c r="E1546" t="s">
        <v>313</v>
      </c>
      <c r="F1546" t="s">
        <v>134</v>
      </c>
      <c r="H1546" t="s">
        <v>175</v>
      </c>
      <c r="I1546" t="s">
        <v>127</v>
      </c>
      <c r="J1546" t="s">
        <v>426</v>
      </c>
      <c r="K1546" t="s">
        <v>432</v>
      </c>
      <c r="L1546" t="s">
        <v>433</v>
      </c>
      <c r="N1546" t="s">
        <v>434</v>
      </c>
      <c r="O1546" t="s">
        <v>134</v>
      </c>
      <c r="Q1546" t="s">
        <v>240</v>
      </c>
      <c r="R1546" t="s">
        <v>176</v>
      </c>
      <c r="S1546" t="s">
        <v>128</v>
      </c>
      <c r="T1546" t="s">
        <v>137</v>
      </c>
      <c r="U1546" t="s">
        <v>151</v>
      </c>
      <c r="V1546" t="s">
        <v>71</v>
      </c>
      <c r="W1546" s="58">
        <v>43331</v>
      </c>
      <c r="X1546" s="59">
        <v>0.88888888888888884</v>
      </c>
      <c r="Y1546" s="59">
        <v>0.90972222222222221</v>
      </c>
      <c r="Z1546" s="59">
        <v>2.0833333333333332E-2</v>
      </c>
      <c r="AA1546">
        <v>0</v>
      </c>
      <c r="AB1546">
        <v>4.8944000000000001</v>
      </c>
      <c r="AC1546">
        <v>10</v>
      </c>
      <c r="AD1546">
        <v>4.875</v>
      </c>
      <c r="AE1546" s="59">
        <v>0.88888888888888884</v>
      </c>
      <c r="AF1546" s="59">
        <v>0.90208333333333324</v>
      </c>
      <c r="AG1546">
        <v>8</v>
      </c>
    </row>
    <row r="1547" spans="1:33" x14ac:dyDescent="0.25">
      <c r="A1547" t="s">
        <v>274</v>
      </c>
      <c r="B1547" t="s">
        <v>321</v>
      </c>
      <c r="C1547" t="s">
        <v>322</v>
      </c>
      <c r="D1547" t="s">
        <v>323</v>
      </c>
      <c r="E1547" t="s">
        <v>324</v>
      </c>
      <c r="F1547" t="s">
        <v>134</v>
      </c>
      <c r="H1547" t="s">
        <v>184</v>
      </c>
      <c r="I1547" t="s">
        <v>147</v>
      </c>
      <c r="J1547" t="s">
        <v>426</v>
      </c>
      <c r="K1547" t="s">
        <v>432</v>
      </c>
      <c r="L1547" t="s">
        <v>433</v>
      </c>
      <c r="N1547" t="s">
        <v>434</v>
      </c>
      <c r="O1547" t="s">
        <v>134</v>
      </c>
      <c r="Q1547" t="s">
        <v>240</v>
      </c>
      <c r="R1547" t="s">
        <v>185</v>
      </c>
      <c r="S1547" t="s">
        <v>128</v>
      </c>
      <c r="T1547" t="s">
        <v>137</v>
      </c>
      <c r="U1547" t="s">
        <v>151</v>
      </c>
      <c r="V1547" t="s">
        <v>72</v>
      </c>
      <c r="W1547" s="58">
        <v>43332</v>
      </c>
      <c r="X1547" s="59">
        <v>0.83333333333333337</v>
      </c>
      <c r="Y1547" s="59">
        <v>0.86458333333333337</v>
      </c>
      <c r="Z1547" s="59">
        <v>3.125E-2</v>
      </c>
      <c r="AA1547">
        <v>0</v>
      </c>
      <c r="AC1547">
        <v>15</v>
      </c>
      <c r="AD1547">
        <v>6.5625</v>
      </c>
      <c r="AE1547" s="59">
        <v>0.83333333333333337</v>
      </c>
      <c r="AF1547" s="59">
        <v>0.86388888888888893</v>
      </c>
      <c r="AG1547">
        <v>8</v>
      </c>
    </row>
    <row r="1548" spans="1:33" x14ac:dyDescent="0.25">
      <c r="A1548" t="s">
        <v>258</v>
      </c>
      <c r="B1548" t="s">
        <v>310</v>
      </c>
      <c r="C1548" t="s">
        <v>311</v>
      </c>
      <c r="D1548" t="s">
        <v>312</v>
      </c>
      <c r="E1548" t="s">
        <v>313</v>
      </c>
      <c r="F1548" t="s">
        <v>134</v>
      </c>
      <c r="H1548" t="s">
        <v>175</v>
      </c>
      <c r="I1548" t="s">
        <v>127</v>
      </c>
      <c r="J1548" t="s">
        <v>426</v>
      </c>
      <c r="K1548" t="s">
        <v>432</v>
      </c>
      <c r="L1548" t="s">
        <v>433</v>
      </c>
      <c r="N1548" t="s">
        <v>434</v>
      </c>
      <c r="O1548" t="s">
        <v>134</v>
      </c>
      <c r="Q1548" t="s">
        <v>240</v>
      </c>
      <c r="R1548" t="s">
        <v>176</v>
      </c>
      <c r="S1548" t="s">
        <v>128</v>
      </c>
      <c r="T1548" t="s">
        <v>137</v>
      </c>
      <c r="U1548" t="s">
        <v>151</v>
      </c>
      <c r="V1548" t="s">
        <v>72</v>
      </c>
      <c r="W1548" s="58">
        <v>43332</v>
      </c>
      <c r="X1548" s="59">
        <v>0.86805555555555547</v>
      </c>
      <c r="Y1548" s="59">
        <v>0.88888888888888884</v>
      </c>
      <c r="Z1548" s="59">
        <v>2.0833333333333332E-2</v>
      </c>
      <c r="AA1548">
        <v>0</v>
      </c>
      <c r="AB1548">
        <v>4.8944000000000001</v>
      </c>
      <c r="AC1548">
        <v>10</v>
      </c>
      <c r="AD1548">
        <v>4.375</v>
      </c>
      <c r="AE1548" s="59">
        <v>0.86805555555555547</v>
      </c>
      <c r="AF1548" s="59">
        <v>0.8881944444444444</v>
      </c>
      <c r="AG1548">
        <v>8</v>
      </c>
    </row>
    <row r="1549" spans="1:33" x14ac:dyDescent="0.25">
      <c r="A1549" t="s">
        <v>274</v>
      </c>
      <c r="B1549" t="s">
        <v>321</v>
      </c>
      <c r="C1549" t="s">
        <v>322</v>
      </c>
      <c r="D1549" t="s">
        <v>323</v>
      </c>
      <c r="E1549" t="s">
        <v>324</v>
      </c>
      <c r="F1549" t="s">
        <v>134</v>
      </c>
      <c r="H1549" t="s">
        <v>184</v>
      </c>
      <c r="I1549" t="s">
        <v>147</v>
      </c>
      <c r="J1549" t="s">
        <v>426</v>
      </c>
      <c r="K1549" t="s">
        <v>432</v>
      </c>
      <c r="L1549" t="s">
        <v>433</v>
      </c>
      <c r="N1549" t="s">
        <v>434</v>
      </c>
      <c r="O1549" t="s">
        <v>134</v>
      </c>
      <c r="Q1549" t="s">
        <v>240</v>
      </c>
      <c r="R1549" t="s">
        <v>185</v>
      </c>
      <c r="S1549" t="s">
        <v>128</v>
      </c>
      <c r="T1549" t="s">
        <v>137</v>
      </c>
      <c r="U1549" t="s">
        <v>151</v>
      </c>
      <c r="V1549" t="s">
        <v>73</v>
      </c>
      <c r="W1549" s="58">
        <v>43333</v>
      </c>
      <c r="X1549" s="59">
        <v>0.83333333333333337</v>
      </c>
      <c r="Y1549" s="59">
        <v>0.86458333333333337</v>
      </c>
      <c r="Z1549" s="59">
        <v>3.125E-2</v>
      </c>
      <c r="AA1549">
        <v>0</v>
      </c>
      <c r="AC1549">
        <v>15</v>
      </c>
      <c r="AD1549">
        <v>6.5625</v>
      </c>
      <c r="AE1549" s="59">
        <v>0.83333333333333337</v>
      </c>
      <c r="AF1549" s="59">
        <v>0.86388888888888893</v>
      </c>
      <c r="AG1549">
        <v>8</v>
      </c>
    </row>
    <row r="1550" spans="1:33" x14ac:dyDescent="0.25">
      <c r="A1550" t="s">
        <v>258</v>
      </c>
      <c r="B1550" t="s">
        <v>310</v>
      </c>
      <c r="C1550" t="s">
        <v>311</v>
      </c>
      <c r="D1550" t="s">
        <v>312</v>
      </c>
      <c r="E1550" t="s">
        <v>313</v>
      </c>
      <c r="F1550" t="s">
        <v>134</v>
      </c>
      <c r="H1550" t="s">
        <v>175</v>
      </c>
      <c r="I1550" t="s">
        <v>127</v>
      </c>
      <c r="J1550" t="s">
        <v>426</v>
      </c>
      <c r="K1550" t="s">
        <v>432</v>
      </c>
      <c r="L1550" t="s">
        <v>433</v>
      </c>
      <c r="N1550" t="s">
        <v>434</v>
      </c>
      <c r="O1550" t="s">
        <v>134</v>
      </c>
      <c r="Q1550" t="s">
        <v>240</v>
      </c>
      <c r="R1550" t="s">
        <v>176</v>
      </c>
      <c r="S1550" t="s">
        <v>128</v>
      </c>
      <c r="T1550" t="s">
        <v>137</v>
      </c>
      <c r="U1550" t="s">
        <v>151</v>
      </c>
      <c r="V1550" t="s">
        <v>73</v>
      </c>
      <c r="W1550" s="58">
        <v>43333</v>
      </c>
      <c r="X1550" s="59">
        <v>0.875</v>
      </c>
      <c r="Y1550" s="59">
        <v>0.89583333333333337</v>
      </c>
      <c r="Z1550" s="59">
        <v>2.0833333333333332E-2</v>
      </c>
      <c r="AA1550">
        <v>0</v>
      </c>
      <c r="AB1550">
        <v>4.8944000000000001</v>
      </c>
      <c r="AC1550">
        <v>10</v>
      </c>
      <c r="AD1550">
        <v>4.375</v>
      </c>
      <c r="AE1550" s="59">
        <v>0.875</v>
      </c>
      <c r="AF1550" s="59">
        <v>0.89513888888888893</v>
      </c>
      <c r="AG1550">
        <v>8</v>
      </c>
    </row>
    <row r="1551" spans="1:33" x14ac:dyDescent="0.25">
      <c r="A1551" t="s">
        <v>258</v>
      </c>
      <c r="B1551" t="s">
        <v>314</v>
      </c>
      <c r="C1551" t="s">
        <v>315</v>
      </c>
      <c r="D1551">
        <v>72</v>
      </c>
      <c r="E1551" t="s">
        <v>316</v>
      </c>
      <c r="F1551" t="s">
        <v>317</v>
      </c>
      <c r="G1551" t="s">
        <v>218</v>
      </c>
      <c r="H1551" t="s">
        <v>168</v>
      </c>
      <c r="I1551" t="s">
        <v>169</v>
      </c>
      <c r="J1551" t="s">
        <v>426</v>
      </c>
      <c r="K1551" t="s">
        <v>432</v>
      </c>
      <c r="L1551" t="s">
        <v>433</v>
      </c>
      <c r="N1551" t="s">
        <v>434</v>
      </c>
      <c r="O1551" t="s">
        <v>134</v>
      </c>
      <c r="Q1551" t="s">
        <v>240</v>
      </c>
      <c r="R1551" t="s">
        <v>170</v>
      </c>
      <c r="S1551" t="s">
        <v>128</v>
      </c>
      <c r="T1551" t="s">
        <v>137</v>
      </c>
      <c r="U1551" t="s">
        <v>129</v>
      </c>
      <c r="V1551" t="s">
        <v>76</v>
      </c>
      <c r="W1551" s="58">
        <v>43336</v>
      </c>
      <c r="X1551" s="59">
        <v>0.69791666666666663</v>
      </c>
      <c r="Y1551" s="59">
        <v>0.73958333333333337</v>
      </c>
      <c r="Z1551" s="59">
        <v>4.1666666666666664E-2</v>
      </c>
      <c r="AA1551">
        <v>0</v>
      </c>
      <c r="AC1551">
        <v>23</v>
      </c>
      <c r="AD1551">
        <v>8.75</v>
      </c>
      <c r="AE1551" s="59">
        <v>0.69791666666666663</v>
      </c>
      <c r="AF1551" s="59">
        <v>0.73888888888888893</v>
      </c>
      <c r="AG1551">
        <v>8</v>
      </c>
    </row>
    <row r="1552" spans="1:33" x14ac:dyDescent="0.25">
      <c r="A1552" t="s">
        <v>258</v>
      </c>
      <c r="B1552" t="s">
        <v>281</v>
      </c>
      <c r="C1552" t="s">
        <v>282</v>
      </c>
      <c r="E1552" t="s">
        <v>283</v>
      </c>
      <c r="F1552" t="s">
        <v>134</v>
      </c>
      <c r="G1552" t="s">
        <v>218</v>
      </c>
      <c r="H1552" t="s">
        <v>146</v>
      </c>
      <c r="I1552" t="s">
        <v>147</v>
      </c>
      <c r="J1552" t="s">
        <v>426</v>
      </c>
      <c r="K1552" t="s">
        <v>432</v>
      </c>
      <c r="L1552" t="s">
        <v>433</v>
      </c>
      <c r="N1552" t="s">
        <v>434</v>
      </c>
      <c r="O1552" t="s">
        <v>134</v>
      </c>
      <c r="Q1552" t="s">
        <v>240</v>
      </c>
      <c r="R1552" t="s">
        <v>148</v>
      </c>
      <c r="S1552" t="s">
        <v>128</v>
      </c>
      <c r="T1552" t="s">
        <v>137</v>
      </c>
      <c r="U1552" t="s">
        <v>129</v>
      </c>
      <c r="V1552" t="s">
        <v>76</v>
      </c>
      <c r="W1552" s="58">
        <v>43336</v>
      </c>
      <c r="X1552" s="59">
        <v>0.75</v>
      </c>
      <c r="Y1552" s="59">
        <v>0.79166666666666663</v>
      </c>
      <c r="Z1552" s="59">
        <v>4.1666666666666664E-2</v>
      </c>
      <c r="AA1552">
        <v>0</v>
      </c>
      <c r="AB1552">
        <v>3.6886000000000001</v>
      </c>
      <c r="AC1552">
        <v>23</v>
      </c>
      <c r="AD1552">
        <v>8.75</v>
      </c>
      <c r="AE1552" s="59">
        <v>0.75</v>
      </c>
      <c r="AF1552" s="59">
        <v>0.7909722222222223</v>
      </c>
      <c r="AG1552">
        <v>8</v>
      </c>
    </row>
    <row r="1553" spans="1:33" x14ac:dyDescent="0.25">
      <c r="A1553" t="s">
        <v>258</v>
      </c>
      <c r="B1553" t="s">
        <v>342</v>
      </c>
      <c r="C1553" t="s">
        <v>343</v>
      </c>
      <c r="E1553" t="s">
        <v>344</v>
      </c>
      <c r="F1553" t="s">
        <v>134</v>
      </c>
      <c r="H1553" t="s">
        <v>197</v>
      </c>
      <c r="I1553" t="s">
        <v>198</v>
      </c>
      <c r="J1553" t="s">
        <v>426</v>
      </c>
      <c r="K1553" t="s">
        <v>432</v>
      </c>
      <c r="L1553" t="s">
        <v>433</v>
      </c>
      <c r="N1553" t="s">
        <v>434</v>
      </c>
      <c r="O1553" t="s">
        <v>134</v>
      </c>
      <c r="Q1553" t="s">
        <v>240</v>
      </c>
      <c r="R1553" t="s">
        <v>199</v>
      </c>
      <c r="S1553" t="s">
        <v>128</v>
      </c>
      <c r="T1553" t="s">
        <v>137</v>
      </c>
      <c r="U1553" t="s">
        <v>151</v>
      </c>
      <c r="V1553" t="s">
        <v>76</v>
      </c>
      <c r="W1553" s="58">
        <v>43336</v>
      </c>
      <c r="X1553" s="59">
        <v>0.80555555555555547</v>
      </c>
      <c r="Y1553" s="59">
        <v>0.84722222222222221</v>
      </c>
      <c r="Z1553" s="59">
        <v>4.1666666666666664E-2</v>
      </c>
      <c r="AA1553">
        <v>0</v>
      </c>
      <c r="AB1553">
        <v>5.7431999999999999</v>
      </c>
      <c r="AC1553">
        <v>20</v>
      </c>
      <c r="AD1553">
        <v>8.75</v>
      </c>
      <c r="AE1553" s="59">
        <v>0.80555555555555547</v>
      </c>
      <c r="AF1553" s="59">
        <v>0.84652777777777777</v>
      </c>
      <c r="AG1553">
        <v>8</v>
      </c>
    </row>
    <row r="1554" spans="1:33" x14ac:dyDescent="0.25">
      <c r="A1554" t="s">
        <v>274</v>
      </c>
      <c r="B1554" t="s">
        <v>321</v>
      </c>
      <c r="C1554" t="s">
        <v>322</v>
      </c>
      <c r="D1554" t="s">
        <v>323</v>
      </c>
      <c r="E1554" t="s">
        <v>324</v>
      </c>
      <c r="F1554" t="s">
        <v>134</v>
      </c>
      <c r="H1554" t="s">
        <v>184</v>
      </c>
      <c r="I1554" t="s">
        <v>147</v>
      </c>
      <c r="J1554" t="s">
        <v>426</v>
      </c>
      <c r="K1554" t="s">
        <v>432</v>
      </c>
      <c r="L1554" t="s">
        <v>433</v>
      </c>
      <c r="N1554" t="s">
        <v>434</v>
      </c>
      <c r="O1554" t="s">
        <v>134</v>
      </c>
      <c r="Q1554" t="s">
        <v>240</v>
      </c>
      <c r="R1554" t="s">
        <v>185</v>
      </c>
      <c r="S1554" t="s">
        <v>128</v>
      </c>
      <c r="T1554" t="s">
        <v>137</v>
      </c>
      <c r="U1554" t="s">
        <v>151</v>
      </c>
      <c r="V1554" t="s">
        <v>76</v>
      </c>
      <c r="W1554" s="58">
        <v>43336</v>
      </c>
      <c r="X1554" s="59">
        <v>0.85416666666666663</v>
      </c>
      <c r="Y1554" s="59">
        <v>0.88541666666666663</v>
      </c>
      <c r="Z1554" s="59">
        <v>3.125E-2</v>
      </c>
      <c r="AA1554">
        <v>0</v>
      </c>
      <c r="AB1554">
        <v>7.7363999999999997</v>
      </c>
      <c r="AC1554">
        <v>15</v>
      </c>
      <c r="AD1554">
        <v>6.5625</v>
      </c>
      <c r="AE1554" s="59">
        <v>0.85416666666666663</v>
      </c>
      <c r="AF1554" s="59">
        <v>0.8847222222222223</v>
      </c>
      <c r="AG1554">
        <v>8</v>
      </c>
    </row>
    <row r="1555" spans="1:33" x14ac:dyDescent="0.25">
      <c r="A1555" t="s">
        <v>258</v>
      </c>
      <c r="B1555" t="s">
        <v>310</v>
      </c>
      <c r="C1555" t="s">
        <v>311</v>
      </c>
      <c r="D1555" t="s">
        <v>312</v>
      </c>
      <c r="E1555" t="s">
        <v>313</v>
      </c>
      <c r="F1555" t="s">
        <v>134</v>
      </c>
      <c r="H1555" t="s">
        <v>175</v>
      </c>
      <c r="I1555" t="s">
        <v>127</v>
      </c>
      <c r="J1555" t="s">
        <v>426</v>
      </c>
      <c r="K1555" t="s">
        <v>432</v>
      </c>
      <c r="L1555" t="s">
        <v>433</v>
      </c>
      <c r="N1555" t="s">
        <v>434</v>
      </c>
      <c r="O1555" t="s">
        <v>134</v>
      </c>
      <c r="Q1555" t="s">
        <v>240</v>
      </c>
      <c r="R1555" t="s">
        <v>176</v>
      </c>
      <c r="S1555" t="s">
        <v>128</v>
      </c>
      <c r="T1555" t="s">
        <v>137</v>
      </c>
      <c r="U1555" t="s">
        <v>151</v>
      </c>
      <c r="V1555" t="s">
        <v>76</v>
      </c>
      <c r="W1555" s="58">
        <v>43336</v>
      </c>
      <c r="X1555" s="59">
        <v>0.88888888888888884</v>
      </c>
      <c r="Y1555" s="59">
        <v>0.93055555555555547</v>
      </c>
      <c r="Z1555" s="59">
        <v>4.1666666666666664E-2</v>
      </c>
      <c r="AA1555">
        <v>0</v>
      </c>
      <c r="AB1555">
        <v>4.8944000000000001</v>
      </c>
      <c r="AC1555">
        <v>20</v>
      </c>
      <c r="AD1555">
        <v>8.75</v>
      </c>
      <c r="AE1555" s="59">
        <v>0.88888888888888884</v>
      </c>
      <c r="AF1555" s="59">
        <v>0.92986111111111114</v>
      </c>
      <c r="AG1555">
        <v>8</v>
      </c>
    </row>
    <row r="1556" spans="1:33" x14ac:dyDescent="0.25">
      <c r="A1556" t="s">
        <v>258</v>
      </c>
      <c r="B1556" t="s">
        <v>342</v>
      </c>
      <c r="C1556" t="s">
        <v>343</v>
      </c>
      <c r="E1556" t="s">
        <v>344</v>
      </c>
      <c r="F1556" t="s">
        <v>134</v>
      </c>
      <c r="H1556" t="s">
        <v>197</v>
      </c>
      <c r="I1556" t="s">
        <v>198</v>
      </c>
      <c r="J1556" t="s">
        <v>426</v>
      </c>
      <c r="K1556" t="s">
        <v>432</v>
      </c>
      <c r="L1556" t="s">
        <v>433</v>
      </c>
      <c r="N1556" t="s">
        <v>434</v>
      </c>
      <c r="O1556" t="s">
        <v>134</v>
      </c>
      <c r="Q1556" t="s">
        <v>240</v>
      </c>
      <c r="R1556" t="s">
        <v>199</v>
      </c>
      <c r="S1556" t="s">
        <v>128</v>
      </c>
      <c r="T1556" t="s">
        <v>137</v>
      </c>
      <c r="U1556" t="s">
        <v>151</v>
      </c>
      <c r="V1556" t="s">
        <v>71</v>
      </c>
      <c r="W1556" s="58">
        <v>43338</v>
      </c>
      <c r="X1556" s="59">
        <v>0.33333333333333331</v>
      </c>
      <c r="Y1556" s="59">
        <v>0.375</v>
      </c>
      <c r="Z1556" s="59">
        <v>4.1666666666666664E-2</v>
      </c>
      <c r="AA1556">
        <v>0</v>
      </c>
      <c r="AC1556">
        <v>20</v>
      </c>
      <c r="AD1556">
        <v>9.75</v>
      </c>
      <c r="AE1556" s="59">
        <v>0.33333333333333331</v>
      </c>
      <c r="AF1556" s="59">
        <v>0.3743055555555555</v>
      </c>
      <c r="AG1556">
        <v>8</v>
      </c>
    </row>
    <row r="1557" spans="1:33" x14ac:dyDescent="0.25">
      <c r="A1557" t="s">
        <v>258</v>
      </c>
      <c r="B1557" t="s">
        <v>310</v>
      </c>
      <c r="C1557" t="s">
        <v>311</v>
      </c>
      <c r="D1557" t="s">
        <v>312</v>
      </c>
      <c r="E1557" t="s">
        <v>313</v>
      </c>
      <c r="F1557" t="s">
        <v>134</v>
      </c>
      <c r="H1557" t="s">
        <v>175</v>
      </c>
      <c r="I1557" t="s">
        <v>127</v>
      </c>
      <c r="J1557" t="s">
        <v>426</v>
      </c>
      <c r="K1557" t="s">
        <v>432</v>
      </c>
      <c r="L1557" t="s">
        <v>433</v>
      </c>
      <c r="N1557" t="s">
        <v>434</v>
      </c>
      <c r="O1557" t="s">
        <v>134</v>
      </c>
      <c r="Q1557" t="s">
        <v>240</v>
      </c>
      <c r="R1557" t="s">
        <v>176</v>
      </c>
      <c r="S1557" t="s">
        <v>128</v>
      </c>
      <c r="T1557" t="s">
        <v>137</v>
      </c>
      <c r="U1557" t="s">
        <v>151</v>
      </c>
      <c r="V1557" t="s">
        <v>71</v>
      </c>
      <c r="W1557" s="58">
        <v>43338</v>
      </c>
      <c r="X1557" s="59">
        <v>0.38541666666666669</v>
      </c>
      <c r="Y1557" s="59">
        <v>0.42708333333333331</v>
      </c>
      <c r="Z1557" s="59">
        <v>4.1666666666666664E-2</v>
      </c>
      <c r="AA1557">
        <v>0</v>
      </c>
      <c r="AB1557">
        <v>5.3818000000000001</v>
      </c>
      <c r="AC1557">
        <v>20</v>
      </c>
      <c r="AD1557">
        <v>9.75</v>
      </c>
      <c r="AE1557" s="59">
        <v>0.38541666666666669</v>
      </c>
      <c r="AF1557" s="59">
        <v>0.42638888888888887</v>
      </c>
      <c r="AG1557">
        <v>8</v>
      </c>
    </row>
    <row r="1558" spans="1:33" x14ac:dyDescent="0.25">
      <c r="A1558" t="s">
        <v>258</v>
      </c>
      <c r="B1558" t="s">
        <v>314</v>
      </c>
      <c r="C1558" t="s">
        <v>315</v>
      </c>
      <c r="D1558">
        <v>72</v>
      </c>
      <c r="E1558" t="s">
        <v>316</v>
      </c>
      <c r="F1558" t="s">
        <v>317</v>
      </c>
      <c r="G1558" t="s">
        <v>218</v>
      </c>
      <c r="H1558" t="s">
        <v>168</v>
      </c>
      <c r="I1558" t="s">
        <v>169</v>
      </c>
      <c r="J1558" t="s">
        <v>426</v>
      </c>
      <c r="K1558" t="s">
        <v>432</v>
      </c>
      <c r="L1558" t="s">
        <v>433</v>
      </c>
      <c r="N1558" t="s">
        <v>434</v>
      </c>
      <c r="O1558" t="s">
        <v>134</v>
      </c>
      <c r="Q1558" t="s">
        <v>240</v>
      </c>
      <c r="R1558" t="s">
        <v>170</v>
      </c>
      <c r="S1558" t="s">
        <v>128</v>
      </c>
      <c r="T1558" t="s">
        <v>137</v>
      </c>
      <c r="U1558" t="s">
        <v>129</v>
      </c>
      <c r="V1558" t="s">
        <v>71</v>
      </c>
      <c r="W1558" s="58">
        <v>43338</v>
      </c>
      <c r="X1558" s="59">
        <v>0.69791666666666663</v>
      </c>
      <c r="Y1558" s="59">
        <v>0.73958333333333337</v>
      </c>
      <c r="Z1558" s="59">
        <v>4.1666666666666664E-2</v>
      </c>
      <c r="AA1558">
        <v>0</v>
      </c>
      <c r="AC1558">
        <v>23</v>
      </c>
      <c r="AD1558">
        <v>9.75</v>
      </c>
      <c r="AE1558" s="59">
        <v>0.69791666666666663</v>
      </c>
      <c r="AF1558" s="59">
        <v>0.73888888888888893</v>
      </c>
      <c r="AG1558">
        <v>8</v>
      </c>
    </row>
    <row r="1559" spans="1:33" x14ac:dyDescent="0.25">
      <c r="A1559" t="s">
        <v>258</v>
      </c>
      <c r="B1559" t="s">
        <v>281</v>
      </c>
      <c r="C1559" t="s">
        <v>282</v>
      </c>
      <c r="E1559" t="s">
        <v>283</v>
      </c>
      <c r="F1559" t="s">
        <v>134</v>
      </c>
      <c r="G1559" t="s">
        <v>218</v>
      </c>
      <c r="H1559" t="s">
        <v>146</v>
      </c>
      <c r="I1559" t="s">
        <v>147</v>
      </c>
      <c r="J1559" t="s">
        <v>426</v>
      </c>
      <c r="K1559" t="s">
        <v>432</v>
      </c>
      <c r="L1559" t="s">
        <v>433</v>
      </c>
      <c r="N1559" t="s">
        <v>434</v>
      </c>
      <c r="O1559" t="s">
        <v>134</v>
      </c>
      <c r="Q1559" t="s">
        <v>240</v>
      </c>
      <c r="R1559" t="s">
        <v>148</v>
      </c>
      <c r="S1559" t="s">
        <v>128</v>
      </c>
      <c r="T1559" t="s">
        <v>137</v>
      </c>
      <c r="U1559" t="s">
        <v>129</v>
      </c>
      <c r="V1559" t="s">
        <v>71</v>
      </c>
      <c r="W1559" s="58">
        <v>43338</v>
      </c>
      <c r="X1559" s="59">
        <v>0.75</v>
      </c>
      <c r="Y1559" s="59">
        <v>0.79166666666666663</v>
      </c>
      <c r="Z1559" s="59">
        <v>4.1666666666666664E-2</v>
      </c>
      <c r="AA1559">
        <v>0</v>
      </c>
      <c r="AB1559">
        <v>3.6886000000000001</v>
      </c>
      <c r="AC1559">
        <v>23</v>
      </c>
      <c r="AD1559">
        <v>9.75</v>
      </c>
      <c r="AE1559" s="59">
        <v>0.75</v>
      </c>
      <c r="AF1559" s="59">
        <v>0.7909722222222223</v>
      </c>
      <c r="AG1559">
        <v>8</v>
      </c>
    </row>
    <row r="1560" spans="1:33" x14ac:dyDescent="0.25">
      <c r="A1560" t="s">
        <v>258</v>
      </c>
      <c r="B1560" t="s">
        <v>342</v>
      </c>
      <c r="C1560" t="s">
        <v>343</v>
      </c>
      <c r="E1560" t="s">
        <v>344</v>
      </c>
      <c r="F1560" t="s">
        <v>134</v>
      </c>
      <c r="H1560" t="s">
        <v>197</v>
      </c>
      <c r="I1560" t="s">
        <v>198</v>
      </c>
      <c r="J1560" t="s">
        <v>426</v>
      </c>
      <c r="K1560" t="s">
        <v>432</v>
      </c>
      <c r="L1560" t="s">
        <v>433</v>
      </c>
      <c r="N1560" t="s">
        <v>434</v>
      </c>
      <c r="O1560" t="s">
        <v>134</v>
      </c>
      <c r="Q1560" t="s">
        <v>240</v>
      </c>
      <c r="R1560" t="s">
        <v>199</v>
      </c>
      <c r="S1560" t="s">
        <v>128</v>
      </c>
      <c r="T1560" t="s">
        <v>137</v>
      </c>
      <c r="U1560" t="s">
        <v>151</v>
      </c>
      <c r="V1560" t="s">
        <v>71</v>
      </c>
      <c r="W1560" s="58">
        <v>43338</v>
      </c>
      <c r="X1560" s="59">
        <v>0.80555555555555547</v>
      </c>
      <c r="Y1560" s="59">
        <v>0.84722222222222221</v>
      </c>
      <c r="Z1560" s="59">
        <v>4.1666666666666664E-2</v>
      </c>
      <c r="AA1560">
        <v>0</v>
      </c>
      <c r="AB1560">
        <v>5.7431999999999999</v>
      </c>
      <c r="AC1560">
        <v>20</v>
      </c>
      <c r="AD1560">
        <v>9.75</v>
      </c>
      <c r="AE1560" s="59">
        <v>0.80555555555555547</v>
      </c>
      <c r="AF1560" s="59">
        <v>0.84652777777777777</v>
      </c>
      <c r="AG1560">
        <v>8</v>
      </c>
    </row>
    <row r="1561" spans="1:33" x14ac:dyDescent="0.25">
      <c r="A1561" t="s">
        <v>274</v>
      </c>
      <c r="B1561" t="s">
        <v>321</v>
      </c>
      <c r="C1561" t="s">
        <v>322</v>
      </c>
      <c r="D1561" t="s">
        <v>323</v>
      </c>
      <c r="E1561" t="s">
        <v>324</v>
      </c>
      <c r="F1561" t="s">
        <v>134</v>
      </c>
      <c r="H1561" t="s">
        <v>184</v>
      </c>
      <c r="I1561" t="s">
        <v>147</v>
      </c>
      <c r="J1561" t="s">
        <v>426</v>
      </c>
      <c r="K1561" t="s">
        <v>432</v>
      </c>
      <c r="L1561" t="s">
        <v>433</v>
      </c>
      <c r="N1561" t="s">
        <v>434</v>
      </c>
      <c r="O1561" t="s">
        <v>134</v>
      </c>
      <c r="Q1561" t="s">
        <v>240</v>
      </c>
      <c r="R1561" t="s">
        <v>185</v>
      </c>
      <c r="S1561" t="s">
        <v>128</v>
      </c>
      <c r="T1561" t="s">
        <v>137</v>
      </c>
      <c r="U1561" t="s">
        <v>151</v>
      </c>
      <c r="V1561" t="s">
        <v>71</v>
      </c>
      <c r="W1561" s="58">
        <v>43338</v>
      </c>
      <c r="X1561" s="59">
        <v>0.85416666666666663</v>
      </c>
      <c r="Y1561" s="59">
        <v>0.88541666666666663</v>
      </c>
      <c r="Z1561" s="59">
        <v>3.125E-2</v>
      </c>
      <c r="AA1561">
        <v>0</v>
      </c>
      <c r="AB1561">
        <v>7.7363999999999997</v>
      </c>
      <c r="AC1561">
        <v>15</v>
      </c>
      <c r="AD1561">
        <v>7.3125</v>
      </c>
      <c r="AE1561" s="59">
        <v>0.85416666666666663</v>
      </c>
      <c r="AF1561" s="59">
        <v>0.8847222222222223</v>
      </c>
      <c r="AG1561">
        <v>8</v>
      </c>
    </row>
    <row r="1562" spans="1:33" x14ac:dyDescent="0.25">
      <c r="A1562" t="s">
        <v>258</v>
      </c>
      <c r="B1562" t="s">
        <v>310</v>
      </c>
      <c r="C1562" t="s">
        <v>311</v>
      </c>
      <c r="D1562" t="s">
        <v>312</v>
      </c>
      <c r="E1562" t="s">
        <v>313</v>
      </c>
      <c r="F1562" t="s">
        <v>134</v>
      </c>
      <c r="H1562" t="s">
        <v>175</v>
      </c>
      <c r="I1562" t="s">
        <v>127</v>
      </c>
      <c r="J1562" t="s">
        <v>426</v>
      </c>
      <c r="K1562" t="s">
        <v>432</v>
      </c>
      <c r="L1562" t="s">
        <v>433</v>
      </c>
      <c r="N1562" t="s">
        <v>434</v>
      </c>
      <c r="O1562" t="s">
        <v>134</v>
      </c>
      <c r="Q1562" t="s">
        <v>240</v>
      </c>
      <c r="R1562" t="s">
        <v>176</v>
      </c>
      <c r="S1562" t="s">
        <v>128</v>
      </c>
      <c r="T1562" t="s">
        <v>137</v>
      </c>
      <c r="U1562" t="s">
        <v>151</v>
      </c>
      <c r="V1562" t="s">
        <v>71</v>
      </c>
      <c r="W1562" s="58">
        <v>43338</v>
      </c>
      <c r="X1562" s="59">
        <v>0.88888888888888884</v>
      </c>
      <c r="Y1562" s="59">
        <v>0.90972222222222221</v>
      </c>
      <c r="Z1562" s="59">
        <v>2.0833333333333332E-2</v>
      </c>
      <c r="AA1562">
        <v>0</v>
      </c>
      <c r="AB1562">
        <v>4.8944000000000001</v>
      </c>
      <c r="AC1562">
        <v>10</v>
      </c>
      <c r="AD1562">
        <v>4.875</v>
      </c>
      <c r="AE1562" s="59">
        <v>0.88888888888888884</v>
      </c>
      <c r="AF1562" s="59">
        <v>0.90208333333333324</v>
      </c>
      <c r="AG1562">
        <v>8</v>
      </c>
    </row>
    <row r="1563" spans="1:33" x14ac:dyDescent="0.25">
      <c r="A1563" t="s">
        <v>258</v>
      </c>
      <c r="B1563" t="s">
        <v>314</v>
      </c>
      <c r="C1563" t="s">
        <v>315</v>
      </c>
      <c r="D1563">
        <v>72</v>
      </c>
      <c r="E1563" t="s">
        <v>316</v>
      </c>
      <c r="F1563" t="s">
        <v>317</v>
      </c>
      <c r="G1563" t="s">
        <v>218</v>
      </c>
      <c r="H1563" t="s">
        <v>168</v>
      </c>
      <c r="I1563" t="s">
        <v>169</v>
      </c>
      <c r="J1563" t="s">
        <v>426</v>
      </c>
      <c r="K1563" t="s">
        <v>432</v>
      </c>
      <c r="L1563" t="s">
        <v>433</v>
      </c>
      <c r="N1563" t="s">
        <v>434</v>
      </c>
      <c r="O1563" t="s">
        <v>134</v>
      </c>
      <c r="Q1563" t="s">
        <v>240</v>
      </c>
      <c r="R1563" t="s">
        <v>170</v>
      </c>
      <c r="S1563" t="s">
        <v>128</v>
      </c>
      <c r="T1563" t="s">
        <v>137</v>
      </c>
      <c r="U1563" t="s">
        <v>129</v>
      </c>
      <c r="V1563" t="s">
        <v>76</v>
      </c>
      <c r="W1563" s="58">
        <v>43343</v>
      </c>
      <c r="X1563" s="59">
        <v>0.69791666666666663</v>
      </c>
      <c r="Y1563" s="59">
        <v>0.73958333333333337</v>
      </c>
      <c r="Z1563" s="59">
        <v>4.1666666666666664E-2</v>
      </c>
      <c r="AA1563">
        <v>0</v>
      </c>
      <c r="AC1563">
        <v>23</v>
      </c>
      <c r="AD1563">
        <v>8.75</v>
      </c>
      <c r="AE1563" s="59">
        <v>0.69791666666666663</v>
      </c>
      <c r="AF1563" s="59">
        <v>0.73888888888888893</v>
      </c>
      <c r="AG1563">
        <v>8</v>
      </c>
    </row>
    <row r="1564" spans="1:33" x14ac:dyDescent="0.25">
      <c r="A1564" t="s">
        <v>258</v>
      </c>
      <c r="B1564" t="s">
        <v>281</v>
      </c>
      <c r="C1564" t="s">
        <v>282</v>
      </c>
      <c r="E1564" t="s">
        <v>283</v>
      </c>
      <c r="F1564" t="s">
        <v>134</v>
      </c>
      <c r="G1564" t="s">
        <v>218</v>
      </c>
      <c r="H1564" t="s">
        <v>146</v>
      </c>
      <c r="I1564" t="s">
        <v>147</v>
      </c>
      <c r="J1564" t="s">
        <v>426</v>
      </c>
      <c r="K1564" t="s">
        <v>432</v>
      </c>
      <c r="L1564" t="s">
        <v>433</v>
      </c>
      <c r="N1564" t="s">
        <v>434</v>
      </c>
      <c r="O1564" t="s">
        <v>134</v>
      </c>
      <c r="Q1564" t="s">
        <v>240</v>
      </c>
      <c r="R1564" t="s">
        <v>148</v>
      </c>
      <c r="S1564" t="s">
        <v>128</v>
      </c>
      <c r="T1564" t="s">
        <v>137</v>
      </c>
      <c r="U1564" t="s">
        <v>129</v>
      </c>
      <c r="V1564" t="s">
        <v>76</v>
      </c>
      <c r="W1564" s="58">
        <v>43343</v>
      </c>
      <c r="X1564" s="59">
        <v>0.75</v>
      </c>
      <c r="Y1564" s="59">
        <v>0.79166666666666663</v>
      </c>
      <c r="Z1564" s="59">
        <v>4.1666666666666664E-2</v>
      </c>
      <c r="AA1564">
        <v>0</v>
      </c>
      <c r="AB1564">
        <v>3.6886000000000001</v>
      </c>
      <c r="AC1564">
        <v>23</v>
      </c>
      <c r="AD1564">
        <v>8.75</v>
      </c>
      <c r="AE1564" s="59">
        <v>0.75</v>
      </c>
      <c r="AF1564" s="59">
        <v>0.7909722222222223</v>
      </c>
      <c r="AG1564">
        <v>8</v>
      </c>
    </row>
    <row r="1565" spans="1:33" x14ac:dyDescent="0.25">
      <c r="A1565" t="s">
        <v>258</v>
      </c>
      <c r="B1565" t="s">
        <v>342</v>
      </c>
      <c r="C1565" t="s">
        <v>343</v>
      </c>
      <c r="E1565" t="s">
        <v>344</v>
      </c>
      <c r="F1565" t="s">
        <v>134</v>
      </c>
      <c r="H1565" t="s">
        <v>197</v>
      </c>
      <c r="I1565" t="s">
        <v>198</v>
      </c>
      <c r="J1565" t="s">
        <v>426</v>
      </c>
      <c r="K1565" t="s">
        <v>432</v>
      </c>
      <c r="L1565" t="s">
        <v>433</v>
      </c>
      <c r="N1565" t="s">
        <v>434</v>
      </c>
      <c r="O1565" t="s">
        <v>134</v>
      </c>
      <c r="Q1565" t="s">
        <v>240</v>
      </c>
      <c r="R1565" t="s">
        <v>199</v>
      </c>
      <c r="S1565" t="s">
        <v>128</v>
      </c>
      <c r="T1565" t="s">
        <v>137</v>
      </c>
      <c r="U1565" t="s">
        <v>151</v>
      </c>
      <c r="V1565" t="s">
        <v>76</v>
      </c>
      <c r="W1565" s="58">
        <v>43343</v>
      </c>
      <c r="X1565" s="59">
        <v>0.80555555555555547</v>
      </c>
      <c r="Y1565" s="59">
        <v>0.84722222222222221</v>
      </c>
      <c r="Z1565" s="59">
        <v>4.1666666666666664E-2</v>
      </c>
      <c r="AA1565">
        <v>0</v>
      </c>
      <c r="AB1565">
        <v>5.7431999999999999</v>
      </c>
      <c r="AC1565">
        <v>20</v>
      </c>
      <c r="AD1565">
        <v>8.75</v>
      </c>
      <c r="AE1565" s="59">
        <v>0.80555555555555547</v>
      </c>
      <c r="AF1565" s="59">
        <v>0.84652777777777777</v>
      </c>
      <c r="AG1565">
        <v>8</v>
      </c>
    </row>
    <row r="1566" spans="1:33" x14ac:dyDescent="0.25">
      <c r="A1566" t="s">
        <v>274</v>
      </c>
      <c r="B1566" t="s">
        <v>321</v>
      </c>
      <c r="C1566" t="s">
        <v>322</v>
      </c>
      <c r="D1566" t="s">
        <v>323</v>
      </c>
      <c r="E1566" t="s">
        <v>324</v>
      </c>
      <c r="F1566" t="s">
        <v>134</v>
      </c>
      <c r="H1566" t="s">
        <v>184</v>
      </c>
      <c r="I1566" t="s">
        <v>147</v>
      </c>
      <c r="J1566" t="s">
        <v>426</v>
      </c>
      <c r="K1566" t="s">
        <v>432</v>
      </c>
      <c r="L1566" t="s">
        <v>433</v>
      </c>
      <c r="N1566" t="s">
        <v>434</v>
      </c>
      <c r="O1566" t="s">
        <v>134</v>
      </c>
      <c r="Q1566" t="s">
        <v>240</v>
      </c>
      <c r="R1566" t="s">
        <v>185</v>
      </c>
      <c r="S1566" t="s">
        <v>128</v>
      </c>
      <c r="T1566" t="s">
        <v>137</v>
      </c>
      <c r="U1566" t="s">
        <v>151</v>
      </c>
      <c r="V1566" t="s">
        <v>76</v>
      </c>
      <c r="W1566" s="58">
        <v>43343</v>
      </c>
      <c r="X1566" s="59">
        <v>0.85416666666666663</v>
      </c>
      <c r="Y1566" s="59">
        <v>0.88541666666666663</v>
      </c>
      <c r="Z1566" s="59">
        <v>3.125E-2</v>
      </c>
      <c r="AA1566">
        <v>0</v>
      </c>
      <c r="AB1566">
        <v>7.7363999999999997</v>
      </c>
      <c r="AC1566">
        <v>15</v>
      </c>
      <c r="AD1566">
        <v>6.5625</v>
      </c>
      <c r="AE1566" s="59">
        <v>0.85416666666666663</v>
      </c>
      <c r="AF1566" s="59">
        <v>0.8847222222222223</v>
      </c>
      <c r="AG1566">
        <v>8</v>
      </c>
    </row>
    <row r="1567" spans="1:33" x14ac:dyDescent="0.25">
      <c r="A1567" t="s">
        <v>258</v>
      </c>
      <c r="B1567" t="s">
        <v>310</v>
      </c>
      <c r="C1567" t="s">
        <v>311</v>
      </c>
      <c r="D1567" t="s">
        <v>312</v>
      </c>
      <c r="E1567" t="s">
        <v>313</v>
      </c>
      <c r="F1567" t="s">
        <v>134</v>
      </c>
      <c r="H1567" t="s">
        <v>175</v>
      </c>
      <c r="I1567" t="s">
        <v>127</v>
      </c>
      <c r="J1567" t="s">
        <v>426</v>
      </c>
      <c r="K1567" t="s">
        <v>432</v>
      </c>
      <c r="L1567" t="s">
        <v>433</v>
      </c>
      <c r="N1567" t="s">
        <v>434</v>
      </c>
      <c r="O1567" t="s">
        <v>134</v>
      </c>
      <c r="Q1567" t="s">
        <v>240</v>
      </c>
      <c r="R1567" t="s">
        <v>176</v>
      </c>
      <c r="S1567" t="s">
        <v>128</v>
      </c>
      <c r="T1567" t="s">
        <v>137</v>
      </c>
      <c r="U1567" t="s">
        <v>151</v>
      </c>
      <c r="V1567" t="s">
        <v>76</v>
      </c>
      <c r="W1567" s="58">
        <v>43343</v>
      </c>
      <c r="X1567" s="59">
        <v>0.88888888888888884</v>
      </c>
      <c r="Y1567" s="59">
        <v>0.93055555555555547</v>
      </c>
      <c r="Z1567" s="59">
        <v>4.1666666666666664E-2</v>
      </c>
      <c r="AA1567">
        <v>0</v>
      </c>
      <c r="AB1567">
        <v>4.8944000000000001</v>
      </c>
      <c r="AC1567">
        <v>20</v>
      </c>
      <c r="AD1567">
        <v>8.75</v>
      </c>
      <c r="AE1567" s="59">
        <v>0.88888888888888884</v>
      </c>
      <c r="AF1567" s="59">
        <v>0.92986111111111114</v>
      </c>
      <c r="AG1567">
        <v>8</v>
      </c>
    </row>
    <row r="1568" spans="1:33" x14ac:dyDescent="0.25">
      <c r="A1568" t="s">
        <v>258</v>
      </c>
      <c r="B1568" t="s">
        <v>314</v>
      </c>
      <c r="C1568" t="s">
        <v>315</v>
      </c>
      <c r="D1568">
        <v>72</v>
      </c>
      <c r="E1568" t="s">
        <v>316</v>
      </c>
      <c r="F1568" t="s">
        <v>317</v>
      </c>
      <c r="G1568" t="s">
        <v>218</v>
      </c>
      <c r="H1568" t="s">
        <v>168</v>
      </c>
      <c r="I1568" t="s">
        <v>169</v>
      </c>
      <c r="J1568" t="s">
        <v>426</v>
      </c>
      <c r="K1568" t="s">
        <v>432</v>
      </c>
      <c r="L1568" t="s">
        <v>433</v>
      </c>
      <c r="N1568" t="s">
        <v>434</v>
      </c>
      <c r="O1568" t="s">
        <v>134</v>
      </c>
      <c r="Q1568" t="s">
        <v>240</v>
      </c>
      <c r="R1568" t="s">
        <v>170</v>
      </c>
      <c r="S1568" t="s">
        <v>128</v>
      </c>
      <c r="T1568" t="s">
        <v>137</v>
      </c>
      <c r="U1568" t="s">
        <v>129</v>
      </c>
      <c r="V1568" t="s">
        <v>71</v>
      </c>
      <c r="W1568" s="58">
        <v>43345</v>
      </c>
      <c r="X1568" s="59">
        <v>0.33333333333333331</v>
      </c>
      <c r="Y1568" s="59">
        <v>0.35416666666666669</v>
      </c>
      <c r="Z1568" s="59">
        <v>2.0833333333333332E-2</v>
      </c>
      <c r="AA1568">
        <v>0</v>
      </c>
      <c r="AC1568">
        <v>11.5</v>
      </c>
      <c r="AD1568">
        <v>4.875</v>
      </c>
      <c r="AE1568" s="59">
        <v>0.33333333333333331</v>
      </c>
      <c r="AF1568" s="59">
        <v>0.35347222222222219</v>
      </c>
      <c r="AG1568">
        <v>8</v>
      </c>
    </row>
    <row r="1569" spans="1:33" x14ac:dyDescent="0.25">
      <c r="A1569" t="s">
        <v>258</v>
      </c>
      <c r="B1569" t="s">
        <v>310</v>
      </c>
      <c r="C1569" t="s">
        <v>311</v>
      </c>
      <c r="D1569" t="s">
        <v>312</v>
      </c>
      <c r="E1569" t="s">
        <v>313</v>
      </c>
      <c r="F1569" t="s">
        <v>134</v>
      </c>
      <c r="H1569" t="s">
        <v>175</v>
      </c>
      <c r="I1569" t="s">
        <v>127</v>
      </c>
      <c r="J1569" t="s">
        <v>426</v>
      </c>
      <c r="K1569" t="s">
        <v>432</v>
      </c>
      <c r="L1569" t="s">
        <v>433</v>
      </c>
      <c r="N1569" t="s">
        <v>434</v>
      </c>
      <c r="O1569" t="s">
        <v>134</v>
      </c>
      <c r="Q1569" t="s">
        <v>240</v>
      </c>
      <c r="R1569" t="s">
        <v>176</v>
      </c>
      <c r="S1569" t="s">
        <v>128</v>
      </c>
      <c r="T1569" t="s">
        <v>137</v>
      </c>
      <c r="U1569" t="s">
        <v>151</v>
      </c>
      <c r="V1569" t="s">
        <v>71</v>
      </c>
      <c r="W1569" s="58">
        <v>43345</v>
      </c>
      <c r="X1569" s="59">
        <v>0.3576388888888889</v>
      </c>
      <c r="Y1569" s="59">
        <v>0.39930555555555558</v>
      </c>
      <c r="Z1569" s="59">
        <v>4.1666666666666664E-2</v>
      </c>
      <c r="AA1569">
        <v>3</v>
      </c>
      <c r="AB1569">
        <v>1.4703999999999999</v>
      </c>
      <c r="AC1569">
        <v>20</v>
      </c>
      <c r="AD1569">
        <v>9.75</v>
      </c>
      <c r="AE1569" s="59">
        <v>0.3576388888888889</v>
      </c>
      <c r="AF1569" s="59">
        <v>0.39861111111111108</v>
      </c>
      <c r="AG1569">
        <v>8</v>
      </c>
    </row>
    <row r="1570" spans="1:33" x14ac:dyDescent="0.25">
      <c r="A1570" t="s">
        <v>274</v>
      </c>
      <c r="B1570" t="s">
        <v>321</v>
      </c>
      <c r="C1570" t="s">
        <v>322</v>
      </c>
      <c r="D1570" t="s">
        <v>323</v>
      </c>
      <c r="E1570" t="s">
        <v>324</v>
      </c>
      <c r="F1570" t="s">
        <v>134</v>
      </c>
      <c r="H1570" t="s">
        <v>184</v>
      </c>
      <c r="I1570" t="s">
        <v>147</v>
      </c>
      <c r="J1570" t="s">
        <v>426</v>
      </c>
      <c r="K1570" t="s">
        <v>432</v>
      </c>
      <c r="L1570" t="s">
        <v>433</v>
      </c>
      <c r="N1570" t="s">
        <v>434</v>
      </c>
      <c r="O1570" t="s">
        <v>134</v>
      </c>
      <c r="Q1570" t="s">
        <v>240</v>
      </c>
      <c r="R1570" t="s">
        <v>185</v>
      </c>
      <c r="S1570" t="s">
        <v>128</v>
      </c>
      <c r="T1570" t="s">
        <v>137</v>
      </c>
      <c r="U1570" t="s">
        <v>151</v>
      </c>
      <c r="V1570" t="s">
        <v>71</v>
      </c>
      <c r="W1570" s="58">
        <v>43345</v>
      </c>
      <c r="X1570" s="59">
        <v>0.41666666666666669</v>
      </c>
      <c r="Y1570" s="59">
        <v>0.45833333333333331</v>
      </c>
      <c r="Z1570" s="59">
        <v>4.1666666666666664E-2</v>
      </c>
      <c r="AA1570">
        <v>7</v>
      </c>
      <c r="AB1570">
        <v>5.0410000000000004</v>
      </c>
      <c r="AC1570">
        <v>20</v>
      </c>
      <c r="AD1570">
        <v>9.75</v>
      </c>
      <c r="AE1570" s="59">
        <v>0.41666666666666669</v>
      </c>
      <c r="AF1570" s="59">
        <v>0.45763888888888887</v>
      </c>
      <c r="AG1570">
        <v>8</v>
      </c>
    </row>
    <row r="1571" spans="1:33" x14ac:dyDescent="0.25">
      <c r="A1571" t="s">
        <v>258</v>
      </c>
      <c r="B1571" t="s">
        <v>314</v>
      </c>
      <c r="C1571" t="s">
        <v>315</v>
      </c>
      <c r="D1571">
        <v>72</v>
      </c>
      <c r="E1571" t="s">
        <v>316</v>
      </c>
      <c r="F1571" t="s">
        <v>317</v>
      </c>
      <c r="G1571" t="s">
        <v>218</v>
      </c>
      <c r="H1571" t="s">
        <v>168</v>
      </c>
      <c r="I1571" t="s">
        <v>169</v>
      </c>
      <c r="J1571" t="s">
        <v>426</v>
      </c>
      <c r="K1571" t="s">
        <v>432</v>
      </c>
      <c r="L1571" t="s">
        <v>433</v>
      </c>
      <c r="N1571" t="s">
        <v>434</v>
      </c>
      <c r="O1571" t="s">
        <v>134</v>
      </c>
      <c r="Q1571" t="s">
        <v>240</v>
      </c>
      <c r="R1571" t="s">
        <v>170</v>
      </c>
      <c r="S1571" t="s">
        <v>128</v>
      </c>
      <c r="T1571" t="s">
        <v>137</v>
      </c>
      <c r="U1571" t="s">
        <v>129</v>
      </c>
      <c r="V1571" t="s">
        <v>76</v>
      </c>
      <c r="W1571" s="58">
        <v>43350</v>
      </c>
      <c r="X1571" s="59">
        <v>0.69791666666666663</v>
      </c>
      <c r="Y1571" s="59">
        <v>0.73958333333333337</v>
      </c>
      <c r="Z1571" s="59">
        <v>4.1666666666666664E-2</v>
      </c>
      <c r="AA1571">
        <v>0</v>
      </c>
      <c r="AD1571">
        <v>8.75</v>
      </c>
      <c r="AG1571">
        <v>8</v>
      </c>
    </row>
    <row r="1572" spans="1:33" x14ac:dyDescent="0.25">
      <c r="A1572" t="s">
        <v>258</v>
      </c>
      <c r="B1572" t="s">
        <v>281</v>
      </c>
      <c r="C1572" t="s">
        <v>282</v>
      </c>
      <c r="E1572" t="s">
        <v>283</v>
      </c>
      <c r="F1572" t="s">
        <v>134</v>
      </c>
      <c r="G1572" t="s">
        <v>218</v>
      </c>
      <c r="H1572" t="s">
        <v>146</v>
      </c>
      <c r="I1572" t="s">
        <v>147</v>
      </c>
      <c r="J1572" t="s">
        <v>426</v>
      </c>
      <c r="K1572" t="s">
        <v>432</v>
      </c>
      <c r="L1572" t="s">
        <v>433</v>
      </c>
      <c r="N1572" t="s">
        <v>434</v>
      </c>
      <c r="O1572" t="s">
        <v>134</v>
      </c>
      <c r="Q1572" t="s">
        <v>240</v>
      </c>
      <c r="R1572" t="s">
        <v>148</v>
      </c>
      <c r="S1572" t="s">
        <v>128</v>
      </c>
      <c r="T1572" t="s">
        <v>137</v>
      </c>
      <c r="U1572" t="s">
        <v>129</v>
      </c>
      <c r="V1572" t="s">
        <v>76</v>
      </c>
      <c r="W1572" s="58">
        <v>43350</v>
      </c>
      <c r="X1572" s="59">
        <v>0.75</v>
      </c>
      <c r="Y1572" s="59">
        <v>0.79166666666666663</v>
      </c>
      <c r="Z1572" s="59">
        <v>4.1666666666666664E-2</v>
      </c>
      <c r="AA1572">
        <v>0</v>
      </c>
      <c r="AC1572">
        <v>23</v>
      </c>
      <c r="AD1572">
        <v>8.75</v>
      </c>
      <c r="AE1572" s="59">
        <v>0.75</v>
      </c>
      <c r="AF1572" s="59">
        <v>0.7909722222222223</v>
      </c>
      <c r="AG1572">
        <v>8</v>
      </c>
    </row>
    <row r="1573" spans="1:33" x14ac:dyDescent="0.25">
      <c r="A1573" t="s">
        <v>258</v>
      </c>
      <c r="B1573" t="s">
        <v>342</v>
      </c>
      <c r="C1573" t="s">
        <v>343</v>
      </c>
      <c r="E1573" t="s">
        <v>344</v>
      </c>
      <c r="F1573" t="s">
        <v>134</v>
      </c>
      <c r="H1573" t="s">
        <v>197</v>
      </c>
      <c r="I1573" t="s">
        <v>198</v>
      </c>
      <c r="J1573" t="s">
        <v>426</v>
      </c>
      <c r="K1573" t="s">
        <v>432</v>
      </c>
      <c r="L1573" t="s">
        <v>433</v>
      </c>
      <c r="N1573" t="s">
        <v>434</v>
      </c>
      <c r="O1573" t="s">
        <v>134</v>
      </c>
      <c r="Q1573" t="s">
        <v>240</v>
      </c>
      <c r="R1573" t="s">
        <v>199</v>
      </c>
      <c r="S1573" t="s">
        <v>128</v>
      </c>
      <c r="T1573" t="s">
        <v>137</v>
      </c>
      <c r="U1573" t="s">
        <v>151</v>
      </c>
      <c r="V1573" t="s">
        <v>76</v>
      </c>
      <c r="W1573" s="58">
        <v>43350</v>
      </c>
      <c r="X1573" s="59">
        <v>0.80555555555555547</v>
      </c>
      <c r="Y1573" s="59">
        <v>0.84722222222222221</v>
      </c>
      <c r="Z1573" s="59">
        <v>4.1666666666666664E-2</v>
      </c>
      <c r="AA1573">
        <v>7</v>
      </c>
      <c r="AB1573">
        <v>5.7431999999999999</v>
      </c>
      <c r="AC1573">
        <v>20</v>
      </c>
      <c r="AD1573">
        <v>8.75</v>
      </c>
      <c r="AE1573" s="59">
        <v>0.80555555555555547</v>
      </c>
      <c r="AF1573" s="59">
        <v>0.84652777777777777</v>
      </c>
      <c r="AG1573">
        <v>8</v>
      </c>
    </row>
    <row r="1574" spans="1:33" x14ac:dyDescent="0.25">
      <c r="A1574" t="s">
        <v>274</v>
      </c>
      <c r="B1574" t="s">
        <v>321</v>
      </c>
      <c r="C1574" t="s">
        <v>322</v>
      </c>
      <c r="D1574" t="s">
        <v>323</v>
      </c>
      <c r="E1574" t="s">
        <v>324</v>
      </c>
      <c r="F1574" t="s">
        <v>134</v>
      </c>
      <c r="H1574" t="s">
        <v>184</v>
      </c>
      <c r="I1574" t="s">
        <v>147</v>
      </c>
      <c r="J1574" t="s">
        <v>426</v>
      </c>
      <c r="K1574" t="s">
        <v>432</v>
      </c>
      <c r="L1574" t="s">
        <v>433</v>
      </c>
      <c r="N1574" t="s">
        <v>434</v>
      </c>
      <c r="O1574" t="s">
        <v>134</v>
      </c>
      <c r="Q1574" t="s">
        <v>240</v>
      </c>
      <c r="R1574" t="s">
        <v>185</v>
      </c>
      <c r="S1574" t="s">
        <v>128</v>
      </c>
      <c r="T1574" t="s">
        <v>137</v>
      </c>
      <c r="U1574" t="s">
        <v>151</v>
      </c>
      <c r="V1574" t="s">
        <v>76</v>
      </c>
      <c r="W1574" s="58">
        <v>43350</v>
      </c>
      <c r="X1574" s="59">
        <v>0.85416666666666663</v>
      </c>
      <c r="Y1574" s="59">
        <v>0.88541666666666663</v>
      </c>
      <c r="Z1574" s="59">
        <v>3.125E-2</v>
      </c>
      <c r="AA1574">
        <v>10</v>
      </c>
      <c r="AB1574">
        <v>7.7363999999999997</v>
      </c>
      <c r="AC1574">
        <v>15</v>
      </c>
      <c r="AD1574">
        <v>6.5625</v>
      </c>
      <c r="AE1574" s="59">
        <v>0.85416666666666663</v>
      </c>
      <c r="AF1574" s="59">
        <v>0.8847222222222223</v>
      </c>
      <c r="AG1574">
        <v>8</v>
      </c>
    </row>
    <row r="1575" spans="1:33" x14ac:dyDescent="0.25">
      <c r="A1575" t="s">
        <v>258</v>
      </c>
      <c r="B1575" t="s">
        <v>310</v>
      </c>
      <c r="C1575" t="s">
        <v>311</v>
      </c>
      <c r="D1575" t="s">
        <v>312</v>
      </c>
      <c r="E1575" t="s">
        <v>313</v>
      </c>
      <c r="F1575" t="s">
        <v>134</v>
      </c>
      <c r="H1575" t="s">
        <v>175</v>
      </c>
      <c r="I1575" t="s">
        <v>127</v>
      </c>
      <c r="J1575" t="s">
        <v>426</v>
      </c>
      <c r="K1575" t="s">
        <v>432</v>
      </c>
      <c r="L1575" t="s">
        <v>433</v>
      </c>
      <c r="N1575" t="s">
        <v>434</v>
      </c>
      <c r="O1575" t="s">
        <v>134</v>
      </c>
      <c r="Q1575" t="s">
        <v>240</v>
      </c>
      <c r="R1575" t="s">
        <v>176</v>
      </c>
      <c r="S1575" t="s">
        <v>128</v>
      </c>
      <c r="T1575" t="s">
        <v>137</v>
      </c>
      <c r="U1575" t="s">
        <v>151</v>
      </c>
      <c r="V1575" t="s">
        <v>76</v>
      </c>
      <c r="W1575" s="58">
        <v>43350</v>
      </c>
      <c r="X1575" s="59">
        <v>0.88888888888888884</v>
      </c>
      <c r="Y1575" s="59">
        <v>0.93055555555555547</v>
      </c>
      <c r="Z1575" s="59">
        <v>4.1666666666666664E-2</v>
      </c>
      <c r="AA1575">
        <v>7</v>
      </c>
      <c r="AB1575">
        <v>4.8944000000000001</v>
      </c>
      <c r="AC1575">
        <v>20</v>
      </c>
      <c r="AD1575">
        <v>8.75</v>
      </c>
      <c r="AE1575" s="59">
        <v>0.88888888888888884</v>
      </c>
      <c r="AF1575" s="59">
        <v>0.92986111111111114</v>
      </c>
      <c r="AG1575">
        <v>8</v>
      </c>
    </row>
    <row r="1576" spans="1:33" x14ac:dyDescent="0.25">
      <c r="A1576" t="s">
        <v>258</v>
      </c>
      <c r="B1576" t="s">
        <v>281</v>
      </c>
      <c r="C1576" t="s">
        <v>282</v>
      </c>
      <c r="E1576" t="s">
        <v>283</v>
      </c>
      <c r="F1576" t="s">
        <v>134</v>
      </c>
      <c r="G1576" t="s">
        <v>218</v>
      </c>
      <c r="H1576" t="s">
        <v>146</v>
      </c>
      <c r="I1576" t="s">
        <v>147</v>
      </c>
      <c r="J1576" t="s">
        <v>426</v>
      </c>
      <c r="K1576" t="s">
        <v>432</v>
      </c>
      <c r="L1576" t="s">
        <v>433</v>
      </c>
      <c r="N1576" t="s">
        <v>434</v>
      </c>
      <c r="O1576" t="s">
        <v>134</v>
      </c>
      <c r="Q1576" t="s">
        <v>240</v>
      </c>
      <c r="R1576" t="s">
        <v>148</v>
      </c>
      <c r="S1576" t="s">
        <v>128</v>
      </c>
      <c r="T1576" t="s">
        <v>137</v>
      </c>
      <c r="U1576" t="s">
        <v>129</v>
      </c>
      <c r="V1576" t="s">
        <v>77</v>
      </c>
      <c r="W1576" s="58">
        <v>43351</v>
      </c>
      <c r="X1576" s="59">
        <v>0.31944444444444448</v>
      </c>
      <c r="Y1576" s="59">
        <v>0.3611111111111111</v>
      </c>
      <c r="Z1576" s="59">
        <v>4.1666666666666664E-2</v>
      </c>
      <c r="AA1576">
        <v>0</v>
      </c>
      <c r="AC1576">
        <v>23</v>
      </c>
      <c r="AD1576">
        <v>9.75</v>
      </c>
      <c r="AE1576" s="59">
        <v>0.31944444444444448</v>
      </c>
      <c r="AF1576" s="59">
        <v>0.36041666666666666</v>
      </c>
      <c r="AG1576">
        <v>8</v>
      </c>
    </row>
    <row r="1577" spans="1:33" x14ac:dyDescent="0.25">
      <c r="A1577" t="s">
        <v>258</v>
      </c>
      <c r="B1577" t="s">
        <v>325</v>
      </c>
      <c r="C1577" t="s">
        <v>326</v>
      </c>
      <c r="E1577" t="s">
        <v>327</v>
      </c>
      <c r="F1577" t="s">
        <v>134</v>
      </c>
      <c r="H1577" t="s">
        <v>182</v>
      </c>
      <c r="I1577" t="s">
        <v>147</v>
      </c>
      <c r="J1577" t="s">
        <v>426</v>
      </c>
      <c r="K1577" t="s">
        <v>432</v>
      </c>
      <c r="L1577" t="s">
        <v>433</v>
      </c>
      <c r="N1577" t="s">
        <v>434</v>
      </c>
      <c r="O1577" t="s">
        <v>134</v>
      </c>
      <c r="Q1577" t="s">
        <v>240</v>
      </c>
      <c r="R1577" t="s">
        <v>183</v>
      </c>
      <c r="S1577" t="s">
        <v>128</v>
      </c>
      <c r="T1577" t="s">
        <v>137</v>
      </c>
      <c r="U1577" t="s">
        <v>129</v>
      </c>
      <c r="V1577" t="s">
        <v>77</v>
      </c>
      <c r="W1577" s="58">
        <v>43351</v>
      </c>
      <c r="X1577" s="59">
        <v>0.36458333333333331</v>
      </c>
      <c r="Y1577" s="59">
        <v>0.40625</v>
      </c>
      <c r="Z1577" s="59">
        <v>4.1666666666666664E-2</v>
      </c>
      <c r="AA1577">
        <v>2</v>
      </c>
      <c r="AB1577">
        <v>1.2704</v>
      </c>
      <c r="AC1577">
        <v>23</v>
      </c>
      <c r="AD1577">
        <v>9.75</v>
      </c>
      <c r="AE1577" s="59">
        <v>0.36458333333333331</v>
      </c>
      <c r="AF1577" s="59">
        <v>0.4055555555555555</v>
      </c>
      <c r="AG1577">
        <v>8</v>
      </c>
    </row>
    <row r="1578" spans="1:33" x14ac:dyDescent="0.25">
      <c r="A1578" t="s">
        <v>274</v>
      </c>
      <c r="B1578" t="s">
        <v>321</v>
      </c>
      <c r="C1578" t="s">
        <v>322</v>
      </c>
      <c r="D1578" t="s">
        <v>323</v>
      </c>
      <c r="E1578" t="s">
        <v>324</v>
      </c>
      <c r="F1578" t="s">
        <v>134</v>
      </c>
      <c r="H1578" t="s">
        <v>184</v>
      </c>
      <c r="I1578" t="s">
        <v>147</v>
      </c>
      <c r="J1578" t="s">
        <v>426</v>
      </c>
      <c r="K1578" t="s">
        <v>432</v>
      </c>
      <c r="L1578" t="s">
        <v>433</v>
      </c>
      <c r="N1578" t="s">
        <v>434</v>
      </c>
      <c r="O1578" t="s">
        <v>134</v>
      </c>
      <c r="Q1578" t="s">
        <v>240</v>
      </c>
      <c r="R1578" t="s">
        <v>185</v>
      </c>
      <c r="S1578" t="s">
        <v>128</v>
      </c>
      <c r="T1578" t="s">
        <v>137</v>
      </c>
      <c r="U1578" t="s">
        <v>151</v>
      </c>
      <c r="V1578" t="s">
        <v>77</v>
      </c>
      <c r="W1578" s="58">
        <v>43351</v>
      </c>
      <c r="X1578" s="59">
        <v>0.41666666666666669</v>
      </c>
      <c r="Y1578" s="59">
        <v>0.45833333333333331</v>
      </c>
      <c r="Z1578" s="59">
        <v>4.1666666666666664E-2</v>
      </c>
      <c r="AA1578">
        <v>4</v>
      </c>
      <c r="AB1578">
        <v>2.2181999999999999</v>
      </c>
      <c r="AC1578">
        <v>20</v>
      </c>
      <c r="AD1578">
        <v>9.75</v>
      </c>
      <c r="AE1578" s="59">
        <v>0.41666666666666669</v>
      </c>
      <c r="AF1578" s="59">
        <v>0.45763888888888887</v>
      </c>
      <c r="AG1578">
        <v>8</v>
      </c>
    </row>
    <row r="1579" spans="1:33" x14ac:dyDescent="0.25">
      <c r="A1579" t="s">
        <v>258</v>
      </c>
      <c r="B1579" t="s">
        <v>281</v>
      </c>
      <c r="C1579" t="s">
        <v>282</v>
      </c>
      <c r="E1579" t="s">
        <v>283</v>
      </c>
      <c r="F1579" t="s">
        <v>134</v>
      </c>
      <c r="G1579" t="s">
        <v>218</v>
      </c>
      <c r="H1579" t="s">
        <v>146</v>
      </c>
      <c r="I1579" t="s">
        <v>147</v>
      </c>
      <c r="J1579" t="s">
        <v>426</v>
      </c>
      <c r="K1579" t="s">
        <v>432</v>
      </c>
      <c r="L1579" t="s">
        <v>433</v>
      </c>
      <c r="N1579" t="s">
        <v>434</v>
      </c>
      <c r="O1579" t="s">
        <v>134</v>
      </c>
      <c r="Q1579" t="s">
        <v>240</v>
      </c>
      <c r="R1579" t="s">
        <v>148</v>
      </c>
      <c r="S1579" t="s">
        <v>128</v>
      </c>
      <c r="T1579" t="s">
        <v>137</v>
      </c>
      <c r="U1579" t="s">
        <v>129</v>
      </c>
      <c r="V1579" t="s">
        <v>77</v>
      </c>
      <c r="W1579" s="58">
        <v>43351</v>
      </c>
      <c r="X1579" s="59">
        <v>0.47916666666666669</v>
      </c>
      <c r="Y1579" s="59">
        <v>0.52083333333333337</v>
      </c>
      <c r="Z1579" s="59">
        <v>4.1666666666666664E-2</v>
      </c>
      <c r="AA1579">
        <v>3</v>
      </c>
      <c r="AB1579">
        <v>1.9228000000000001</v>
      </c>
      <c r="AC1579">
        <v>23</v>
      </c>
      <c r="AD1579">
        <v>9.75</v>
      </c>
      <c r="AE1579" s="59">
        <v>0.47916666666666669</v>
      </c>
      <c r="AF1579" s="59">
        <v>0.52013888888888882</v>
      </c>
      <c r="AG1579">
        <v>8</v>
      </c>
    </row>
    <row r="1580" spans="1:33" x14ac:dyDescent="0.25">
      <c r="A1580" t="s">
        <v>258</v>
      </c>
      <c r="B1580" t="s">
        <v>314</v>
      </c>
      <c r="C1580" t="s">
        <v>315</v>
      </c>
      <c r="D1580">
        <v>72</v>
      </c>
      <c r="E1580" t="s">
        <v>316</v>
      </c>
      <c r="F1580" t="s">
        <v>317</v>
      </c>
      <c r="G1580" t="s">
        <v>218</v>
      </c>
      <c r="H1580" t="s">
        <v>168</v>
      </c>
      <c r="I1580" t="s">
        <v>169</v>
      </c>
      <c r="J1580" t="s">
        <v>426</v>
      </c>
      <c r="K1580" t="s">
        <v>432</v>
      </c>
      <c r="L1580" t="s">
        <v>433</v>
      </c>
      <c r="N1580" t="s">
        <v>434</v>
      </c>
      <c r="O1580" t="s">
        <v>134</v>
      </c>
      <c r="Q1580" t="s">
        <v>240</v>
      </c>
      <c r="R1580" t="s">
        <v>170</v>
      </c>
      <c r="S1580" t="s">
        <v>128</v>
      </c>
      <c r="T1580" t="s">
        <v>137</v>
      </c>
      <c r="U1580" t="s">
        <v>129</v>
      </c>
      <c r="V1580" t="s">
        <v>76</v>
      </c>
      <c r="W1580" s="58">
        <v>43357</v>
      </c>
      <c r="X1580" s="59">
        <v>0.69791666666666663</v>
      </c>
      <c r="Y1580" s="59">
        <v>0.73958333333333337</v>
      </c>
      <c r="Z1580" s="59">
        <v>4.1666666666666664E-2</v>
      </c>
      <c r="AA1580">
        <v>0</v>
      </c>
      <c r="AC1580">
        <v>23</v>
      </c>
      <c r="AD1580">
        <v>8.75</v>
      </c>
      <c r="AE1580" s="59">
        <v>0.69791666666666663</v>
      </c>
      <c r="AF1580" s="59">
        <v>0.73888888888888893</v>
      </c>
      <c r="AG1580">
        <v>8</v>
      </c>
    </row>
    <row r="1581" spans="1:33" x14ac:dyDescent="0.25">
      <c r="A1581" t="s">
        <v>258</v>
      </c>
      <c r="B1581" t="s">
        <v>281</v>
      </c>
      <c r="C1581" t="s">
        <v>282</v>
      </c>
      <c r="E1581" t="s">
        <v>283</v>
      </c>
      <c r="F1581" t="s">
        <v>134</v>
      </c>
      <c r="G1581" t="s">
        <v>218</v>
      </c>
      <c r="H1581" t="s">
        <v>146</v>
      </c>
      <c r="I1581" t="s">
        <v>147</v>
      </c>
      <c r="J1581" t="s">
        <v>426</v>
      </c>
      <c r="K1581" t="s">
        <v>432</v>
      </c>
      <c r="L1581" t="s">
        <v>433</v>
      </c>
      <c r="N1581" t="s">
        <v>434</v>
      </c>
      <c r="O1581" t="s">
        <v>134</v>
      </c>
      <c r="Q1581" t="s">
        <v>240</v>
      </c>
      <c r="R1581" t="s">
        <v>148</v>
      </c>
      <c r="S1581" t="s">
        <v>128</v>
      </c>
      <c r="T1581" t="s">
        <v>137</v>
      </c>
      <c r="U1581" t="s">
        <v>129</v>
      </c>
      <c r="V1581" t="s">
        <v>76</v>
      </c>
      <c r="W1581" s="58">
        <v>43357</v>
      </c>
      <c r="X1581" s="59">
        <v>0.75</v>
      </c>
      <c r="Y1581" s="59">
        <v>0.79166666666666663</v>
      </c>
      <c r="Z1581" s="59">
        <v>4.1666666666666664E-2</v>
      </c>
      <c r="AA1581">
        <v>5</v>
      </c>
      <c r="AB1581">
        <v>3.6886000000000001</v>
      </c>
      <c r="AC1581">
        <v>23</v>
      </c>
      <c r="AD1581">
        <v>8.75</v>
      </c>
      <c r="AE1581" s="59">
        <v>0.75</v>
      </c>
      <c r="AF1581" s="59">
        <v>0.7909722222222223</v>
      </c>
      <c r="AG1581">
        <v>8</v>
      </c>
    </row>
    <row r="1582" spans="1:33" x14ac:dyDescent="0.25">
      <c r="A1582" t="s">
        <v>258</v>
      </c>
      <c r="B1582" t="s">
        <v>342</v>
      </c>
      <c r="C1582" t="s">
        <v>343</v>
      </c>
      <c r="E1582" t="s">
        <v>344</v>
      </c>
      <c r="F1582" t="s">
        <v>134</v>
      </c>
      <c r="H1582" t="s">
        <v>197</v>
      </c>
      <c r="I1582" t="s">
        <v>198</v>
      </c>
      <c r="J1582" t="s">
        <v>426</v>
      </c>
      <c r="K1582" t="s">
        <v>432</v>
      </c>
      <c r="L1582" t="s">
        <v>433</v>
      </c>
      <c r="N1582" t="s">
        <v>434</v>
      </c>
      <c r="O1582" t="s">
        <v>134</v>
      </c>
      <c r="Q1582" t="s">
        <v>240</v>
      </c>
      <c r="R1582" t="s">
        <v>199</v>
      </c>
      <c r="S1582" t="s">
        <v>128</v>
      </c>
      <c r="T1582" t="s">
        <v>137</v>
      </c>
      <c r="U1582" t="s">
        <v>151</v>
      </c>
      <c r="V1582" t="s">
        <v>76</v>
      </c>
      <c r="W1582" s="58">
        <v>43357</v>
      </c>
      <c r="X1582" s="59">
        <v>0.80555555555555547</v>
      </c>
      <c r="Y1582" s="59">
        <v>0.84722222222222221</v>
      </c>
      <c r="Z1582" s="59">
        <v>4.1666666666666664E-2</v>
      </c>
      <c r="AA1582">
        <v>7</v>
      </c>
      <c r="AB1582">
        <v>5.7431999999999999</v>
      </c>
      <c r="AC1582">
        <v>20</v>
      </c>
      <c r="AD1582">
        <v>8.75</v>
      </c>
      <c r="AE1582" s="59">
        <v>0.80555555555555547</v>
      </c>
      <c r="AF1582" s="59">
        <v>0.84652777777777777</v>
      </c>
      <c r="AG1582">
        <v>8</v>
      </c>
    </row>
    <row r="1583" spans="1:33" x14ac:dyDescent="0.25">
      <c r="A1583" t="s">
        <v>274</v>
      </c>
      <c r="B1583" t="s">
        <v>321</v>
      </c>
      <c r="C1583" t="s">
        <v>322</v>
      </c>
      <c r="D1583" t="s">
        <v>323</v>
      </c>
      <c r="E1583" t="s">
        <v>324</v>
      </c>
      <c r="F1583" t="s">
        <v>134</v>
      </c>
      <c r="H1583" t="s">
        <v>184</v>
      </c>
      <c r="I1583" t="s">
        <v>147</v>
      </c>
      <c r="J1583" t="s">
        <v>426</v>
      </c>
      <c r="K1583" t="s">
        <v>432</v>
      </c>
      <c r="L1583" t="s">
        <v>433</v>
      </c>
      <c r="N1583" t="s">
        <v>434</v>
      </c>
      <c r="O1583" t="s">
        <v>134</v>
      </c>
      <c r="Q1583" t="s">
        <v>240</v>
      </c>
      <c r="R1583" t="s">
        <v>185</v>
      </c>
      <c r="S1583" t="s">
        <v>128</v>
      </c>
      <c r="T1583" t="s">
        <v>137</v>
      </c>
      <c r="U1583" t="s">
        <v>151</v>
      </c>
      <c r="V1583" t="s">
        <v>76</v>
      </c>
      <c r="W1583" s="58">
        <v>43357</v>
      </c>
      <c r="X1583" s="59">
        <v>0.85416666666666663</v>
      </c>
      <c r="Y1583" s="59">
        <v>0.88541666666666663</v>
      </c>
      <c r="Z1583" s="59">
        <v>3.125E-2</v>
      </c>
      <c r="AA1583">
        <v>10</v>
      </c>
      <c r="AB1583">
        <v>7.7363999999999997</v>
      </c>
      <c r="AC1583">
        <v>15</v>
      </c>
      <c r="AD1583">
        <v>6.5625</v>
      </c>
      <c r="AE1583" s="59">
        <v>0.85416666666666663</v>
      </c>
      <c r="AF1583" s="59">
        <v>0.8847222222222223</v>
      </c>
      <c r="AG1583">
        <v>8</v>
      </c>
    </row>
    <row r="1584" spans="1:33" x14ac:dyDescent="0.25">
      <c r="A1584" t="s">
        <v>258</v>
      </c>
      <c r="B1584" t="s">
        <v>325</v>
      </c>
      <c r="C1584" t="s">
        <v>326</v>
      </c>
      <c r="E1584" t="s">
        <v>327</v>
      </c>
      <c r="F1584" t="s">
        <v>134</v>
      </c>
      <c r="H1584" t="s">
        <v>182</v>
      </c>
      <c r="I1584" t="s">
        <v>147</v>
      </c>
      <c r="J1584" t="s">
        <v>266</v>
      </c>
      <c r="K1584" t="s">
        <v>435</v>
      </c>
      <c r="L1584" t="s">
        <v>436</v>
      </c>
      <c r="N1584" t="s">
        <v>437</v>
      </c>
      <c r="O1584" t="s">
        <v>134</v>
      </c>
      <c r="Q1584" t="s">
        <v>241</v>
      </c>
      <c r="R1584" t="s">
        <v>183</v>
      </c>
      <c r="S1584" t="s">
        <v>128</v>
      </c>
      <c r="T1584" t="s">
        <v>165</v>
      </c>
      <c r="U1584" t="s">
        <v>129</v>
      </c>
      <c r="V1584" t="s">
        <v>77</v>
      </c>
      <c r="W1584" s="58">
        <v>43309</v>
      </c>
      <c r="X1584" s="59">
        <v>0.36458333333333331</v>
      </c>
      <c r="Y1584" s="59">
        <v>0.40625</v>
      </c>
      <c r="Z1584" s="59">
        <v>4.1666666666666664E-2</v>
      </c>
      <c r="AA1584">
        <v>0</v>
      </c>
      <c r="AC1584">
        <v>23</v>
      </c>
      <c r="AD1584">
        <v>10</v>
      </c>
      <c r="AE1584" s="59">
        <v>0.36458333333333331</v>
      </c>
      <c r="AF1584" s="59">
        <v>0.4055555555555555</v>
      </c>
      <c r="AG1584">
        <v>25</v>
      </c>
    </row>
    <row r="1585" spans="1:33" x14ac:dyDescent="0.25">
      <c r="A1585" t="s">
        <v>274</v>
      </c>
      <c r="B1585" t="s">
        <v>336</v>
      </c>
      <c r="C1585" t="s">
        <v>337</v>
      </c>
      <c r="E1585" t="s">
        <v>338</v>
      </c>
      <c r="F1585" t="s">
        <v>134</v>
      </c>
      <c r="H1585" t="s">
        <v>186</v>
      </c>
      <c r="I1585" t="s">
        <v>147</v>
      </c>
      <c r="J1585" t="s">
        <v>266</v>
      </c>
      <c r="K1585" t="s">
        <v>435</v>
      </c>
      <c r="L1585" t="s">
        <v>436</v>
      </c>
      <c r="N1585" t="s">
        <v>437</v>
      </c>
      <c r="O1585" t="s">
        <v>134</v>
      </c>
      <c r="Q1585" t="s">
        <v>241</v>
      </c>
      <c r="R1585" t="s">
        <v>187</v>
      </c>
      <c r="S1585" t="s">
        <v>128</v>
      </c>
      <c r="T1585" t="s">
        <v>165</v>
      </c>
      <c r="U1585" t="s">
        <v>174</v>
      </c>
      <c r="V1585" t="s">
        <v>72</v>
      </c>
      <c r="W1585" s="58">
        <v>43311</v>
      </c>
      <c r="X1585" s="59">
        <v>0.38194444444444442</v>
      </c>
      <c r="Y1585" s="59">
        <v>0.4236111111111111</v>
      </c>
      <c r="Z1585" s="59">
        <v>4.1666666666666664E-2</v>
      </c>
      <c r="AA1585">
        <v>0</v>
      </c>
      <c r="AD1585">
        <v>9</v>
      </c>
      <c r="AE1585" s="59">
        <v>0.38194444444444442</v>
      </c>
      <c r="AF1585" s="59">
        <v>0.42291666666666666</v>
      </c>
      <c r="AG1585">
        <v>25</v>
      </c>
    </row>
    <row r="1586" spans="1:33" x14ac:dyDescent="0.25">
      <c r="A1586" t="s">
        <v>258</v>
      </c>
      <c r="B1586" t="s">
        <v>262</v>
      </c>
      <c r="C1586" t="s">
        <v>263</v>
      </c>
      <c r="D1586" t="s">
        <v>264</v>
      </c>
      <c r="E1586" t="s">
        <v>265</v>
      </c>
      <c r="F1586" t="s">
        <v>134</v>
      </c>
      <c r="H1586" t="s">
        <v>132</v>
      </c>
      <c r="I1586" t="s">
        <v>133</v>
      </c>
      <c r="J1586" t="s">
        <v>266</v>
      </c>
      <c r="K1586" t="s">
        <v>435</v>
      </c>
      <c r="L1586" t="s">
        <v>436</v>
      </c>
      <c r="N1586" t="s">
        <v>437</v>
      </c>
      <c r="O1586" t="s">
        <v>134</v>
      </c>
      <c r="Q1586" t="s">
        <v>241</v>
      </c>
      <c r="R1586" t="s">
        <v>136</v>
      </c>
      <c r="S1586" t="s">
        <v>128</v>
      </c>
      <c r="T1586" t="s">
        <v>165</v>
      </c>
      <c r="U1586" t="s">
        <v>129</v>
      </c>
      <c r="V1586" t="s">
        <v>72</v>
      </c>
      <c r="W1586" s="58">
        <v>43311</v>
      </c>
      <c r="X1586" s="59">
        <v>0.66666666666666663</v>
      </c>
      <c r="Y1586" s="59">
        <v>0.70833333333333337</v>
      </c>
      <c r="Z1586" s="59">
        <v>4.1666666666666664E-2</v>
      </c>
      <c r="AA1586">
        <v>0</v>
      </c>
      <c r="AC1586">
        <v>23</v>
      </c>
      <c r="AD1586">
        <v>9</v>
      </c>
      <c r="AE1586" s="59">
        <v>0.66666666666666663</v>
      </c>
      <c r="AF1586" s="59">
        <v>0.70763888888888893</v>
      </c>
      <c r="AG1586">
        <v>25</v>
      </c>
    </row>
    <row r="1587" spans="1:33" x14ac:dyDescent="0.25">
      <c r="A1587" t="s">
        <v>258</v>
      </c>
      <c r="B1587" t="s">
        <v>299</v>
      </c>
      <c r="C1587" t="s">
        <v>300</v>
      </c>
      <c r="D1587" t="s">
        <v>301</v>
      </c>
      <c r="E1587" t="s">
        <v>302</v>
      </c>
      <c r="F1587" t="s">
        <v>303</v>
      </c>
      <c r="H1587" t="s">
        <v>166</v>
      </c>
      <c r="I1587" t="s">
        <v>142</v>
      </c>
      <c r="J1587" t="s">
        <v>266</v>
      </c>
      <c r="K1587" t="s">
        <v>435</v>
      </c>
      <c r="L1587" t="s">
        <v>436</v>
      </c>
      <c r="N1587" t="s">
        <v>437</v>
      </c>
      <c r="O1587" t="s">
        <v>134</v>
      </c>
      <c r="Q1587" t="s">
        <v>241</v>
      </c>
      <c r="R1587" t="s">
        <v>167</v>
      </c>
      <c r="S1587" t="s">
        <v>128</v>
      </c>
      <c r="T1587" t="s">
        <v>165</v>
      </c>
      <c r="U1587" t="s">
        <v>129</v>
      </c>
      <c r="V1587" t="s">
        <v>73</v>
      </c>
      <c r="W1587" s="58">
        <v>43312</v>
      </c>
      <c r="X1587" s="59">
        <v>0.30208333333333331</v>
      </c>
      <c r="Y1587" s="59">
        <v>0.34375</v>
      </c>
      <c r="Z1587" s="59">
        <v>4.1666666666666664E-2</v>
      </c>
      <c r="AA1587">
        <v>0</v>
      </c>
      <c r="AC1587">
        <v>23</v>
      </c>
      <c r="AD1587">
        <v>9</v>
      </c>
      <c r="AE1587" s="59">
        <v>0.30208333333333331</v>
      </c>
      <c r="AF1587" s="59">
        <v>0.3430555555555555</v>
      </c>
      <c r="AG1587">
        <v>25</v>
      </c>
    </row>
    <row r="1588" spans="1:33" x14ac:dyDescent="0.25">
      <c r="A1588" t="s">
        <v>258</v>
      </c>
      <c r="B1588" t="s">
        <v>259</v>
      </c>
      <c r="C1588" t="s">
        <v>260</v>
      </c>
      <c r="E1588" t="s">
        <v>261</v>
      </c>
      <c r="F1588" t="s">
        <v>134</v>
      </c>
      <c r="H1588" t="s">
        <v>130</v>
      </c>
      <c r="I1588" t="s">
        <v>127</v>
      </c>
      <c r="J1588" t="s">
        <v>266</v>
      </c>
      <c r="K1588" t="s">
        <v>435</v>
      </c>
      <c r="L1588" t="s">
        <v>436</v>
      </c>
      <c r="N1588" t="s">
        <v>437</v>
      </c>
      <c r="O1588" t="s">
        <v>134</v>
      </c>
      <c r="Q1588" t="s">
        <v>241</v>
      </c>
      <c r="R1588" t="s">
        <v>131</v>
      </c>
      <c r="S1588" t="s">
        <v>128</v>
      </c>
      <c r="T1588" t="s">
        <v>165</v>
      </c>
      <c r="U1588" t="s">
        <v>129</v>
      </c>
      <c r="V1588" t="s">
        <v>73</v>
      </c>
      <c r="W1588" s="58">
        <v>43312</v>
      </c>
      <c r="X1588" s="59">
        <v>0.36458333333333331</v>
      </c>
      <c r="Y1588" s="59">
        <v>0.40625</v>
      </c>
      <c r="Z1588" s="59">
        <v>4.1666666666666664E-2</v>
      </c>
      <c r="AA1588">
        <v>0</v>
      </c>
      <c r="AB1588">
        <v>4.9194000000000004</v>
      </c>
      <c r="AC1588">
        <v>23</v>
      </c>
      <c r="AD1588">
        <v>9</v>
      </c>
      <c r="AE1588" s="59">
        <v>0.36458333333333331</v>
      </c>
      <c r="AF1588" s="59">
        <v>0.4055555555555555</v>
      </c>
      <c r="AG1588">
        <v>25</v>
      </c>
    </row>
    <row r="1589" spans="1:33" x14ac:dyDescent="0.25">
      <c r="A1589" t="s">
        <v>258</v>
      </c>
      <c r="B1589" t="s">
        <v>310</v>
      </c>
      <c r="C1589" t="s">
        <v>311</v>
      </c>
      <c r="D1589" t="s">
        <v>312</v>
      </c>
      <c r="E1589" t="s">
        <v>313</v>
      </c>
      <c r="F1589" t="s">
        <v>134</v>
      </c>
      <c r="H1589" t="s">
        <v>175</v>
      </c>
      <c r="I1589" t="s">
        <v>127</v>
      </c>
      <c r="J1589" t="s">
        <v>266</v>
      </c>
      <c r="K1589" t="s">
        <v>435</v>
      </c>
      <c r="L1589" t="s">
        <v>436</v>
      </c>
      <c r="N1589" t="s">
        <v>437</v>
      </c>
      <c r="O1589" t="s">
        <v>134</v>
      </c>
      <c r="Q1589" t="s">
        <v>241</v>
      </c>
      <c r="R1589" t="s">
        <v>176</v>
      </c>
      <c r="S1589" t="s">
        <v>128</v>
      </c>
      <c r="T1589" t="s">
        <v>165</v>
      </c>
      <c r="U1589" t="s">
        <v>151</v>
      </c>
      <c r="V1589" t="s">
        <v>73</v>
      </c>
      <c r="W1589" s="58">
        <v>43312</v>
      </c>
      <c r="X1589" s="59">
        <v>0.40625</v>
      </c>
      <c r="Y1589" s="59">
        <v>0.44791666666666669</v>
      </c>
      <c r="Z1589" s="59">
        <v>4.1666666666666664E-2</v>
      </c>
      <c r="AA1589">
        <v>0</v>
      </c>
      <c r="AB1589">
        <v>0.3296</v>
      </c>
      <c r="AC1589">
        <v>20</v>
      </c>
      <c r="AD1589">
        <v>9</v>
      </c>
      <c r="AE1589" s="59">
        <v>0.40625</v>
      </c>
      <c r="AF1589" s="59">
        <v>0.44722222222222219</v>
      </c>
      <c r="AG1589">
        <v>25</v>
      </c>
    </row>
    <row r="1590" spans="1:33" x14ac:dyDescent="0.25">
      <c r="A1590" t="s">
        <v>258</v>
      </c>
      <c r="B1590" t="s">
        <v>262</v>
      </c>
      <c r="C1590" t="s">
        <v>263</v>
      </c>
      <c r="D1590" t="s">
        <v>264</v>
      </c>
      <c r="E1590" t="s">
        <v>265</v>
      </c>
      <c r="F1590" t="s">
        <v>134</v>
      </c>
      <c r="H1590" t="s">
        <v>132</v>
      </c>
      <c r="I1590" t="s">
        <v>133</v>
      </c>
      <c r="J1590" t="s">
        <v>266</v>
      </c>
      <c r="K1590" t="s">
        <v>435</v>
      </c>
      <c r="L1590" t="s">
        <v>436</v>
      </c>
      <c r="N1590" t="s">
        <v>437</v>
      </c>
      <c r="O1590" t="s">
        <v>134</v>
      </c>
      <c r="Q1590" t="s">
        <v>241</v>
      </c>
      <c r="R1590" t="s">
        <v>136</v>
      </c>
      <c r="S1590" t="s">
        <v>128</v>
      </c>
      <c r="T1590" t="s">
        <v>165</v>
      </c>
      <c r="U1590" t="s">
        <v>129</v>
      </c>
      <c r="V1590" t="s">
        <v>73</v>
      </c>
      <c r="W1590" s="58">
        <v>43312</v>
      </c>
      <c r="X1590" s="59">
        <v>0.66666666666666663</v>
      </c>
      <c r="Y1590" s="59">
        <v>0.70833333333333337</v>
      </c>
      <c r="Z1590" s="59">
        <v>4.1666666666666664E-2</v>
      </c>
      <c r="AA1590">
        <v>0</v>
      </c>
      <c r="AC1590">
        <v>23</v>
      </c>
      <c r="AD1590">
        <v>9</v>
      </c>
      <c r="AE1590" s="59">
        <v>0.66666666666666663</v>
      </c>
      <c r="AF1590" s="59">
        <v>0.70763888888888893</v>
      </c>
      <c r="AG1590">
        <v>25</v>
      </c>
    </row>
    <row r="1591" spans="1:33" x14ac:dyDescent="0.25">
      <c r="A1591" t="s">
        <v>258</v>
      </c>
      <c r="B1591" t="s">
        <v>270</v>
      </c>
      <c r="C1591" t="s">
        <v>271</v>
      </c>
      <c r="D1591" t="s">
        <v>272</v>
      </c>
      <c r="E1591" t="s">
        <v>273</v>
      </c>
      <c r="F1591" t="s">
        <v>134</v>
      </c>
      <c r="H1591" t="s">
        <v>138</v>
      </c>
      <c r="I1591" t="s">
        <v>139</v>
      </c>
      <c r="J1591" t="s">
        <v>266</v>
      </c>
      <c r="K1591" t="s">
        <v>435</v>
      </c>
      <c r="L1591" t="s">
        <v>436</v>
      </c>
      <c r="N1591" t="s">
        <v>437</v>
      </c>
      <c r="O1591" t="s">
        <v>134</v>
      </c>
      <c r="Q1591" t="s">
        <v>241</v>
      </c>
      <c r="R1591" t="s">
        <v>140</v>
      </c>
      <c r="S1591" t="s">
        <v>128</v>
      </c>
      <c r="T1591" t="s">
        <v>165</v>
      </c>
      <c r="U1591" t="s">
        <v>129</v>
      </c>
      <c r="V1591" t="s">
        <v>74</v>
      </c>
      <c r="W1591" s="58">
        <v>43313</v>
      </c>
      <c r="X1591" s="59">
        <v>0.3263888888888889</v>
      </c>
      <c r="Y1591" s="59">
        <v>0.36805555555555558</v>
      </c>
      <c r="Z1591" s="59">
        <v>4.1666666666666664E-2</v>
      </c>
      <c r="AA1591">
        <v>0</v>
      </c>
      <c r="AC1591">
        <v>23</v>
      </c>
      <c r="AD1591">
        <v>9</v>
      </c>
      <c r="AE1591" s="59">
        <v>0.3263888888888889</v>
      </c>
      <c r="AF1591" s="59">
        <v>0.36736111111111108</v>
      </c>
      <c r="AG1591">
        <v>25</v>
      </c>
    </row>
    <row r="1592" spans="1:33" x14ac:dyDescent="0.25">
      <c r="A1592" t="s">
        <v>258</v>
      </c>
      <c r="B1592" t="s">
        <v>262</v>
      </c>
      <c r="C1592" t="s">
        <v>263</v>
      </c>
      <c r="D1592" t="s">
        <v>264</v>
      </c>
      <c r="E1592" t="s">
        <v>265</v>
      </c>
      <c r="F1592" t="s">
        <v>134</v>
      </c>
      <c r="H1592" t="s">
        <v>132</v>
      </c>
      <c r="I1592" t="s">
        <v>133</v>
      </c>
      <c r="J1592" t="s">
        <v>266</v>
      </c>
      <c r="K1592" t="s">
        <v>435</v>
      </c>
      <c r="L1592" t="s">
        <v>436</v>
      </c>
      <c r="N1592" t="s">
        <v>437</v>
      </c>
      <c r="O1592" t="s">
        <v>134</v>
      </c>
      <c r="Q1592" t="s">
        <v>241</v>
      </c>
      <c r="R1592" t="s">
        <v>136</v>
      </c>
      <c r="S1592" t="s">
        <v>128</v>
      </c>
      <c r="T1592" t="s">
        <v>165</v>
      </c>
      <c r="U1592" t="s">
        <v>129</v>
      </c>
      <c r="V1592" t="s">
        <v>74</v>
      </c>
      <c r="W1592" s="58">
        <v>43313</v>
      </c>
      <c r="X1592" s="59">
        <v>0.38541666666666669</v>
      </c>
      <c r="Y1592" s="59">
        <v>0.42708333333333331</v>
      </c>
      <c r="Z1592" s="59">
        <v>4.1666666666666664E-2</v>
      </c>
      <c r="AA1592">
        <v>0</v>
      </c>
      <c r="AB1592">
        <v>2.3898000000000001</v>
      </c>
      <c r="AC1592">
        <v>23</v>
      </c>
      <c r="AD1592">
        <v>9</v>
      </c>
      <c r="AE1592" s="59">
        <v>0.38541666666666669</v>
      </c>
      <c r="AF1592" s="59">
        <v>0.42638888888888887</v>
      </c>
      <c r="AG1592">
        <v>25</v>
      </c>
    </row>
    <row r="1593" spans="1:33" x14ac:dyDescent="0.25">
      <c r="A1593" t="s">
        <v>274</v>
      </c>
      <c r="B1593" t="s">
        <v>336</v>
      </c>
      <c r="C1593" t="s">
        <v>337</v>
      </c>
      <c r="E1593" t="s">
        <v>338</v>
      </c>
      <c r="F1593" t="s">
        <v>134</v>
      </c>
      <c r="H1593" t="s">
        <v>186</v>
      </c>
      <c r="I1593" t="s">
        <v>147</v>
      </c>
      <c r="J1593" t="s">
        <v>266</v>
      </c>
      <c r="K1593" t="s">
        <v>435</v>
      </c>
      <c r="L1593" t="s">
        <v>436</v>
      </c>
      <c r="N1593" t="s">
        <v>437</v>
      </c>
      <c r="O1593" t="s">
        <v>134</v>
      </c>
      <c r="Q1593" t="s">
        <v>241</v>
      </c>
      <c r="R1593" t="s">
        <v>187</v>
      </c>
      <c r="S1593" t="s">
        <v>128</v>
      </c>
      <c r="T1593" t="s">
        <v>165</v>
      </c>
      <c r="U1593" t="s">
        <v>151</v>
      </c>
      <c r="V1593" t="s">
        <v>74</v>
      </c>
      <c r="W1593" s="58">
        <v>43313</v>
      </c>
      <c r="X1593" s="59">
        <v>0.46736111111111112</v>
      </c>
      <c r="Y1593" s="59">
        <v>0.55069444444444449</v>
      </c>
      <c r="Z1593" s="59">
        <v>8.3333333333333329E-2</v>
      </c>
      <c r="AA1593">
        <v>0</v>
      </c>
      <c r="AB1593">
        <v>12.5852</v>
      </c>
      <c r="AC1593">
        <v>40</v>
      </c>
      <c r="AD1593">
        <v>18</v>
      </c>
      <c r="AE1593" s="59">
        <v>0.46736111111111112</v>
      </c>
      <c r="AF1593" s="59">
        <v>0.54999999999999993</v>
      </c>
      <c r="AG1593">
        <v>25</v>
      </c>
    </row>
    <row r="1594" spans="1:33" x14ac:dyDescent="0.25">
      <c r="A1594" t="s">
        <v>258</v>
      </c>
      <c r="B1594" t="s">
        <v>262</v>
      </c>
      <c r="C1594" t="s">
        <v>263</v>
      </c>
      <c r="D1594" t="s">
        <v>264</v>
      </c>
      <c r="E1594" t="s">
        <v>265</v>
      </c>
      <c r="F1594" t="s">
        <v>134</v>
      </c>
      <c r="H1594" t="s">
        <v>132</v>
      </c>
      <c r="I1594" t="s">
        <v>133</v>
      </c>
      <c r="J1594" t="s">
        <v>266</v>
      </c>
      <c r="K1594" t="s">
        <v>435</v>
      </c>
      <c r="L1594" t="s">
        <v>436</v>
      </c>
      <c r="N1594" t="s">
        <v>437</v>
      </c>
      <c r="O1594" t="s">
        <v>134</v>
      </c>
      <c r="Q1594" t="s">
        <v>241</v>
      </c>
      <c r="R1594" t="s">
        <v>136</v>
      </c>
      <c r="S1594" t="s">
        <v>128</v>
      </c>
      <c r="T1594" t="s">
        <v>165</v>
      </c>
      <c r="U1594" t="s">
        <v>129</v>
      </c>
      <c r="V1594" t="s">
        <v>74</v>
      </c>
      <c r="W1594" s="58">
        <v>43313</v>
      </c>
      <c r="X1594" s="59">
        <v>0.66666666666666663</v>
      </c>
      <c r="Y1594" s="59">
        <v>0.70833333333333337</v>
      </c>
      <c r="Z1594" s="59">
        <v>4.1666666666666664E-2</v>
      </c>
      <c r="AA1594">
        <v>0</v>
      </c>
      <c r="AB1594">
        <v>12.617000000000001</v>
      </c>
      <c r="AC1594">
        <v>23</v>
      </c>
      <c r="AD1594">
        <v>9</v>
      </c>
      <c r="AE1594" s="59">
        <v>0.66666666666666663</v>
      </c>
      <c r="AF1594" s="59">
        <v>0.70763888888888893</v>
      </c>
      <c r="AG1594">
        <v>25</v>
      </c>
    </row>
    <row r="1595" spans="1:33" x14ac:dyDescent="0.25">
      <c r="A1595" t="s">
        <v>258</v>
      </c>
      <c r="B1595" t="s">
        <v>314</v>
      </c>
      <c r="C1595" t="s">
        <v>315</v>
      </c>
      <c r="D1595">
        <v>72</v>
      </c>
      <c r="E1595" t="s">
        <v>316</v>
      </c>
      <c r="F1595" t="s">
        <v>317</v>
      </c>
      <c r="G1595" t="s">
        <v>218</v>
      </c>
      <c r="H1595" t="s">
        <v>168</v>
      </c>
      <c r="I1595" t="s">
        <v>169</v>
      </c>
      <c r="J1595" t="s">
        <v>266</v>
      </c>
      <c r="K1595" t="s">
        <v>435</v>
      </c>
      <c r="L1595" t="s">
        <v>436</v>
      </c>
      <c r="N1595" t="s">
        <v>437</v>
      </c>
      <c r="O1595" t="s">
        <v>134</v>
      </c>
      <c r="Q1595" t="s">
        <v>241</v>
      </c>
      <c r="R1595" t="s">
        <v>170</v>
      </c>
      <c r="S1595" t="s">
        <v>128</v>
      </c>
      <c r="T1595" t="s">
        <v>165</v>
      </c>
      <c r="U1595" t="s">
        <v>129</v>
      </c>
      <c r="V1595" t="s">
        <v>75</v>
      </c>
      <c r="W1595" s="58">
        <v>43314</v>
      </c>
      <c r="X1595" s="59">
        <v>0.33333333333333331</v>
      </c>
      <c r="Y1595" s="59">
        <v>0.35416666666666669</v>
      </c>
      <c r="Z1595" s="59">
        <v>2.0833333333333332E-2</v>
      </c>
      <c r="AA1595">
        <v>0</v>
      </c>
      <c r="AC1595">
        <v>11.5</v>
      </c>
      <c r="AD1595">
        <v>4.5</v>
      </c>
      <c r="AE1595" s="59">
        <v>0.33333333333333331</v>
      </c>
      <c r="AF1595" s="59">
        <v>0.35347222222222219</v>
      </c>
      <c r="AG1595">
        <v>25</v>
      </c>
    </row>
    <row r="1596" spans="1:33" x14ac:dyDescent="0.25">
      <c r="A1596" t="s">
        <v>258</v>
      </c>
      <c r="B1596" t="s">
        <v>259</v>
      </c>
      <c r="C1596" t="s">
        <v>260</v>
      </c>
      <c r="E1596" t="s">
        <v>261</v>
      </c>
      <c r="F1596" t="s">
        <v>134</v>
      </c>
      <c r="H1596" t="s">
        <v>130</v>
      </c>
      <c r="I1596" t="s">
        <v>127</v>
      </c>
      <c r="J1596" t="s">
        <v>266</v>
      </c>
      <c r="K1596" t="s">
        <v>435</v>
      </c>
      <c r="L1596" t="s">
        <v>436</v>
      </c>
      <c r="N1596" t="s">
        <v>437</v>
      </c>
      <c r="O1596" t="s">
        <v>134</v>
      </c>
      <c r="Q1596" t="s">
        <v>241</v>
      </c>
      <c r="R1596" t="s">
        <v>131</v>
      </c>
      <c r="S1596" t="s">
        <v>128</v>
      </c>
      <c r="T1596" t="s">
        <v>165</v>
      </c>
      <c r="U1596" t="s">
        <v>129</v>
      </c>
      <c r="V1596" t="s">
        <v>75</v>
      </c>
      <c r="W1596" s="58">
        <v>43314</v>
      </c>
      <c r="X1596" s="59">
        <v>0.36458333333333331</v>
      </c>
      <c r="Y1596" s="59">
        <v>0.40625</v>
      </c>
      <c r="Z1596" s="59">
        <v>4.1666666666666664E-2</v>
      </c>
      <c r="AA1596">
        <v>0</v>
      </c>
      <c r="AB1596">
        <v>1.6512</v>
      </c>
      <c r="AC1596">
        <v>23</v>
      </c>
      <c r="AD1596">
        <v>9</v>
      </c>
      <c r="AE1596" s="59">
        <v>0.36458333333333331</v>
      </c>
      <c r="AF1596" s="59">
        <v>0.4055555555555555</v>
      </c>
      <c r="AG1596">
        <v>25</v>
      </c>
    </row>
    <row r="1597" spans="1:33" x14ac:dyDescent="0.25">
      <c r="A1597" t="s">
        <v>258</v>
      </c>
      <c r="B1597" t="s">
        <v>310</v>
      </c>
      <c r="C1597" t="s">
        <v>311</v>
      </c>
      <c r="D1597" t="s">
        <v>312</v>
      </c>
      <c r="E1597" t="s">
        <v>313</v>
      </c>
      <c r="F1597" t="s">
        <v>134</v>
      </c>
      <c r="H1597" t="s">
        <v>175</v>
      </c>
      <c r="I1597" t="s">
        <v>127</v>
      </c>
      <c r="J1597" t="s">
        <v>266</v>
      </c>
      <c r="K1597" t="s">
        <v>435</v>
      </c>
      <c r="L1597" t="s">
        <v>436</v>
      </c>
      <c r="N1597" t="s">
        <v>437</v>
      </c>
      <c r="O1597" t="s">
        <v>134</v>
      </c>
      <c r="Q1597" t="s">
        <v>241</v>
      </c>
      <c r="R1597" t="s">
        <v>176</v>
      </c>
      <c r="S1597" t="s">
        <v>128</v>
      </c>
      <c r="T1597" t="s">
        <v>165</v>
      </c>
      <c r="U1597" t="s">
        <v>151</v>
      </c>
      <c r="V1597" t="s">
        <v>75</v>
      </c>
      <c r="W1597" s="58">
        <v>43314</v>
      </c>
      <c r="X1597" s="59">
        <v>0.40972222222222227</v>
      </c>
      <c r="Y1597" s="59">
        <v>0.4513888888888889</v>
      </c>
      <c r="Z1597" s="59">
        <v>4.1666666666666664E-2</v>
      </c>
      <c r="AA1597">
        <v>0</v>
      </c>
      <c r="AB1597">
        <v>0.3296</v>
      </c>
      <c r="AC1597">
        <v>20</v>
      </c>
      <c r="AD1597">
        <v>9</v>
      </c>
      <c r="AE1597" s="59">
        <v>0.40972222222222227</v>
      </c>
      <c r="AF1597" s="59">
        <v>0.45069444444444445</v>
      </c>
      <c r="AG1597">
        <v>25</v>
      </c>
    </row>
    <row r="1598" spans="1:33" x14ac:dyDescent="0.25">
      <c r="A1598" t="s">
        <v>258</v>
      </c>
      <c r="B1598" t="s">
        <v>314</v>
      </c>
      <c r="C1598" t="s">
        <v>315</v>
      </c>
      <c r="D1598">
        <v>72</v>
      </c>
      <c r="E1598" t="s">
        <v>316</v>
      </c>
      <c r="F1598" t="s">
        <v>317</v>
      </c>
      <c r="G1598" t="s">
        <v>218</v>
      </c>
      <c r="H1598" t="s">
        <v>168</v>
      </c>
      <c r="I1598" t="s">
        <v>169</v>
      </c>
      <c r="J1598" t="s">
        <v>266</v>
      </c>
      <c r="K1598" t="s">
        <v>435</v>
      </c>
      <c r="L1598" t="s">
        <v>436</v>
      </c>
      <c r="N1598" t="s">
        <v>437</v>
      </c>
      <c r="O1598" t="s">
        <v>134</v>
      </c>
      <c r="Q1598" t="s">
        <v>241</v>
      </c>
      <c r="R1598" t="s">
        <v>170</v>
      </c>
      <c r="S1598" t="s">
        <v>128</v>
      </c>
      <c r="T1598" t="s">
        <v>165</v>
      </c>
      <c r="U1598" t="s">
        <v>129</v>
      </c>
      <c r="V1598" t="s">
        <v>75</v>
      </c>
      <c r="W1598" s="58">
        <v>43314</v>
      </c>
      <c r="X1598" s="59">
        <v>0.69791666666666663</v>
      </c>
      <c r="Y1598" s="59">
        <v>0.73958333333333337</v>
      </c>
      <c r="Z1598" s="59">
        <v>4.1666666666666664E-2</v>
      </c>
      <c r="AA1598">
        <v>0</v>
      </c>
      <c r="AC1598">
        <v>23</v>
      </c>
      <c r="AD1598">
        <v>9</v>
      </c>
      <c r="AE1598" s="59">
        <v>0.69791666666666663</v>
      </c>
      <c r="AF1598" s="59">
        <v>0.73888888888888893</v>
      </c>
      <c r="AG1598">
        <v>25</v>
      </c>
    </row>
    <row r="1599" spans="1:33" x14ac:dyDescent="0.25">
      <c r="A1599" t="s">
        <v>258</v>
      </c>
      <c r="B1599" t="s">
        <v>310</v>
      </c>
      <c r="C1599" t="s">
        <v>311</v>
      </c>
      <c r="D1599" t="s">
        <v>312</v>
      </c>
      <c r="E1599" t="s">
        <v>313</v>
      </c>
      <c r="F1599" t="s">
        <v>134</v>
      </c>
      <c r="H1599" t="s">
        <v>175</v>
      </c>
      <c r="I1599" t="s">
        <v>127</v>
      </c>
      <c r="J1599" t="s">
        <v>266</v>
      </c>
      <c r="K1599" t="s">
        <v>435</v>
      </c>
      <c r="L1599" t="s">
        <v>436</v>
      </c>
      <c r="N1599" t="s">
        <v>437</v>
      </c>
      <c r="O1599" t="s">
        <v>134</v>
      </c>
      <c r="Q1599" t="s">
        <v>241</v>
      </c>
      <c r="R1599" t="s">
        <v>176</v>
      </c>
      <c r="S1599" t="s">
        <v>128</v>
      </c>
      <c r="T1599" t="s">
        <v>165</v>
      </c>
      <c r="U1599" t="s">
        <v>151</v>
      </c>
      <c r="V1599" t="s">
        <v>76</v>
      </c>
      <c r="W1599" s="58">
        <v>43315</v>
      </c>
      <c r="X1599" s="59">
        <v>0.375</v>
      </c>
      <c r="Y1599" s="59">
        <v>0.45833333333333331</v>
      </c>
      <c r="Z1599" s="59">
        <v>8.3333333333333329E-2</v>
      </c>
      <c r="AA1599">
        <v>0</v>
      </c>
      <c r="AC1599">
        <v>40</v>
      </c>
      <c r="AD1599">
        <v>18</v>
      </c>
      <c r="AE1599" s="59">
        <v>0.375</v>
      </c>
      <c r="AF1599" s="59">
        <v>0.45763888888888887</v>
      </c>
      <c r="AG1599">
        <v>25</v>
      </c>
    </row>
    <row r="1600" spans="1:33" x14ac:dyDescent="0.25">
      <c r="A1600" t="s">
        <v>274</v>
      </c>
      <c r="B1600" t="s">
        <v>328</v>
      </c>
      <c r="C1600" t="s">
        <v>329</v>
      </c>
      <c r="D1600">
        <v>5</v>
      </c>
      <c r="E1600" t="s">
        <v>330</v>
      </c>
      <c r="F1600" t="s">
        <v>134</v>
      </c>
      <c r="G1600" t="s">
        <v>218</v>
      </c>
      <c r="H1600" t="s">
        <v>188</v>
      </c>
      <c r="I1600" t="s">
        <v>189</v>
      </c>
      <c r="J1600" t="s">
        <v>266</v>
      </c>
      <c r="K1600" t="s">
        <v>435</v>
      </c>
      <c r="L1600" t="s">
        <v>436</v>
      </c>
      <c r="N1600" t="s">
        <v>437</v>
      </c>
      <c r="O1600" t="s">
        <v>134</v>
      </c>
      <c r="Q1600" t="s">
        <v>241</v>
      </c>
      <c r="R1600" t="s">
        <v>190</v>
      </c>
      <c r="S1600" t="s">
        <v>128</v>
      </c>
      <c r="T1600" t="s">
        <v>165</v>
      </c>
      <c r="U1600" t="s">
        <v>151</v>
      </c>
      <c r="V1600" t="s">
        <v>76</v>
      </c>
      <c r="W1600" s="58">
        <v>43315</v>
      </c>
      <c r="X1600" s="59">
        <v>0.54166666666666663</v>
      </c>
      <c r="Y1600" s="59">
        <v>0.66666666666666663</v>
      </c>
      <c r="Z1600" s="59">
        <v>0.125</v>
      </c>
      <c r="AA1600">
        <v>0</v>
      </c>
      <c r="AB1600">
        <v>3.0886</v>
      </c>
      <c r="AC1600">
        <v>60</v>
      </c>
      <c r="AD1600">
        <v>27</v>
      </c>
      <c r="AE1600" s="59">
        <v>0.54166666666666663</v>
      </c>
      <c r="AF1600" s="59">
        <v>0.66597222222222219</v>
      </c>
      <c r="AG1600">
        <v>25</v>
      </c>
    </row>
    <row r="1601" spans="1:33" x14ac:dyDescent="0.25">
      <c r="A1601" t="s">
        <v>258</v>
      </c>
      <c r="B1601" t="s">
        <v>262</v>
      </c>
      <c r="C1601" t="s">
        <v>263</v>
      </c>
      <c r="D1601" t="s">
        <v>264</v>
      </c>
      <c r="E1601" t="s">
        <v>265</v>
      </c>
      <c r="F1601" t="s">
        <v>134</v>
      </c>
      <c r="H1601" t="s">
        <v>132</v>
      </c>
      <c r="I1601" t="s">
        <v>133</v>
      </c>
      <c r="J1601" t="s">
        <v>266</v>
      </c>
      <c r="K1601" t="s">
        <v>435</v>
      </c>
      <c r="L1601" t="s">
        <v>436</v>
      </c>
      <c r="N1601" t="s">
        <v>437</v>
      </c>
      <c r="O1601" t="s">
        <v>134</v>
      </c>
      <c r="Q1601" t="s">
        <v>241</v>
      </c>
      <c r="R1601" t="s">
        <v>136</v>
      </c>
      <c r="S1601" t="s">
        <v>128</v>
      </c>
      <c r="T1601" t="s">
        <v>165</v>
      </c>
      <c r="U1601" t="s">
        <v>129</v>
      </c>
      <c r="V1601" t="s">
        <v>77</v>
      </c>
      <c r="W1601" s="58">
        <v>43316</v>
      </c>
      <c r="X1601" s="59">
        <v>0.35416666666666669</v>
      </c>
      <c r="Y1601" s="59">
        <v>0.39583333333333331</v>
      </c>
      <c r="Z1601" s="59">
        <v>4.1666666666666664E-2</v>
      </c>
      <c r="AA1601">
        <v>0</v>
      </c>
      <c r="AC1601">
        <v>23</v>
      </c>
      <c r="AD1601">
        <v>10</v>
      </c>
      <c r="AE1601" s="59">
        <v>0.35416666666666669</v>
      </c>
      <c r="AF1601" s="59">
        <v>0.39513888888888887</v>
      </c>
      <c r="AG1601">
        <v>25</v>
      </c>
    </row>
    <row r="1602" spans="1:33" x14ac:dyDescent="0.25">
      <c r="A1602" t="s">
        <v>258</v>
      </c>
      <c r="B1602" t="s">
        <v>284</v>
      </c>
      <c r="C1602" t="s">
        <v>285</v>
      </c>
      <c r="E1602" t="s">
        <v>286</v>
      </c>
      <c r="F1602" t="s">
        <v>134</v>
      </c>
      <c r="H1602" t="s">
        <v>149</v>
      </c>
      <c r="I1602" t="s">
        <v>127</v>
      </c>
      <c r="J1602" t="s">
        <v>266</v>
      </c>
      <c r="K1602" t="s">
        <v>435</v>
      </c>
      <c r="L1602" t="s">
        <v>436</v>
      </c>
      <c r="N1602" t="s">
        <v>437</v>
      </c>
      <c r="O1602" t="s">
        <v>134</v>
      </c>
      <c r="Q1602" t="s">
        <v>241</v>
      </c>
      <c r="R1602" t="s">
        <v>150</v>
      </c>
      <c r="S1602" t="s">
        <v>128</v>
      </c>
      <c r="T1602" t="s">
        <v>165</v>
      </c>
      <c r="U1602" t="s">
        <v>151</v>
      </c>
      <c r="V1602" t="s">
        <v>72</v>
      </c>
      <c r="W1602" s="58">
        <v>43318</v>
      </c>
      <c r="X1602" s="59">
        <v>0.35416666666666669</v>
      </c>
      <c r="Y1602" s="59">
        <v>0.39583333333333331</v>
      </c>
      <c r="Z1602" s="59">
        <v>4.1666666666666664E-2</v>
      </c>
      <c r="AA1602">
        <v>0</v>
      </c>
      <c r="AC1602">
        <v>20</v>
      </c>
      <c r="AD1602">
        <v>9</v>
      </c>
      <c r="AE1602" s="59">
        <v>0.35416666666666669</v>
      </c>
      <c r="AF1602" s="59">
        <v>0.39513888888888887</v>
      </c>
      <c r="AG1602">
        <v>25</v>
      </c>
    </row>
    <row r="1603" spans="1:33" x14ac:dyDescent="0.25">
      <c r="A1603" t="s">
        <v>258</v>
      </c>
      <c r="B1603" t="s">
        <v>287</v>
      </c>
      <c r="C1603" t="s">
        <v>288</v>
      </c>
      <c r="E1603" t="s">
        <v>289</v>
      </c>
      <c r="F1603" t="s">
        <v>134</v>
      </c>
      <c r="H1603" t="s">
        <v>152</v>
      </c>
      <c r="I1603" t="s">
        <v>127</v>
      </c>
      <c r="J1603" t="s">
        <v>266</v>
      </c>
      <c r="K1603" t="s">
        <v>435</v>
      </c>
      <c r="L1603" t="s">
        <v>436</v>
      </c>
      <c r="N1603" t="s">
        <v>437</v>
      </c>
      <c r="O1603" t="s">
        <v>134</v>
      </c>
      <c r="Q1603" t="s">
        <v>241</v>
      </c>
      <c r="R1603" t="s">
        <v>153</v>
      </c>
      <c r="S1603" t="s">
        <v>128</v>
      </c>
      <c r="T1603" t="s">
        <v>165</v>
      </c>
      <c r="U1603" t="s">
        <v>151</v>
      </c>
      <c r="V1603" t="s">
        <v>72</v>
      </c>
      <c r="W1603" s="58">
        <v>43318</v>
      </c>
      <c r="X1603" s="59">
        <v>0.39583333333333331</v>
      </c>
      <c r="Y1603" s="59">
        <v>0.4375</v>
      </c>
      <c r="Z1603" s="59">
        <v>4.1666666666666664E-2</v>
      </c>
      <c r="AA1603">
        <v>0</v>
      </c>
      <c r="AB1603">
        <v>0.27279999999999999</v>
      </c>
      <c r="AC1603">
        <v>20</v>
      </c>
      <c r="AD1603">
        <v>9</v>
      </c>
      <c r="AE1603" s="59">
        <v>0.39583333333333331</v>
      </c>
      <c r="AF1603" s="59">
        <v>0.4368055555555555</v>
      </c>
      <c r="AG1603">
        <v>25</v>
      </c>
    </row>
    <row r="1604" spans="1:33" x14ac:dyDescent="0.25">
      <c r="B1604" t="s">
        <v>307</v>
      </c>
      <c r="C1604" t="s">
        <v>308</v>
      </c>
      <c r="D1604" t="s">
        <v>309</v>
      </c>
      <c r="E1604" t="s">
        <v>134</v>
      </c>
      <c r="H1604" t="s">
        <v>171</v>
      </c>
      <c r="I1604" t="s">
        <v>169</v>
      </c>
      <c r="J1604" t="s">
        <v>266</v>
      </c>
      <c r="K1604" t="s">
        <v>435</v>
      </c>
      <c r="L1604" t="s">
        <v>436</v>
      </c>
      <c r="N1604" t="s">
        <v>437</v>
      </c>
      <c r="O1604" t="s">
        <v>134</v>
      </c>
      <c r="Q1604" t="s">
        <v>241</v>
      </c>
      <c r="R1604" t="s">
        <v>172</v>
      </c>
      <c r="S1604" t="s">
        <v>128</v>
      </c>
      <c r="T1604" t="s">
        <v>165</v>
      </c>
      <c r="U1604" t="s">
        <v>174</v>
      </c>
      <c r="V1604" t="s">
        <v>72</v>
      </c>
      <c r="W1604" s="58">
        <v>43318</v>
      </c>
      <c r="X1604" s="59">
        <v>0.45833333333333331</v>
      </c>
      <c r="Y1604" s="59">
        <v>0.47916666666666669</v>
      </c>
      <c r="Z1604" s="59">
        <v>2.0833333333333332E-2</v>
      </c>
      <c r="AA1604">
        <v>0</v>
      </c>
      <c r="AB1604">
        <v>1.8011999999999999</v>
      </c>
      <c r="AC1604">
        <v>0</v>
      </c>
      <c r="AD1604">
        <v>4.5</v>
      </c>
      <c r="AE1604" s="59">
        <v>0.45833333333333331</v>
      </c>
      <c r="AF1604" s="59">
        <v>0.47847222222222219</v>
      </c>
      <c r="AG1604">
        <v>25</v>
      </c>
    </row>
    <row r="1605" spans="1:33" x14ac:dyDescent="0.25">
      <c r="B1605" t="s">
        <v>307</v>
      </c>
      <c r="C1605" t="s">
        <v>308</v>
      </c>
      <c r="D1605" t="s">
        <v>309</v>
      </c>
      <c r="E1605" t="s">
        <v>134</v>
      </c>
      <c r="H1605" t="s">
        <v>171</v>
      </c>
      <c r="I1605" t="s">
        <v>169</v>
      </c>
      <c r="J1605" t="s">
        <v>266</v>
      </c>
      <c r="K1605" t="s">
        <v>435</v>
      </c>
      <c r="L1605" t="s">
        <v>436</v>
      </c>
      <c r="N1605" t="s">
        <v>437</v>
      </c>
      <c r="O1605" t="s">
        <v>134</v>
      </c>
      <c r="Q1605" t="s">
        <v>241</v>
      </c>
      <c r="R1605" t="s">
        <v>172</v>
      </c>
      <c r="S1605" t="s">
        <v>128</v>
      </c>
      <c r="T1605" t="s">
        <v>165</v>
      </c>
      <c r="U1605" t="s">
        <v>129</v>
      </c>
      <c r="V1605" t="s">
        <v>72</v>
      </c>
      <c r="W1605" s="58">
        <v>43318</v>
      </c>
      <c r="X1605" s="59">
        <v>0.66666666666666663</v>
      </c>
      <c r="Y1605" s="59">
        <v>0.69791666666666663</v>
      </c>
      <c r="Z1605" s="59">
        <v>3.125E-2</v>
      </c>
      <c r="AA1605">
        <v>0</v>
      </c>
      <c r="AC1605">
        <v>17.25</v>
      </c>
      <c r="AD1605">
        <v>6.75</v>
      </c>
      <c r="AE1605" s="59">
        <v>0.66666666666666663</v>
      </c>
      <c r="AF1605" s="59">
        <v>0.6972222222222223</v>
      </c>
      <c r="AG1605">
        <v>25</v>
      </c>
    </row>
    <row r="1606" spans="1:33" x14ac:dyDescent="0.25">
      <c r="A1606" t="s">
        <v>258</v>
      </c>
      <c r="B1606" t="s">
        <v>314</v>
      </c>
      <c r="C1606" t="s">
        <v>315</v>
      </c>
      <c r="D1606">
        <v>72</v>
      </c>
      <c r="E1606" t="s">
        <v>316</v>
      </c>
      <c r="F1606" t="s">
        <v>317</v>
      </c>
      <c r="G1606" t="s">
        <v>218</v>
      </c>
      <c r="H1606" t="s">
        <v>168</v>
      </c>
      <c r="I1606" t="s">
        <v>169</v>
      </c>
      <c r="J1606" t="s">
        <v>266</v>
      </c>
      <c r="K1606" t="s">
        <v>435</v>
      </c>
      <c r="L1606" t="s">
        <v>436</v>
      </c>
      <c r="N1606" t="s">
        <v>437</v>
      </c>
      <c r="O1606" t="s">
        <v>134</v>
      </c>
      <c r="Q1606" t="s">
        <v>241</v>
      </c>
      <c r="R1606" t="s">
        <v>170</v>
      </c>
      <c r="S1606" t="s">
        <v>128</v>
      </c>
      <c r="T1606" t="s">
        <v>165</v>
      </c>
      <c r="U1606" t="s">
        <v>129</v>
      </c>
      <c r="V1606" t="s">
        <v>72</v>
      </c>
      <c r="W1606" s="58">
        <v>43318</v>
      </c>
      <c r="X1606" s="59">
        <v>0.70833333333333337</v>
      </c>
      <c r="Y1606" s="59">
        <v>0.75</v>
      </c>
      <c r="Z1606" s="59">
        <v>4.1666666666666664E-2</v>
      </c>
      <c r="AA1606">
        <v>0</v>
      </c>
      <c r="AB1606">
        <v>0.62839999999999996</v>
      </c>
      <c r="AC1606">
        <v>23</v>
      </c>
      <c r="AD1606">
        <v>9</v>
      </c>
      <c r="AE1606" s="59">
        <v>0.70833333333333337</v>
      </c>
      <c r="AF1606" s="59">
        <v>0.74930555555555556</v>
      </c>
      <c r="AG1606">
        <v>25</v>
      </c>
    </row>
    <row r="1607" spans="1:33" x14ac:dyDescent="0.25">
      <c r="A1607" t="s">
        <v>258</v>
      </c>
      <c r="B1607" t="s">
        <v>259</v>
      </c>
      <c r="C1607" t="s">
        <v>260</v>
      </c>
      <c r="E1607" t="s">
        <v>261</v>
      </c>
      <c r="F1607" t="s">
        <v>134</v>
      </c>
      <c r="H1607" t="s">
        <v>130</v>
      </c>
      <c r="I1607" t="s">
        <v>127</v>
      </c>
      <c r="J1607" t="s">
        <v>266</v>
      </c>
      <c r="K1607" t="s">
        <v>435</v>
      </c>
      <c r="L1607" t="s">
        <v>436</v>
      </c>
      <c r="N1607" t="s">
        <v>437</v>
      </c>
      <c r="O1607" t="s">
        <v>134</v>
      </c>
      <c r="Q1607" t="s">
        <v>241</v>
      </c>
      <c r="R1607" t="s">
        <v>131</v>
      </c>
      <c r="S1607" t="s">
        <v>128</v>
      </c>
      <c r="T1607" t="s">
        <v>165</v>
      </c>
      <c r="U1607" t="s">
        <v>129</v>
      </c>
      <c r="V1607" t="s">
        <v>73</v>
      </c>
      <c r="W1607" s="58">
        <v>43319</v>
      </c>
      <c r="X1607" s="59">
        <v>0.36458333333333331</v>
      </c>
      <c r="Y1607" s="59">
        <v>0.40625</v>
      </c>
      <c r="Z1607" s="59">
        <v>4.1666666666666664E-2</v>
      </c>
      <c r="AA1607">
        <v>0</v>
      </c>
      <c r="AC1607">
        <v>23</v>
      </c>
      <c r="AD1607">
        <v>9</v>
      </c>
      <c r="AE1607" s="59">
        <v>0.36458333333333331</v>
      </c>
      <c r="AF1607" s="59">
        <v>0.4055555555555555</v>
      </c>
      <c r="AG1607">
        <v>25</v>
      </c>
    </row>
    <row r="1608" spans="1:33" x14ac:dyDescent="0.25">
      <c r="A1608" t="s">
        <v>258</v>
      </c>
      <c r="B1608" t="s">
        <v>310</v>
      </c>
      <c r="C1608" t="s">
        <v>311</v>
      </c>
      <c r="D1608" t="s">
        <v>312</v>
      </c>
      <c r="E1608" t="s">
        <v>313</v>
      </c>
      <c r="F1608" t="s">
        <v>134</v>
      </c>
      <c r="H1608" t="s">
        <v>175</v>
      </c>
      <c r="I1608" t="s">
        <v>127</v>
      </c>
      <c r="J1608" t="s">
        <v>266</v>
      </c>
      <c r="K1608" t="s">
        <v>435</v>
      </c>
      <c r="L1608" t="s">
        <v>436</v>
      </c>
      <c r="N1608" t="s">
        <v>437</v>
      </c>
      <c r="O1608" t="s">
        <v>134</v>
      </c>
      <c r="Q1608" t="s">
        <v>241</v>
      </c>
      <c r="R1608" t="s">
        <v>176</v>
      </c>
      <c r="S1608" t="s">
        <v>128</v>
      </c>
      <c r="T1608" t="s">
        <v>165</v>
      </c>
      <c r="U1608" t="s">
        <v>151</v>
      </c>
      <c r="V1608" t="s">
        <v>73</v>
      </c>
      <c r="W1608" s="58">
        <v>43319</v>
      </c>
      <c r="X1608" s="59">
        <v>0.40625</v>
      </c>
      <c r="Y1608" s="59">
        <v>0.44791666666666669</v>
      </c>
      <c r="Z1608" s="59">
        <v>4.1666666666666664E-2</v>
      </c>
      <c r="AA1608">
        <v>0</v>
      </c>
      <c r="AB1608">
        <v>0.3296</v>
      </c>
      <c r="AC1608">
        <v>20</v>
      </c>
      <c r="AD1608">
        <v>9</v>
      </c>
      <c r="AE1608" s="59">
        <v>0.40625</v>
      </c>
      <c r="AF1608" s="59">
        <v>0.44722222222222219</v>
      </c>
      <c r="AG1608">
        <v>25</v>
      </c>
    </row>
    <row r="1609" spans="1:33" x14ac:dyDescent="0.25">
      <c r="A1609" t="s">
        <v>274</v>
      </c>
      <c r="B1609" t="s">
        <v>328</v>
      </c>
      <c r="C1609" t="s">
        <v>329</v>
      </c>
      <c r="D1609">
        <v>5</v>
      </c>
      <c r="E1609" t="s">
        <v>330</v>
      </c>
      <c r="F1609" t="s">
        <v>134</v>
      </c>
      <c r="G1609" t="s">
        <v>218</v>
      </c>
      <c r="H1609" t="s">
        <v>188</v>
      </c>
      <c r="I1609" t="s">
        <v>189</v>
      </c>
      <c r="J1609" t="s">
        <v>266</v>
      </c>
      <c r="K1609" t="s">
        <v>435</v>
      </c>
      <c r="L1609" t="s">
        <v>436</v>
      </c>
      <c r="N1609" t="s">
        <v>437</v>
      </c>
      <c r="O1609" t="s">
        <v>134</v>
      </c>
      <c r="Q1609" t="s">
        <v>241</v>
      </c>
      <c r="R1609" t="s">
        <v>190</v>
      </c>
      <c r="S1609" t="s">
        <v>128</v>
      </c>
      <c r="T1609" t="s">
        <v>165</v>
      </c>
      <c r="U1609" t="s">
        <v>151</v>
      </c>
      <c r="V1609" t="s">
        <v>74</v>
      </c>
      <c r="W1609" s="58">
        <v>43320</v>
      </c>
      <c r="X1609" s="59">
        <v>0.33333333333333331</v>
      </c>
      <c r="Y1609" s="59">
        <v>0.51041666666666663</v>
      </c>
      <c r="Z1609" s="59">
        <v>0.17708333333333334</v>
      </c>
      <c r="AA1609">
        <v>0</v>
      </c>
      <c r="AC1609">
        <v>80</v>
      </c>
      <c r="AD1609">
        <v>40.5</v>
      </c>
      <c r="AE1609" s="59">
        <v>0.33333333333333331</v>
      </c>
      <c r="AF1609" s="59">
        <v>0.50972222222222219</v>
      </c>
      <c r="AG1609">
        <v>25</v>
      </c>
    </row>
    <row r="1610" spans="1:33" x14ac:dyDescent="0.25">
      <c r="A1610" t="s">
        <v>258</v>
      </c>
      <c r="B1610" t="s">
        <v>262</v>
      </c>
      <c r="C1610" t="s">
        <v>263</v>
      </c>
      <c r="D1610" t="s">
        <v>264</v>
      </c>
      <c r="E1610" t="s">
        <v>265</v>
      </c>
      <c r="F1610" t="s">
        <v>134</v>
      </c>
      <c r="H1610" t="s">
        <v>132</v>
      </c>
      <c r="I1610" t="s">
        <v>133</v>
      </c>
      <c r="J1610" t="s">
        <v>266</v>
      </c>
      <c r="K1610" t="s">
        <v>435</v>
      </c>
      <c r="L1610" t="s">
        <v>436</v>
      </c>
      <c r="N1610" t="s">
        <v>437</v>
      </c>
      <c r="O1610" t="s">
        <v>134</v>
      </c>
      <c r="Q1610" t="s">
        <v>241</v>
      </c>
      <c r="R1610" t="s">
        <v>136</v>
      </c>
      <c r="S1610" t="s">
        <v>128</v>
      </c>
      <c r="T1610" t="s">
        <v>165</v>
      </c>
      <c r="U1610" t="s">
        <v>129</v>
      </c>
      <c r="V1610" t="s">
        <v>74</v>
      </c>
      <c r="W1610" s="58">
        <v>43320</v>
      </c>
      <c r="X1610" s="59">
        <v>0.70833333333333337</v>
      </c>
      <c r="Y1610" s="59">
        <v>0.75</v>
      </c>
      <c r="Z1610" s="59">
        <v>4.1666666666666664E-2</v>
      </c>
      <c r="AA1610">
        <v>0</v>
      </c>
      <c r="AC1610">
        <v>23</v>
      </c>
      <c r="AD1610">
        <v>9</v>
      </c>
      <c r="AE1610" s="59">
        <v>0.70833333333333337</v>
      </c>
      <c r="AF1610" s="59">
        <v>0.74930555555555556</v>
      </c>
      <c r="AG1610">
        <v>25</v>
      </c>
    </row>
    <row r="1611" spans="1:33" x14ac:dyDescent="0.25">
      <c r="A1611" t="s">
        <v>258</v>
      </c>
      <c r="B1611" t="s">
        <v>314</v>
      </c>
      <c r="C1611" t="s">
        <v>315</v>
      </c>
      <c r="D1611">
        <v>72</v>
      </c>
      <c r="E1611" t="s">
        <v>316</v>
      </c>
      <c r="F1611" t="s">
        <v>317</v>
      </c>
      <c r="G1611" t="s">
        <v>218</v>
      </c>
      <c r="H1611" t="s">
        <v>168</v>
      </c>
      <c r="I1611" t="s">
        <v>169</v>
      </c>
      <c r="J1611" t="s">
        <v>266</v>
      </c>
      <c r="K1611" t="s">
        <v>435</v>
      </c>
      <c r="L1611" t="s">
        <v>436</v>
      </c>
      <c r="N1611" t="s">
        <v>437</v>
      </c>
      <c r="O1611" t="s">
        <v>134</v>
      </c>
      <c r="Q1611" t="s">
        <v>241</v>
      </c>
      <c r="R1611" t="s">
        <v>170</v>
      </c>
      <c r="S1611" t="s">
        <v>128</v>
      </c>
      <c r="T1611" t="s">
        <v>165</v>
      </c>
      <c r="U1611" t="s">
        <v>129</v>
      </c>
      <c r="V1611" t="s">
        <v>75</v>
      </c>
      <c r="W1611" s="58">
        <v>43321</v>
      </c>
      <c r="X1611" s="59">
        <v>0.33333333333333331</v>
      </c>
      <c r="Y1611" s="59">
        <v>0.35416666666666669</v>
      </c>
      <c r="Z1611" s="59">
        <v>2.0833333333333332E-2</v>
      </c>
      <c r="AA1611">
        <v>0</v>
      </c>
      <c r="AC1611">
        <v>11.5</v>
      </c>
      <c r="AD1611">
        <v>4.5</v>
      </c>
      <c r="AE1611" s="59">
        <v>0.33333333333333331</v>
      </c>
      <c r="AF1611" s="59">
        <v>0.35347222222222219</v>
      </c>
      <c r="AG1611">
        <v>25</v>
      </c>
    </row>
    <row r="1612" spans="1:33" x14ac:dyDescent="0.25">
      <c r="A1612" t="s">
        <v>258</v>
      </c>
      <c r="B1612" t="s">
        <v>259</v>
      </c>
      <c r="C1612" t="s">
        <v>260</v>
      </c>
      <c r="E1612" t="s">
        <v>261</v>
      </c>
      <c r="F1612" t="s">
        <v>134</v>
      </c>
      <c r="H1612" t="s">
        <v>130</v>
      </c>
      <c r="I1612" t="s">
        <v>127</v>
      </c>
      <c r="J1612" t="s">
        <v>266</v>
      </c>
      <c r="K1612" t="s">
        <v>435</v>
      </c>
      <c r="L1612" t="s">
        <v>436</v>
      </c>
      <c r="N1612" t="s">
        <v>437</v>
      </c>
      <c r="O1612" t="s">
        <v>134</v>
      </c>
      <c r="Q1612" t="s">
        <v>241</v>
      </c>
      <c r="R1612" t="s">
        <v>131</v>
      </c>
      <c r="S1612" t="s">
        <v>128</v>
      </c>
      <c r="T1612" t="s">
        <v>165</v>
      </c>
      <c r="U1612" t="s">
        <v>129</v>
      </c>
      <c r="V1612" t="s">
        <v>75</v>
      </c>
      <c r="W1612" s="58">
        <v>43321</v>
      </c>
      <c r="X1612" s="59">
        <v>0.36458333333333331</v>
      </c>
      <c r="Y1612" s="59">
        <v>0.40625</v>
      </c>
      <c r="Z1612" s="59">
        <v>4.1666666666666664E-2</v>
      </c>
      <c r="AA1612">
        <v>0</v>
      </c>
      <c r="AB1612">
        <v>1.6512</v>
      </c>
      <c r="AC1612">
        <v>23</v>
      </c>
      <c r="AD1612">
        <v>9</v>
      </c>
      <c r="AE1612" s="59">
        <v>0.36458333333333331</v>
      </c>
      <c r="AF1612" s="59">
        <v>0.4055555555555555</v>
      </c>
      <c r="AG1612">
        <v>25</v>
      </c>
    </row>
    <row r="1613" spans="1:33" x14ac:dyDescent="0.25">
      <c r="A1613" t="s">
        <v>258</v>
      </c>
      <c r="B1613" t="s">
        <v>310</v>
      </c>
      <c r="C1613" t="s">
        <v>311</v>
      </c>
      <c r="D1613" t="s">
        <v>312</v>
      </c>
      <c r="E1613" t="s">
        <v>313</v>
      </c>
      <c r="F1613" t="s">
        <v>134</v>
      </c>
      <c r="H1613" t="s">
        <v>175</v>
      </c>
      <c r="I1613" t="s">
        <v>127</v>
      </c>
      <c r="J1613" t="s">
        <v>266</v>
      </c>
      <c r="K1613" t="s">
        <v>435</v>
      </c>
      <c r="L1613" t="s">
        <v>436</v>
      </c>
      <c r="N1613" t="s">
        <v>437</v>
      </c>
      <c r="O1613" t="s">
        <v>134</v>
      </c>
      <c r="Q1613" t="s">
        <v>241</v>
      </c>
      <c r="R1613" t="s">
        <v>176</v>
      </c>
      <c r="S1613" t="s">
        <v>128</v>
      </c>
      <c r="T1613" t="s">
        <v>165</v>
      </c>
      <c r="U1613" t="s">
        <v>151</v>
      </c>
      <c r="V1613" t="s">
        <v>75</v>
      </c>
      <c r="W1613" s="58">
        <v>43321</v>
      </c>
      <c r="X1613" s="59">
        <v>0.40625</v>
      </c>
      <c r="Y1613" s="59">
        <v>0.44791666666666669</v>
      </c>
      <c r="Z1613" s="59">
        <v>4.1666666666666664E-2</v>
      </c>
      <c r="AA1613">
        <v>0</v>
      </c>
      <c r="AB1613">
        <v>0.3296</v>
      </c>
      <c r="AC1613">
        <v>20</v>
      </c>
      <c r="AD1613">
        <v>9</v>
      </c>
      <c r="AE1613" s="59">
        <v>0.40625</v>
      </c>
      <c r="AF1613" s="59">
        <v>0.44722222222222219</v>
      </c>
      <c r="AG1613">
        <v>25</v>
      </c>
    </row>
    <row r="1614" spans="1:33" x14ac:dyDescent="0.25">
      <c r="A1614" t="s">
        <v>274</v>
      </c>
      <c r="B1614" t="s">
        <v>328</v>
      </c>
      <c r="C1614" t="s">
        <v>329</v>
      </c>
      <c r="D1614">
        <v>5</v>
      </c>
      <c r="E1614" t="s">
        <v>330</v>
      </c>
      <c r="F1614" t="s">
        <v>134</v>
      </c>
      <c r="G1614" t="s">
        <v>218</v>
      </c>
      <c r="H1614" t="s">
        <v>188</v>
      </c>
      <c r="I1614" t="s">
        <v>189</v>
      </c>
      <c r="J1614" t="s">
        <v>266</v>
      </c>
      <c r="K1614" t="s">
        <v>435</v>
      </c>
      <c r="L1614" t="s">
        <v>436</v>
      </c>
      <c r="N1614" t="s">
        <v>437</v>
      </c>
      <c r="O1614" t="s">
        <v>134</v>
      </c>
      <c r="Q1614" t="s">
        <v>241</v>
      </c>
      <c r="R1614" t="s">
        <v>190</v>
      </c>
      <c r="S1614" t="s">
        <v>128</v>
      </c>
      <c r="T1614" t="s">
        <v>165</v>
      </c>
      <c r="U1614" t="s">
        <v>151</v>
      </c>
      <c r="V1614" t="s">
        <v>76</v>
      </c>
      <c r="W1614" s="58">
        <v>43322</v>
      </c>
      <c r="X1614" s="59">
        <v>0.33333333333333331</v>
      </c>
      <c r="Y1614" s="59">
        <v>0.5</v>
      </c>
      <c r="Z1614" s="59">
        <v>0.16666666666666666</v>
      </c>
      <c r="AA1614">
        <v>0</v>
      </c>
      <c r="AC1614">
        <v>80</v>
      </c>
      <c r="AD1614">
        <v>36</v>
      </c>
      <c r="AE1614" s="59">
        <v>0.33333333333333331</v>
      </c>
      <c r="AF1614" s="59">
        <v>0.4993055555555555</v>
      </c>
      <c r="AG1614">
        <v>25</v>
      </c>
    </row>
    <row r="1615" spans="1:33" x14ac:dyDescent="0.25">
      <c r="A1615" t="s">
        <v>274</v>
      </c>
      <c r="B1615" t="s">
        <v>328</v>
      </c>
      <c r="C1615" t="s">
        <v>329</v>
      </c>
      <c r="D1615">
        <v>5</v>
      </c>
      <c r="E1615" t="s">
        <v>330</v>
      </c>
      <c r="F1615" t="s">
        <v>134</v>
      </c>
      <c r="G1615" t="s">
        <v>218</v>
      </c>
      <c r="H1615" t="s">
        <v>188</v>
      </c>
      <c r="I1615" t="s">
        <v>189</v>
      </c>
      <c r="J1615" t="s">
        <v>266</v>
      </c>
      <c r="K1615" t="s">
        <v>435</v>
      </c>
      <c r="L1615" t="s">
        <v>436</v>
      </c>
      <c r="N1615" t="s">
        <v>437</v>
      </c>
      <c r="O1615" t="s">
        <v>134</v>
      </c>
      <c r="Q1615" t="s">
        <v>241</v>
      </c>
      <c r="R1615" t="s">
        <v>190</v>
      </c>
      <c r="S1615" t="s">
        <v>128</v>
      </c>
      <c r="T1615" t="s">
        <v>165</v>
      </c>
      <c r="U1615" t="s">
        <v>151</v>
      </c>
      <c r="V1615" t="s">
        <v>76</v>
      </c>
      <c r="W1615" s="58">
        <v>43322</v>
      </c>
      <c r="X1615" s="59">
        <v>0.5</v>
      </c>
      <c r="Y1615" s="59">
        <v>0.75</v>
      </c>
      <c r="Z1615" s="59">
        <v>0.25</v>
      </c>
      <c r="AA1615">
        <v>0</v>
      </c>
      <c r="AB1615">
        <v>0</v>
      </c>
      <c r="AC1615">
        <v>120</v>
      </c>
      <c r="AD1615">
        <v>54</v>
      </c>
      <c r="AE1615" s="59">
        <v>0.5</v>
      </c>
      <c r="AF1615" s="59">
        <v>0.74930555555555556</v>
      </c>
      <c r="AG1615">
        <v>25</v>
      </c>
    </row>
    <row r="1616" spans="1:33" x14ac:dyDescent="0.25">
      <c r="B1616" t="s">
        <v>307</v>
      </c>
      <c r="C1616" t="s">
        <v>308</v>
      </c>
      <c r="D1616" t="s">
        <v>309</v>
      </c>
      <c r="E1616" t="s">
        <v>134</v>
      </c>
      <c r="H1616" t="s">
        <v>171</v>
      </c>
      <c r="I1616" t="s">
        <v>169</v>
      </c>
      <c r="J1616" t="s">
        <v>266</v>
      </c>
      <c r="K1616" t="s">
        <v>435</v>
      </c>
      <c r="L1616" t="s">
        <v>436</v>
      </c>
      <c r="N1616" t="s">
        <v>437</v>
      </c>
      <c r="O1616" t="s">
        <v>134</v>
      </c>
      <c r="Q1616" t="s">
        <v>241</v>
      </c>
      <c r="R1616" t="s">
        <v>172</v>
      </c>
      <c r="S1616" t="s">
        <v>128</v>
      </c>
      <c r="T1616" t="s">
        <v>165</v>
      </c>
      <c r="U1616" t="s">
        <v>129</v>
      </c>
      <c r="V1616" t="s">
        <v>77</v>
      </c>
      <c r="W1616" s="58">
        <v>43323</v>
      </c>
      <c r="X1616" s="59">
        <v>0.34791666666666665</v>
      </c>
      <c r="Y1616" s="59">
        <v>0.38958333333333334</v>
      </c>
      <c r="Z1616" s="59">
        <v>4.1666666666666664E-2</v>
      </c>
      <c r="AA1616">
        <v>0</v>
      </c>
      <c r="AC1616">
        <v>23</v>
      </c>
      <c r="AD1616">
        <v>10</v>
      </c>
      <c r="AE1616" s="59">
        <v>0.34791666666666665</v>
      </c>
      <c r="AF1616" s="59">
        <v>0.3888888888888889</v>
      </c>
      <c r="AG1616">
        <v>25</v>
      </c>
    </row>
    <row r="1617" spans="1:33" x14ac:dyDescent="0.25">
      <c r="A1617" t="s">
        <v>258</v>
      </c>
      <c r="B1617" t="s">
        <v>310</v>
      </c>
      <c r="C1617" t="s">
        <v>311</v>
      </c>
      <c r="D1617" t="s">
        <v>312</v>
      </c>
      <c r="E1617" t="s">
        <v>313</v>
      </c>
      <c r="F1617" t="s">
        <v>134</v>
      </c>
      <c r="H1617" t="s">
        <v>175</v>
      </c>
      <c r="I1617" t="s">
        <v>127</v>
      </c>
      <c r="J1617" t="s">
        <v>266</v>
      </c>
      <c r="K1617" t="s">
        <v>435</v>
      </c>
      <c r="L1617" t="s">
        <v>436</v>
      </c>
      <c r="N1617" t="s">
        <v>437</v>
      </c>
      <c r="O1617" t="s">
        <v>134</v>
      </c>
      <c r="Q1617" t="s">
        <v>241</v>
      </c>
      <c r="R1617" t="s">
        <v>176</v>
      </c>
      <c r="S1617" t="s">
        <v>128</v>
      </c>
      <c r="T1617" t="s">
        <v>165</v>
      </c>
      <c r="U1617" t="s">
        <v>151</v>
      </c>
      <c r="V1617" t="s">
        <v>77</v>
      </c>
      <c r="W1617" s="58">
        <v>43323</v>
      </c>
      <c r="X1617" s="59">
        <v>0.39930555555555558</v>
      </c>
      <c r="Y1617" s="59">
        <v>0.44097222222222227</v>
      </c>
      <c r="Z1617" s="59">
        <v>4.1666666666666664E-2</v>
      </c>
      <c r="AA1617">
        <v>0</v>
      </c>
      <c r="AB1617">
        <v>1.3216000000000001</v>
      </c>
      <c r="AC1617">
        <v>20</v>
      </c>
      <c r="AD1617">
        <v>10</v>
      </c>
      <c r="AE1617" s="59">
        <v>0.39930555555555558</v>
      </c>
      <c r="AF1617" s="59">
        <v>0.44027777777777777</v>
      </c>
      <c r="AG1617">
        <v>25</v>
      </c>
    </row>
    <row r="1618" spans="1:33" x14ac:dyDescent="0.25">
      <c r="A1618" t="s">
        <v>258</v>
      </c>
      <c r="B1618" t="s">
        <v>310</v>
      </c>
      <c r="C1618" t="s">
        <v>311</v>
      </c>
      <c r="D1618" t="s">
        <v>312</v>
      </c>
      <c r="E1618" t="s">
        <v>313</v>
      </c>
      <c r="F1618" t="s">
        <v>134</v>
      </c>
      <c r="H1618" t="s">
        <v>175</v>
      </c>
      <c r="I1618" t="s">
        <v>127</v>
      </c>
      <c r="J1618" t="s">
        <v>266</v>
      </c>
      <c r="K1618" t="s">
        <v>435</v>
      </c>
      <c r="L1618" t="s">
        <v>436</v>
      </c>
      <c r="N1618" t="s">
        <v>437</v>
      </c>
      <c r="O1618" t="s">
        <v>134</v>
      </c>
      <c r="Q1618" t="s">
        <v>241</v>
      </c>
      <c r="R1618" t="s">
        <v>176</v>
      </c>
      <c r="S1618" t="s">
        <v>128</v>
      </c>
      <c r="T1618" t="s">
        <v>165</v>
      </c>
      <c r="U1618" t="s">
        <v>151</v>
      </c>
      <c r="V1618" t="s">
        <v>77</v>
      </c>
      <c r="W1618" s="58">
        <v>43323</v>
      </c>
      <c r="X1618" s="59">
        <v>0.44097222222222227</v>
      </c>
      <c r="Y1618" s="59">
        <v>0.4826388888888889</v>
      </c>
      <c r="Z1618" s="59">
        <v>4.1666666666666664E-2</v>
      </c>
      <c r="AA1618">
        <v>0</v>
      </c>
      <c r="AC1618">
        <v>0</v>
      </c>
      <c r="AD1618">
        <v>0</v>
      </c>
      <c r="AG1618">
        <v>25</v>
      </c>
    </row>
    <row r="1619" spans="1:33" x14ac:dyDescent="0.25">
      <c r="A1619" t="s">
        <v>258</v>
      </c>
      <c r="B1619" t="s">
        <v>284</v>
      </c>
      <c r="C1619" t="s">
        <v>285</v>
      </c>
      <c r="E1619" t="s">
        <v>286</v>
      </c>
      <c r="F1619" t="s">
        <v>134</v>
      </c>
      <c r="H1619" t="s">
        <v>149</v>
      </c>
      <c r="I1619" t="s">
        <v>127</v>
      </c>
      <c r="J1619" t="s">
        <v>266</v>
      </c>
      <c r="K1619" t="s">
        <v>435</v>
      </c>
      <c r="L1619" t="s">
        <v>436</v>
      </c>
      <c r="N1619" t="s">
        <v>437</v>
      </c>
      <c r="O1619" t="s">
        <v>134</v>
      </c>
      <c r="Q1619" t="s">
        <v>241</v>
      </c>
      <c r="R1619" t="s">
        <v>150</v>
      </c>
      <c r="S1619" t="s">
        <v>128</v>
      </c>
      <c r="T1619" t="s">
        <v>165</v>
      </c>
      <c r="U1619" t="s">
        <v>151</v>
      </c>
      <c r="V1619" t="s">
        <v>72</v>
      </c>
      <c r="W1619" s="58">
        <v>43325</v>
      </c>
      <c r="X1619" s="59">
        <v>0.35416666666666669</v>
      </c>
      <c r="Y1619" s="59">
        <v>0.39583333333333331</v>
      </c>
      <c r="Z1619" s="59">
        <v>4.1666666666666664E-2</v>
      </c>
      <c r="AA1619">
        <v>0</v>
      </c>
      <c r="AC1619">
        <v>20</v>
      </c>
      <c r="AD1619">
        <v>9</v>
      </c>
      <c r="AE1619" s="59">
        <v>0.35416666666666669</v>
      </c>
      <c r="AF1619" s="59">
        <v>0.39513888888888887</v>
      </c>
      <c r="AG1619">
        <v>25</v>
      </c>
    </row>
    <row r="1620" spans="1:33" x14ac:dyDescent="0.25">
      <c r="A1620" t="s">
        <v>258</v>
      </c>
      <c r="B1620" t="s">
        <v>287</v>
      </c>
      <c r="C1620" t="s">
        <v>288</v>
      </c>
      <c r="E1620" t="s">
        <v>289</v>
      </c>
      <c r="F1620" t="s">
        <v>134</v>
      </c>
      <c r="H1620" t="s">
        <v>152</v>
      </c>
      <c r="I1620" t="s">
        <v>127</v>
      </c>
      <c r="J1620" t="s">
        <v>266</v>
      </c>
      <c r="K1620" t="s">
        <v>435</v>
      </c>
      <c r="L1620" t="s">
        <v>436</v>
      </c>
      <c r="N1620" t="s">
        <v>437</v>
      </c>
      <c r="O1620" t="s">
        <v>134</v>
      </c>
      <c r="Q1620" t="s">
        <v>241</v>
      </c>
      <c r="R1620" t="s">
        <v>153</v>
      </c>
      <c r="S1620" t="s">
        <v>128</v>
      </c>
      <c r="T1620" t="s">
        <v>165</v>
      </c>
      <c r="U1620" t="s">
        <v>151</v>
      </c>
      <c r="V1620" t="s">
        <v>72</v>
      </c>
      <c r="W1620" s="58">
        <v>43325</v>
      </c>
      <c r="X1620" s="59">
        <v>0.39583333333333331</v>
      </c>
      <c r="Y1620" s="59">
        <v>0.4375</v>
      </c>
      <c r="Z1620" s="59">
        <v>4.1666666666666664E-2</v>
      </c>
      <c r="AA1620">
        <v>0</v>
      </c>
      <c r="AB1620">
        <v>0.27279999999999999</v>
      </c>
      <c r="AC1620">
        <v>20</v>
      </c>
      <c r="AD1620">
        <v>9</v>
      </c>
      <c r="AE1620" s="59">
        <v>0.39583333333333331</v>
      </c>
      <c r="AF1620" s="59">
        <v>0.4368055555555555</v>
      </c>
      <c r="AG1620">
        <v>25</v>
      </c>
    </row>
    <row r="1621" spans="1:33" x14ac:dyDescent="0.25">
      <c r="A1621" t="s">
        <v>274</v>
      </c>
      <c r="B1621" t="s">
        <v>328</v>
      </c>
      <c r="C1621" t="s">
        <v>329</v>
      </c>
      <c r="D1621">
        <v>5</v>
      </c>
      <c r="E1621" t="s">
        <v>330</v>
      </c>
      <c r="F1621" t="s">
        <v>134</v>
      </c>
      <c r="G1621" t="s">
        <v>218</v>
      </c>
      <c r="H1621" t="s">
        <v>188</v>
      </c>
      <c r="I1621" t="s">
        <v>189</v>
      </c>
      <c r="J1621" t="s">
        <v>266</v>
      </c>
      <c r="K1621" t="s">
        <v>435</v>
      </c>
      <c r="L1621" t="s">
        <v>436</v>
      </c>
      <c r="N1621" t="s">
        <v>437</v>
      </c>
      <c r="O1621" t="s">
        <v>134</v>
      </c>
      <c r="Q1621" t="s">
        <v>241</v>
      </c>
      <c r="R1621" t="s">
        <v>190</v>
      </c>
      <c r="S1621" t="s">
        <v>128</v>
      </c>
      <c r="T1621" t="s">
        <v>165</v>
      </c>
      <c r="U1621" t="s">
        <v>151</v>
      </c>
      <c r="V1621" t="s">
        <v>72</v>
      </c>
      <c r="W1621" s="58">
        <v>43325</v>
      </c>
      <c r="X1621" s="59">
        <v>0.5</v>
      </c>
      <c r="Y1621" s="59">
        <v>0.75</v>
      </c>
      <c r="Z1621" s="59">
        <v>0.25</v>
      </c>
      <c r="AA1621">
        <v>0</v>
      </c>
      <c r="AB1621">
        <v>3.5261999999999998</v>
      </c>
      <c r="AC1621">
        <v>120</v>
      </c>
      <c r="AD1621">
        <v>54</v>
      </c>
      <c r="AE1621" s="59">
        <v>0.5</v>
      </c>
      <c r="AF1621" s="59">
        <v>0.74930555555555556</v>
      </c>
      <c r="AG1621">
        <v>25</v>
      </c>
    </row>
    <row r="1622" spans="1:33" x14ac:dyDescent="0.25">
      <c r="A1622" t="s">
        <v>258</v>
      </c>
      <c r="B1622" t="s">
        <v>262</v>
      </c>
      <c r="C1622" t="s">
        <v>263</v>
      </c>
      <c r="D1622" t="s">
        <v>264</v>
      </c>
      <c r="E1622" t="s">
        <v>265</v>
      </c>
      <c r="F1622" t="s">
        <v>134</v>
      </c>
      <c r="H1622" t="s">
        <v>132</v>
      </c>
      <c r="I1622" t="s">
        <v>133</v>
      </c>
      <c r="J1622" t="s">
        <v>266</v>
      </c>
      <c r="K1622" t="s">
        <v>435</v>
      </c>
      <c r="L1622" t="s">
        <v>436</v>
      </c>
      <c r="N1622" t="s">
        <v>437</v>
      </c>
      <c r="O1622" t="s">
        <v>134</v>
      </c>
      <c r="Q1622" t="s">
        <v>241</v>
      </c>
      <c r="R1622" t="s">
        <v>136</v>
      </c>
      <c r="S1622" t="s">
        <v>128</v>
      </c>
      <c r="T1622" t="s">
        <v>165</v>
      </c>
      <c r="U1622" t="s">
        <v>129</v>
      </c>
      <c r="V1622" t="s">
        <v>73</v>
      </c>
      <c r="W1622" s="58">
        <v>43326</v>
      </c>
      <c r="X1622" s="59">
        <v>0.34722222222222227</v>
      </c>
      <c r="Y1622" s="59">
        <v>0.3888888888888889</v>
      </c>
      <c r="Z1622" s="59">
        <v>4.1666666666666664E-2</v>
      </c>
      <c r="AA1622">
        <v>0</v>
      </c>
      <c r="AC1622">
        <v>23</v>
      </c>
      <c r="AD1622">
        <v>9</v>
      </c>
      <c r="AE1622" s="59">
        <v>0.34722222222222227</v>
      </c>
      <c r="AF1622" s="59">
        <v>0.38819444444444445</v>
      </c>
      <c r="AG1622">
        <v>25</v>
      </c>
    </row>
    <row r="1623" spans="1:33" x14ac:dyDescent="0.25">
      <c r="A1623" t="s">
        <v>266</v>
      </c>
      <c r="B1623" t="s">
        <v>293</v>
      </c>
      <c r="C1623" t="s">
        <v>294</v>
      </c>
      <c r="E1623" t="s">
        <v>295</v>
      </c>
      <c r="F1623" t="s">
        <v>134</v>
      </c>
      <c r="H1623" t="s">
        <v>157</v>
      </c>
      <c r="I1623" t="s">
        <v>158</v>
      </c>
      <c r="J1623" t="s">
        <v>266</v>
      </c>
      <c r="K1623" t="s">
        <v>435</v>
      </c>
      <c r="L1623" t="s">
        <v>436</v>
      </c>
      <c r="N1623" t="s">
        <v>437</v>
      </c>
      <c r="O1623" t="s">
        <v>134</v>
      </c>
      <c r="Q1623" t="s">
        <v>241</v>
      </c>
      <c r="R1623" t="s">
        <v>161</v>
      </c>
      <c r="S1623" t="s">
        <v>128</v>
      </c>
      <c r="T1623" t="s">
        <v>165</v>
      </c>
      <c r="U1623" t="s">
        <v>163</v>
      </c>
      <c r="V1623" t="s">
        <v>73</v>
      </c>
      <c r="W1623" s="58">
        <v>43326</v>
      </c>
      <c r="X1623" s="59">
        <v>0.40625</v>
      </c>
      <c r="Y1623" s="59">
        <v>0.44791666666666669</v>
      </c>
      <c r="Z1623" s="59">
        <v>4.1666666666666664E-2</v>
      </c>
      <c r="AA1623">
        <v>0</v>
      </c>
      <c r="AB1623">
        <v>3.8954</v>
      </c>
      <c r="AC1623">
        <v>18</v>
      </c>
      <c r="AD1623">
        <v>9</v>
      </c>
      <c r="AE1623" s="59">
        <v>0.40625</v>
      </c>
      <c r="AF1623" s="59">
        <v>0.44722222222222219</v>
      </c>
      <c r="AG1623">
        <v>25</v>
      </c>
    </row>
    <row r="1624" spans="1:33" x14ac:dyDescent="0.25">
      <c r="A1624" t="s">
        <v>258</v>
      </c>
      <c r="B1624" t="s">
        <v>310</v>
      </c>
      <c r="C1624" t="s">
        <v>311</v>
      </c>
      <c r="D1624" t="s">
        <v>312</v>
      </c>
      <c r="E1624" t="s">
        <v>313</v>
      </c>
      <c r="F1624" t="s">
        <v>134</v>
      </c>
      <c r="H1624" t="s">
        <v>175</v>
      </c>
      <c r="I1624" t="s">
        <v>127</v>
      </c>
      <c r="J1624" t="s">
        <v>266</v>
      </c>
      <c r="K1624" t="s">
        <v>435</v>
      </c>
      <c r="L1624" t="s">
        <v>436</v>
      </c>
      <c r="N1624" t="s">
        <v>437</v>
      </c>
      <c r="O1624" t="s">
        <v>134</v>
      </c>
      <c r="Q1624" t="s">
        <v>241</v>
      </c>
      <c r="R1624" t="s">
        <v>176</v>
      </c>
      <c r="S1624" t="s">
        <v>128</v>
      </c>
      <c r="T1624" t="s">
        <v>165</v>
      </c>
      <c r="U1624" t="s">
        <v>151</v>
      </c>
      <c r="V1624" t="s">
        <v>73</v>
      </c>
      <c r="W1624" s="58">
        <v>43326</v>
      </c>
      <c r="X1624" s="59">
        <v>0.5</v>
      </c>
      <c r="Y1624" s="59">
        <v>0.58333333333333337</v>
      </c>
      <c r="Z1624" s="59">
        <v>8.3333333333333329E-2</v>
      </c>
      <c r="AA1624">
        <v>0</v>
      </c>
      <c r="AB1624">
        <v>8.641</v>
      </c>
      <c r="AC1624">
        <v>40</v>
      </c>
      <c r="AD1624">
        <v>18</v>
      </c>
      <c r="AE1624" s="59">
        <v>0.5</v>
      </c>
      <c r="AF1624" s="59">
        <v>0.58263888888888882</v>
      </c>
      <c r="AG1624">
        <v>25</v>
      </c>
    </row>
    <row r="1625" spans="1:33" x14ac:dyDescent="0.25">
      <c r="A1625" t="s">
        <v>274</v>
      </c>
      <c r="B1625" t="s">
        <v>328</v>
      </c>
      <c r="C1625" t="s">
        <v>329</v>
      </c>
      <c r="D1625">
        <v>5</v>
      </c>
      <c r="E1625" t="s">
        <v>330</v>
      </c>
      <c r="F1625" t="s">
        <v>134</v>
      </c>
      <c r="G1625" t="s">
        <v>218</v>
      </c>
      <c r="H1625" t="s">
        <v>188</v>
      </c>
      <c r="I1625" t="s">
        <v>189</v>
      </c>
      <c r="J1625" t="s">
        <v>266</v>
      </c>
      <c r="K1625" t="s">
        <v>435</v>
      </c>
      <c r="L1625" t="s">
        <v>436</v>
      </c>
      <c r="N1625" t="s">
        <v>437</v>
      </c>
      <c r="O1625" t="s">
        <v>134</v>
      </c>
      <c r="Q1625" t="s">
        <v>241</v>
      </c>
      <c r="R1625" t="s">
        <v>190</v>
      </c>
      <c r="S1625" t="s">
        <v>128</v>
      </c>
      <c r="T1625" t="s">
        <v>165</v>
      </c>
      <c r="U1625" t="s">
        <v>151</v>
      </c>
      <c r="V1625" t="s">
        <v>74</v>
      </c>
      <c r="W1625" s="58">
        <v>43327</v>
      </c>
      <c r="X1625" s="59">
        <v>0.33333333333333331</v>
      </c>
      <c r="Y1625" s="59">
        <v>0.5</v>
      </c>
      <c r="Z1625" s="59">
        <v>0.16666666666666666</v>
      </c>
      <c r="AA1625">
        <v>0</v>
      </c>
      <c r="AC1625">
        <v>80</v>
      </c>
      <c r="AD1625">
        <v>36</v>
      </c>
      <c r="AE1625" s="59">
        <v>0.33333333333333331</v>
      </c>
      <c r="AF1625" s="59">
        <v>0.4993055555555555</v>
      </c>
      <c r="AG1625">
        <v>25</v>
      </c>
    </row>
    <row r="1626" spans="1:33" x14ac:dyDescent="0.25">
      <c r="A1626" t="s">
        <v>274</v>
      </c>
      <c r="B1626" t="s">
        <v>328</v>
      </c>
      <c r="C1626" t="s">
        <v>329</v>
      </c>
      <c r="D1626">
        <v>5</v>
      </c>
      <c r="E1626" t="s">
        <v>330</v>
      </c>
      <c r="F1626" t="s">
        <v>134</v>
      </c>
      <c r="G1626" t="s">
        <v>218</v>
      </c>
      <c r="H1626" t="s">
        <v>188</v>
      </c>
      <c r="I1626" t="s">
        <v>189</v>
      </c>
      <c r="J1626" t="s">
        <v>266</v>
      </c>
      <c r="K1626" t="s">
        <v>435</v>
      </c>
      <c r="L1626" t="s">
        <v>436</v>
      </c>
      <c r="N1626" t="s">
        <v>437</v>
      </c>
      <c r="O1626" t="s">
        <v>134</v>
      </c>
      <c r="Q1626" t="s">
        <v>241</v>
      </c>
      <c r="R1626" t="s">
        <v>190</v>
      </c>
      <c r="S1626" t="s">
        <v>128</v>
      </c>
      <c r="T1626" t="s">
        <v>165</v>
      </c>
      <c r="U1626" t="s">
        <v>151</v>
      </c>
      <c r="V1626" t="s">
        <v>74</v>
      </c>
      <c r="W1626" s="58">
        <v>43327</v>
      </c>
      <c r="X1626" s="59">
        <v>0.5</v>
      </c>
      <c r="Y1626" s="59">
        <v>0.75</v>
      </c>
      <c r="Z1626" s="59">
        <v>0.25</v>
      </c>
      <c r="AA1626">
        <v>0</v>
      </c>
      <c r="AB1626">
        <v>0</v>
      </c>
      <c r="AC1626">
        <v>120</v>
      </c>
      <c r="AD1626">
        <v>54</v>
      </c>
      <c r="AE1626" s="59">
        <v>0.5</v>
      </c>
      <c r="AF1626" s="59">
        <v>0.74930555555555556</v>
      </c>
      <c r="AG1626">
        <v>25</v>
      </c>
    </row>
    <row r="1627" spans="1:33" x14ac:dyDescent="0.25">
      <c r="A1627" t="s">
        <v>258</v>
      </c>
      <c r="B1627" t="s">
        <v>310</v>
      </c>
      <c r="C1627" t="s">
        <v>311</v>
      </c>
      <c r="D1627" t="s">
        <v>312</v>
      </c>
      <c r="E1627" t="s">
        <v>313</v>
      </c>
      <c r="F1627" t="s">
        <v>134</v>
      </c>
      <c r="H1627" t="s">
        <v>175</v>
      </c>
      <c r="I1627" t="s">
        <v>127</v>
      </c>
      <c r="J1627" t="s">
        <v>266</v>
      </c>
      <c r="K1627" t="s">
        <v>435</v>
      </c>
      <c r="L1627" t="s">
        <v>436</v>
      </c>
      <c r="N1627" t="s">
        <v>437</v>
      </c>
      <c r="O1627" t="s">
        <v>134</v>
      </c>
      <c r="Q1627" t="s">
        <v>241</v>
      </c>
      <c r="R1627" t="s">
        <v>176</v>
      </c>
      <c r="S1627" t="s">
        <v>128</v>
      </c>
      <c r="T1627" t="s">
        <v>165</v>
      </c>
      <c r="U1627" t="s">
        <v>151</v>
      </c>
      <c r="V1627" t="s">
        <v>75</v>
      </c>
      <c r="W1627" s="58">
        <v>43328</v>
      </c>
      <c r="X1627" s="59">
        <v>0.40625</v>
      </c>
      <c r="Y1627" s="59">
        <v>0.44791666666666669</v>
      </c>
      <c r="Z1627" s="59">
        <v>4.1666666666666664E-2</v>
      </c>
      <c r="AA1627">
        <v>0</v>
      </c>
      <c r="AC1627">
        <v>20</v>
      </c>
      <c r="AD1627">
        <v>9</v>
      </c>
      <c r="AE1627" s="59">
        <v>0.40625</v>
      </c>
      <c r="AF1627" s="59">
        <v>0.44722222222222219</v>
      </c>
      <c r="AG1627">
        <v>25</v>
      </c>
    </row>
    <row r="1628" spans="1:33" x14ac:dyDescent="0.25">
      <c r="A1628" t="s">
        <v>274</v>
      </c>
      <c r="B1628" t="s">
        <v>328</v>
      </c>
      <c r="C1628" t="s">
        <v>329</v>
      </c>
      <c r="D1628">
        <v>5</v>
      </c>
      <c r="E1628" t="s">
        <v>330</v>
      </c>
      <c r="F1628" t="s">
        <v>134</v>
      </c>
      <c r="G1628" t="s">
        <v>218</v>
      </c>
      <c r="H1628" t="s">
        <v>188</v>
      </c>
      <c r="I1628" t="s">
        <v>189</v>
      </c>
      <c r="J1628" t="s">
        <v>266</v>
      </c>
      <c r="K1628" t="s">
        <v>435</v>
      </c>
      <c r="L1628" t="s">
        <v>436</v>
      </c>
      <c r="N1628" t="s">
        <v>437</v>
      </c>
      <c r="O1628" t="s">
        <v>134</v>
      </c>
      <c r="Q1628" t="s">
        <v>241</v>
      </c>
      <c r="R1628" t="s">
        <v>190</v>
      </c>
      <c r="S1628" t="s">
        <v>128</v>
      </c>
      <c r="T1628" t="s">
        <v>165</v>
      </c>
      <c r="U1628" t="s">
        <v>151</v>
      </c>
      <c r="V1628" t="s">
        <v>76</v>
      </c>
      <c r="W1628" s="58">
        <v>43329</v>
      </c>
      <c r="X1628" s="59">
        <v>0.33333333333333331</v>
      </c>
      <c r="Y1628" s="59">
        <v>0.5</v>
      </c>
      <c r="Z1628" s="59">
        <v>0.16666666666666666</v>
      </c>
      <c r="AA1628">
        <v>0</v>
      </c>
      <c r="AC1628">
        <v>80</v>
      </c>
      <c r="AD1628">
        <v>36</v>
      </c>
      <c r="AE1628" s="59">
        <v>0.33333333333333331</v>
      </c>
      <c r="AF1628" s="59">
        <v>0.4993055555555555</v>
      </c>
      <c r="AG1628">
        <v>25</v>
      </c>
    </row>
    <row r="1629" spans="1:33" x14ac:dyDescent="0.25">
      <c r="A1629" t="s">
        <v>258</v>
      </c>
      <c r="B1629" t="s">
        <v>310</v>
      </c>
      <c r="C1629" t="s">
        <v>311</v>
      </c>
      <c r="D1629" t="s">
        <v>312</v>
      </c>
      <c r="E1629" t="s">
        <v>313</v>
      </c>
      <c r="F1629" t="s">
        <v>134</v>
      </c>
      <c r="H1629" t="s">
        <v>175</v>
      </c>
      <c r="I1629" t="s">
        <v>127</v>
      </c>
      <c r="J1629" t="s">
        <v>266</v>
      </c>
      <c r="K1629" t="s">
        <v>435</v>
      </c>
      <c r="L1629" t="s">
        <v>436</v>
      </c>
      <c r="N1629" t="s">
        <v>437</v>
      </c>
      <c r="O1629" t="s">
        <v>134</v>
      </c>
      <c r="Q1629" t="s">
        <v>241</v>
      </c>
      <c r="R1629" t="s">
        <v>176</v>
      </c>
      <c r="S1629" t="s">
        <v>128</v>
      </c>
      <c r="T1629" t="s">
        <v>165</v>
      </c>
      <c r="U1629" t="s">
        <v>151</v>
      </c>
      <c r="V1629" t="s">
        <v>77</v>
      </c>
      <c r="W1629" s="58">
        <v>43330</v>
      </c>
      <c r="X1629" s="59">
        <v>0.375</v>
      </c>
      <c r="Y1629" s="59">
        <v>0.41666666666666669</v>
      </c>
      <c r="Z1629" s="59">
        <v>4.1666666666666664E-2</v>
      </c>
      <c r="AA1629">
        <v>0</v>
      </c>
      <c r="AC1629">
        <v>20</v>
      </c>
      <c r="AD1629">
        <v>10</v>
      </c>
      <c r="AE1629" s="59">
        <v>0.375</v>
      </c>
      <c r="AF1629" s="59">
        <v>0.41597222222222219</v>
      </c>
      <c r="AG1629">
        <v>25</v>
      </c>
    </row>
    <row r="1630" spans="1:33" x14ac:dyDescent="0.25">
      <c r="A1630" t="s">
        <v>258</v>
      </c>
      <c r="B1630" t="s">
        <v>314</v>
      </c>
      <c r="C1630" t="s">
        <v>315</v>
      </c>
      <c r="D1630">
        <v>72</v>
      </c>
      <c r="E1630" t="s">
        <v>316</v>
      </c>
      <c r="F1630" t="s">
        <v>317</v>
      </c>
      <c r="G1630" t="s">
        <v>218</v>
      </c>
      <c r="H1630" t="s">
        <v>168</v>
      </c>
      <c r="I1630" t="s">
        <v>169</v>
      </c>
      <c r="J1630" t="s">
        <v>266</v>
      </c>
      <c r="K1630" t="s">
        <v>435</v>
      </c>
      <c r="L1630" t="s">
        <v>436</v>
      </c>
      <c r="N1630" t="s">
        <v>437</v>
      </c>
      <c r="O1630" t="s">
        <v>134</v>
      </c>
      <c r="Q1630" t="s">
        <v>241</v>
      </c>
      <c r="R1630" t="s">
        <v>170</v>
      </c>
      <c r="S1630" t="s">
        <v>128</v>
      </c>
      <c r="T1630" t="s">
        <v>165</v>
      </c>
      <c r="U1630" t="s">
        <v>129</v>
      </c>
      <c r="V1630" t="s">
        <v>72</v>
      </c>
      <c r="W1630" s="58">
        <v>43332</v>
      </c>
      <c r="X1630" s="59">
        <v>0.33333333333333331</v>
      </c>
      <c r="Y1630" s="59">
        <v>0.35416666666666669</v>
      </c>
      <c r="Z1630" s="59">
        <v>2.0833333333333332E-2</v>
      </c>
      <c r="AA1630">
        <v>0</v>
      </c>
      <c r="AC1630">
        <v>11.5</v>
      </c>
      <c r="AD1630">
        <v>4.5</v>
      </c>
      <c r="AE1630" s="59">
        <v>0.33333333333333331</v>
      </c>
      <c r="AF1630" s="59">
        <v>0.35347222222222219</v>
      </c>
      <c r="AG1630">
        <v>25</v>
      </c>
    </row>
    <row r="1631" spans="1:33" x14ac:dyDescent="0.25">
      <c r="A1631" t="s">
        <v>258</v>
      </c>
      <c r="B1631" t="s">
        <v>259</v>
      </c>
      <c r="C1631" t="s">
        <v>260</v>
      </c>
      <c r="E1631" t="s">
        <v>261</v>
      </c>
      <c r="F1631" t="s">
        <v>134</v>
      </c>
      <c r="H1631" t="s">
        <v>130</v>
      </c>
      <c r="I1631" t="s">
        <v>127</v>
      </c>
      <c r="J1631" t="s">
        <v>266</v>
      </c>
      <c r="K1631" t="s">
        <v>435</v>
      </c>
      <c r="L1631" t="s">
        <v>436</v>
      </c>
      <c r="N1631" t="s">
        <v>437</v>
      </c>
      <c r="O1631" t="s">
        <v>134</v>
      </c>
      <c r="Q1631" t="s">
        <v>241</v>
      </c>
      <c r="R1631" t="s">
        <v>131</v>
      </c>
      <c r="S1631" t="s">
        <v>128</v>
      </c>
      <c r="T1631" t="s">
        <v>165</v>
      </c>
      <c r="U1631" t="s">
        <v>129</v>
      </c>
      <c r="V1631" t="s">
        <v>72</v>
      </c>
      <c r="W1631" s="58">
        <v>43332</v>
      </c>
      <c r="X1631" s="59">
        <v>0.36458333333333331</v>
      </c>
      <c r="Y1631" s="59">
        <v>0.40625</v>
      </c>
      <c r="Z1631" s="59">
        <v>4.1666666666666664E-2</v>
      </c>
      <c r="AA1631">
        <v>0</v>
      </c>
      <c r="AB1631">
        <v>1.6512</v>
      </c>
      <c r="AC1631">
        <v>23</v>
      </c>
      <c r="AD1631">
        <v>9</v>
      </c>
      <c r="AE1631" s="59">
        <v>0.36458333333333331</v>
      </c>
      <c r="AF1631" s="59">
        <v>0.4055555555555555</v>
      </c>
      <c r="AG1631">
        <v>25</v>
      </c>
    </row>
    <row r="1632" spans="1:33" x14ac:dyDescent="0.25">
      <c r="A1632" t="s">
        <v>258</v>
      </c>
      <c r="B1632" t="s">
        <v>310</v>
      </c>
      <c r="C1632" t="s">
        <v>311</v>
      </c>
      <c r="D1632" t="s">
        <v>312</v>
      </c>
      <c r="E1632" t="s">
        <v>313</v>
      </c>
      <c r="F1632" t="s">
        <v>134</v>
      </c>
      <c r="H1632" t="s">
        <v>175</v>
      </c>
      <c r="I1632" t="s">
        <v>127</v>
      </c>
      <c r="J1632" t="s">
        <v>266</v>
      </c>
      <c r="K1632" t="s">
        <v>435</v>
      </c>
      <c r="L1632" t="s">
        <v>436</v>
      </c>
      <c r="N1632" t="s">
        <v>437</v>
      </c>
      <c r="O1632" t="s">
        <v>134</v>
      </c>
      <c r="Q1632" t="s">
        <v>241</v>
      </c>
      <c r="R1632" t="s">
        <v>176</v>
      </c>
      <c r="S1632" t="s">
        <v>128</v>
      </c>
      <c r="T1632" t="s">
        <v>165</v>
      </c>
      <c r="U1632" t="s">
        <v>151</v>
      </c>
      <c r="V1632" t="s">
        <v>72</v>
      </c>
      <c r="W1632" s="58">
        <v>43332</v>
      </c>
      <c r="X1632" s="59">
        <v>0.40625</v>
      </c>
      <c r="Y1632" s="59">
        <v>0.44791666666666669</v>
      </c>
      <c r="Z1632" s="59">
        <v>4.1666666666666664E-2</v>
      </c>
      <c r="AA1632">
        <v>0</v>
      </c>
      <c r="AB1632">
        <v>0.3296</v>
      </c>
      <c r="AC1632">
        <v>20</v>
      </c>
      <c r="AD1632">
        <v>9</v>
      </c>
      <c r="AE1632" s="59">
        <v>0.40625</v>
      </c>
      <c r="AF1632" s="59">
        <v>0.44722222222222219</v>
      </c>
      <c r="AG1632">
        <v>25</v>
      </c>
    </row>
    <row r="1633" spans="1:33" x14ac:dyDescent="0.25">
      <c r="A1633" t="s">
        <v>274</v>
      </c>
      <c r="B1633" t="s">
        <v>328</v>
      </c>
      <c r="C1633" t="s">
        <v>329</v>
      </c>
      <c r="D1633">
        <v>5</v>
      </c>
      <c r="E1633" t="s">
        <v>330</v>
      </c>
      <c r="F1633" t="s">
        <v>134</v>
      </c>
      <c r="G1633" t="s">
        <v>218</v>
      </c>
      <c r="H1633" t="s">
        <v>188</v>
      </c>
      <c r="I1633" t="s">
        <v>189</v>
      </c>
      <c r="J1633" t="s">
        <v>266</v>
      </c>
      <c r="K1633" t="s">
        <v>435</v>
      </c>
      <c r="L1633" t="s">
        <v>436</v>
      </c>
      <c r="N1633" t="s">
        <v>437</v>
      </c>
      <c r="O1633" t="s">
        <v>134</v>
      </c>
      <c r="Q1633" t="s">
        <v>241</v>
      </c>
      <c r="R1633" t="s">
        <v>190</v>
      </c>
      <c r="S1633" t="s">
        <v>128</v>
      </c>
      <c r="T1633" t="s">
        <v>165</v>
      </c>
      <c r="U1633" t="s">
        <v>151</v>
      </c>
      <c r="V1633" t="s">
        <v>72</v>
      </c>
      <c r="W1633" s="58">
        <v>43332</v>
      </c>
      <c r="X1633" s="59">
        <v>0.5</v>
      </c>
      <c r="Y1633" s="59">
        <v>0.75</v>
      </c>
      <c r="Z1633" s="59">
        <v>0.25</v>
      </c>
      <c r="AA1633">
        <v>0</v>
      </c>
      <c r="AB1633">
        <v>3.0886</v>
      </c>
      <c r="AC1633">
        <v>120</v>
      </c>
      <c r="AD1633">
        <v>54</v>
      </c>
      <c r="AE1633" s="59">
        <v>0.5</v>
      </c>
      <c r="AF1633" s="59">
        <v>0.74930555555555556</v>
      </c>
      <c r="AG1633">
        <v>25</v>
      </c>
    </row>
    <row r="1634" spans="1:33" x14ac:dyDescent="0.25">
      <c r="A1634" t="s">
        <v>258</v>
      </c>
      <c r="B1634" t="s">
        <v>299</v>
      </c>
      <c r="C1634" t="s">
        <v>300</v>
      </c>
      <c r="D1634" t="s">
        <v>301</v>
      </c>
      <c r="E1634" t="s">
        <v>302</v>
      </c>
      <c r="F1634" t="s">
        <v>303</v>
      </c>
      <c r="H1634" t="s">
        <v>166</v>
      </c>
      <c r="I1634" t="s">
        <v>142</v>
      </c>
      <c r="J1634" t="s">
        <v>266</v>
      </c>
      <c r="K1634" t="s">
        <v>435</v>
      </c>
      <c r="L1634" t="s">
        <v>436</v>
      </c>
      <c r="N1634" t="s">
        <v>437</v>
      </c>
      <c r="O1634" t="s">
        <v>134</v>
      </c>
      <c r="Q1634" t="s">
        <v>241</v>
      </c>
      <c r="R1634" t="s">
        <v>167</v>
      </c>
      <c r="S1634" t="s">
        <v>128</v>
      </c>
      <c r="T1634" t="s">
        <v>165</v>
      </c>
      <c r="U1634" t="s">
        <v>129</v>
      </c>
      <c r="V1634" t="s">
        <v>73</v>
      </c>
      <c r="W1634" s="58">
        <v>43333</v>
      </c>
      <c r="X1634" s="59">
        <v>0.30208333333333331</v>
      </c>
      <c r="Y1634" s="59">
        <v>0.34375</v>
      </c>
      <c r="Z1634" s="59">
        <v>4.1666666666666664E-2</v>
      </c>
      <c r="AA1634">
        <v>0</v>
      </c>
      <c r="AC1634">
        <v>23</v>
      </c>
      <c r="AD1634">
        <v>9</v>
      </c>
      <c r="AE1634" s="59">
        <v>0.30208333333333331</v>
      </c>
      <c r="AF1634" s="59">
        <v>0.3430555555555555</v>
      </c>
      <c r="AG1634">
        <v>25</v>
      </c>
    </row>
    <row r="1635" spans="1:33" x14ac:dyDescent="0.25">
      <c r="A1635" t="s">
        <v>258</v>
      </c>
      <c r="B1635" t="s">
        <v>259</v>
      </c>
      <c r="C1635" t="s">
        <v>260</v>
      </c>
      <c r="E1635" t="s">
        <v>261</v>
      </c>
      <c r="F1635" t="s">
        <v>134</v>
      </c>
      <c r="H1635" t="s">
        <v>130</v>
      </c>
      <c r="I1635" t="s">
        <v>127</v>
      </c>
      <c r="J1635" t="s">
        <v>266</v>
      </c>
      <c r="K1635" t="s">
        <v>435</v>
      </c>
      <c r="L1635" t="s">
        <v>436</v>
      </c>
      <c r="N1635" t="s">
        <v>437</v>
      </c>
      <c r="O1635" t="s">
        <v>134</v>
      </c>
      <c r="Q1635" t="s">
        <v>241</v>
      </c>
      <c r="R1635" t="s">
        <v>131</v>
      </c>
      <c r="S1635" t="s">
        <v>128</v>
      </c>
      <c r="T1635" t="s">
        <v>165</v>
      </c>
      <c r="U1635" t="s">
        <v>129</v>
      </c>
      <c r="V1635" t="s">
        <v>73</v>
      </c>
      <c r="W1635" s="58">
        <v>43333</v>
      </c>
      <c r="X1635" s="59">
        <v>0.36458333333333331</v>
      </c>
      <c r="Y1635" s="59">
        <v>0.40625</v>
      </c>
      <c r="Z1635" s="59">
        <v>4.1666666666666664E-2</v>
      </c>
      <c r="AA1635">
        <v>0</v>
      </c>
      <c r="AB1635">
        <v>4.9194000000000004</v>
      </c>
      <c r="AC1635">
        <v>23</v>
      </c>
      <c r="AD1635">
        <v>9</v>
      </c>
      <c r="AE1635" s="59">
        <v>0.36458333333333331</v>
      </c>
      <c r="AF1635" s="59">
        <v>0.4055555555555555</v>
      </c>
      <c r="AG1635">
        <v>25</v>
      </c>
    </row>
    <row r="1636" spans="1:33" x14ac:dyDescent="0.25">
      <c r="A1636" t="s">
        <v>258</v>
      </c>
      <c r="B1636" t="s">
        <v>310</v>
      </c>
      <c r="C1636" t="s">
        <v>311</v>
      </c>
      <c r="D1636" t="s">
        <v>312</v>
      </c>
      <c r="E1636" t="s">
        <v>313</v>
      </c>
      <c r="F1636" t="s">
        <v>134</v>
      </c>
      <c r="H1636" t="s">
        <v>175</v>
      </c>
      <c r="I1636" t="s">
        <v>127</v>
      </c>
      <c r="J1636" t="s">
        <v>266</v>
      </c>
      <c r="K1636" t="s">
        <v>435</v>
      </c>
      <c r="L1636" t="s">
        <v>436</v>
      </c>
      <c r="N1636" t="s">
        <v>437</v>
      </c>
      <c r="O1636" t="s">
        <v>134</v>
      </c>
      <c r="Q1636" t="s">
        <v>241</v>
      </c>
      <c r="R1636" t="s">
        <v>176</v>
      </c>
      <c r="S1636" t="s">
        <v>128</v>
      </c>
      <c r="T1636" t="s">
        <v>165</v>
      </c>
      <c r="U1636" t="s">
        <v>151</v>
      </c>
      <c r="V1636" t="s">
        <v>73</v>
      </c>
      <c r="W1636" s="58">
        <v>43333</v>
      </c>
      <c r="X1636" s="59">
        <v>0.40625</v>
      </c>
      <c r="Y1636" s="59">
        <v>0.44791666666666669</v>
      </c>
      <c r="Z1636" s="59">
        <v>4.1666666666666664E-2</v>
      </c>
      <c r="AA1636">
        <v>0</v>
      </c>
      <c r="AB1636">
        <v>0.3296</v>
      </c>
      <c r="AC1636">
        <v>20</v>
      </c>
      <c r="AD1636">
        <v>9</v>
      </c>
      <c r="AE1636" s="59">
        <v>0.40625</v>
      </c>
      <c r="AF1636" s="59">
        <v>0.44722222222222219</v>
      </c>
      <c r="AG1636">
        <v>25</v>
      </c>
    </row>
    <row r="1637" spans="1:33" x14ac:dyDescent="0.25">
      <c r="A1637" t="s">
        <v>258</v>
      </c>
      <c r="B1637" t="s">
        <v>262</v>
      </c>
      <c r="C1637" t="s">
        <v>263</v>
      </c>
      <c r="D1637" t="s">
        <v>264</v>
      </c>
      <c r="E1637" t="s">
        <v>265</v>
      </c>
      <c r="F1637" t="s">
        <v>134</v>
      </c>
      <c r="H1637" t="s">
        <v>132</v>
      </c>
      <c r="I1637" t="s">
        <v>133</v>
      </c>
      <c r="J1637" t="s">
        <v>266</v>
      </c>
      <c r="K1637" t="s">
        <v>435</v>
      </c>
      <c r="L1637" t="s">
        <v>436</v>
      </c>
      <c r="N1637" t="s">
        <v>437</v>
      </c>
      <c r="O1637" t="s">
        <v>134</v>
      </c>
      <c r="Q1637" t="s">
        <v>241</v>
      </c>
      <c r="R1637" t="s">
        <v>136</v>
      </c>
      <c r="S1637" t="s">
        <v>128</v>
      </c>
      <c r="T1637" t="s">
        <v>165</v>
      </c>
      <c r="U1637" t="s">
        <v>129</v>
      </c>
      <c r="V1637" t="s">
        <v>73</v>
      </c>
      <c r="W1637" s="58">
        <v>43333</v>
      </c>
      <c r="X1637" s="59">
        <v>0.70833333333333337</v>
      </c>
      <c r="Y1637" s="59">
        <v>0.75</v>
      </c>
      <c r="Z1637" s="59">
        <v>4.1666666666666664E-2</v>
      </c>
      <c r="AA1637">
        <v>0</v>
      </c>
      <c r="AC1637">
        <v>23</v>
      </c>
      <c r="AD1637">
        <v>9</v>
      </c>
      <c r="AE1637" s="59">
        <v>0.70833333333333337</v>
      </c>
      <c r="AF1637" s="59">
        <v>0.74930555555555556</v>
      </c>
      <c r="AG1637">
        <v>25</v>
      </c>
    </row>
    <row r="1638" spans="1:33" x14ac:dyDescent="0.25">
      <c r="A1638" t="s">
        <v>258</v>
      </c>
      <c r="B1638" t="s">
        <v>284</v>
      </c>
      <c r="C1638" t="s">
        <v>285</v>
      </c>
      <c r="E1638" t="s">
        <v>286</v>
      </c>
      <c r="F1638" t="s">
        <v>134</v>
      </c>
      <c r="H1638" t="s">
        <v>149</v>
      </c>
      <c r="I1638" t="s">
        <v>127</v>
      </c>
      <c r="J1638" t="s">
        <v>266</v>
      </c>
      <c r="K1638" t="s">
        <v>435</v>
      </c>
      <c r="L1638" t="s">
        <v>436</v>
      </c>
      <c r="N1638" t="s">
        <v>437</v>
      </c>
      <c r="O1638" t="s">
        <v>134</v>
      </c>
      <c r="Q1638" t="s">
        <v>241</v>
      </c>
      <c r="R1638" t="s">
        <v>150</v>
      </c>
      <c r="S1638" t="s">
        <v>128</v>
      </c>
      <c r="T1638" t="s">
        <v>165</v>
      </c>
      <c r="U1638" t="s">
        <v>151</v>
      </c>
      <c r="V1638" t="s">
        <v>74</v>
      </c>
      <c r="W1638" s="58">
        <v>43334</v>
      </c>
      <c r="X1638" s="59">
        <v>0.35972222222222222</v>
      </c>
      <c r="Y1638" s="59">
        <v>0.40138888888888885</v>
      </c>
      <c r="Z1638" s="59">
        <v>4.1666666666666664E-2</v>
      </c>
      <c r="AA1638">
        <v>0</v>
      </c>
      <c r="AC1638">
        <v>20</v>
      </c>
      <c r="AD1638">
        <v>9</v>
      </c>
      <c r="AE1638" s="59">
        <v>0.35972222222222222</v>
      </c>
      <c r="AF1638" s="59">
        <v>0.40069444444444446</v>
      </c>
      <c r="AG1638">
        <v>25</v>
      </c>
    </row>
    <row r="1639" spans="1:33" x14ac:dyDescent="0.25">
      <c r="A1639" t="s">
        <v>258</v>
      </c>
      <c r="B1639" t="s">
        <v>287</v>
      </c>
      <c r="C1639" t="s">
        <v>288</v>
      </c>
      <c r="E1639" t="s">
        <v>289</v>
      </c>
      <c r="F1639" t="s">
        <v>134</v>
      </c>
      <c r="H1639" t="s">
        <v>152</v>
      </c>
      <c r="I1639" t="s">
        <v>127</v>
      </c>
      <c r="J1639" t="s">
        <v>266</v>
      </c>
      <c r="K1639" t="s">
        <v>435</v>
      </c>
      <c r="L1639" t="s">
        <v>436</v>
      </c>
      <c r="N1639" t="s">
        <v>437</v>
      </c>
      <c r="O1639" t="s">
        <v>134</v>
      </c>
      <c r="Q1639" t="s">
        <v>241</v>
      </c>
      <c r="R1639" t="s">
        <v>153</v>
      </c>
      <c r="S1639" t="s">
        <v>128</v>
      </c>
      <c r="T1639" t="s">
        <v>165</v>
      </c>
      <c r="U1639" t="s">
        <v>151</v>
      </c>
      <c r="V1639" t="s">
        <v>74</v>
      </c>
      <c r="W1639" s="58">
        <v>43334</v>
      </c>
      <c r="X1639" s="59">
        <v>0.40277777777777773</v>
      </c>
      <c r="Y1639" s="59">
        <v>0.44444444444444442</v>
      </c>
      <c r="Z1639" s="59">
        <v>4.1666666666666664E-2</v>
      </c>
      <c r="AA1639">
        <v>0</v>
      </c>
      <c r="AB1639">
        <v>0.27279999999999999</v>
      </c>
      <c r="AC1639">
        <v>20</v>
      </c>
      <c r="AD1639">
        <v>9</v>
      </c>
      <c r="AE1639" s="59">
        <v>0.40277777777777773</v>
      </c>
      <c r="AF1639" s="59">
        <v>0.44375000000000003</v>
      </c>
      <c r="AG1639">
        <v>25</v>
      </c>
    </row>
    <row r="1640" spans="1:33" x14ac:dyDescent="0.25">
      <c r="A1640" t="s">
        <v>258</v>
      </c>
      <c r="B1640" t="s">
        <v>325</v>
      </c>
      <c r="C1640" t="s">
        <v>326</v>
      </c>
      <c r="E1640" t="s">
        <v>327</v>
      </c>
      <c r="F1640" t="s">
        <v>134</v>
      </c>
      <c r="H1640" t="s">
        <v>182</v>
      </c>
      <c r="I1640" t="s">
        <v>147</v>
      </c>
      <c r="J1640" t="s">
        <v>266</v>
      </c>
      <c r="K1640" t="s">
        <v>435</v>
      </c>
      <c r="L1640" t="s">
        <v>436</v>
      </c>
      <c r="N1640" t="s">
        <v>437</v>
      </c>
      <c r="O1640" t="s">
        <v>134</v>
      </c>
      <c r="Q1640" t="s">
        <v>241</v>
      </c>
      <c r="R1640" t="s">
        <v>183</v>
      </c>
      <c r="S1640" t="s">
        <v>128</v>
      </c>
      <c r="T1640" t="s">
        <v>165</v>
      </c>
      <c r="U1640" t="s">
        <v>129</v>
      </c>
      <c r="V1640" t="s">
        <v>74</v>
      </c>
      <c r="W1640" s="58">
        <v>43334</v>
      </c>
      <c r="X1640" s="59">
        <v>0.5</v>
      </c>
      <c r="Y1640" s="59">
        <v>0.54166666666666663</v>
      </c>
      <c r="Z1640" s="59">
        <v>4.1666666666666664E-2</v>
      </c>
      <c r="AA1640">
        <v>0</v>
      </c>
      <c r="AB1640">
        <v>2.8090000000000002</v>
      </c>
      <c r="AC1640">
        <v>23</v>
      </c>
      <c r="AD1640">
        <v>9</v>
      </c>
      <c r="AE1640" s="59">
        <v>0.5</v>
      </c>
      <c r="AF1640" s="59">
        <v>0.54097222222222219</v>
      </c>
      <c r="AG1640">
        <v>25</v>
      </c>
    </row>
    <row r="1641" spans="1:33" x14ac:dyDescent="0.25">
      <c r="A1641" t="s">
        <v>258</v>
      </c>
      <c r="B1641" t="s">
        <v>299</v>
      </c>
      <c r="C1641" t="s">
        <v>300</v>
      </c>
      <c r="D1641" t="s">
        <v>301</v>
      </c>
      <c r="E1641" t="s">
        <v>302</v>
      </c>
      <c r="F1641" t="s">
        <v>303</v>
      </c>
      <c r="H1641" t="s">
        <v>166</v>
      </c>
      <c r="I1641" t="s">
        <v>142</v>
      </c>
      <c r="J1641" t="s">
        <v>266</v>
      </c>
      <c r="K1641" t="s">
        <v>435</v>
      </c>
      <c r="L1641" t="s">
        <v>436</v>
      </c>
      <c r="N1641" t="s">
        <v>437</v>
      </c>
      <c r="O1641" t="s">
        <v>134</v>
      </c>
      <c r="Q1641" t="s">
        <v>241</v>
      </c>
      <c r="R1641" t="s">
        <v>167</v>
      </c>
      <c r="S1641" t="s">
        <v>128</v>
      </c>
      <c r="T1641" t="s">
        <v>165</v>
      </c>
      <c r="U1641" t="s">
        <v>129</v>
      </c>
      <c r="V1641" t="s">
        <v>75</v>
      </c>
      <c r="W1641" s="58">
        <v>43335</v>
      </c>
      <c r="X1641" s="59">
        <v>0.30208333333333331</v>
      </c>
      <c r="Y1641" s="59">
        <v>0.34375</v>
      </c>
      <c r="Z1641" s="59">
        <v>4.1666666666666664E-2</v>
      </c>
      <c r="AA1641">
        <v>0</v>
      </c>
      <c r="AC1641">
        <v>23</v>
      </c>
      <c r="AD1641">
        <v>9</v>
      </c>
      <c r="AE1641" s="59">
        <v>0.30208333333333331</v>
      </c>
      <c r="AF1641" s="59">
        <v>0.3430555555555555</v>
      </c>
      <c r="AG1641">
        <v>25</v>
      </c>
    </row>
    <row r="1642" spans="1:33" x14ac:dyDescent="0.25">
      <c r="A1642" t="s">
        <v>258</v>
      </c>
      <c r="B1642" t="s">
        <v>310</v>
      </c>
      <c r="C1642" t="s">
        <v>311</v>
      </c>
      <c r="D1642" t="s">
        <v>312</v>
      </c>
      <c r="E1642" t="s">
        <v>313</v>
      </c>
      <c r="F1642" t="s">
        <v>134</v>
      </c>
      <c r="H1642" t="s">
        <v>175</v>
      </c>
      <c r="I1642" t="s">
        <v>127</v>
      </c>
      <c r="J1642" t="s">
        <v>266</v>
      </c>
      <c r="K1642" t="s">
        <v>435</v>
      </c>
      <c r="L1642" t="s">
        <v>436</v>
      </c>
      <c r="N1642" t="s">
        <v>437</v>
      </c>
      <c r="O1642" t="s">
        <v>134</v>
      </c>
      <c r="Q1642" t="s">
        <v>241</v>
      </c>
      <c r="R1642" t="s">
        <v>176</v>
      </c>
      <c r="S1642" t="s">
        <v>128</v>
      </c>
      <c r="T1642" t="s">
        <v>165</v>
      </c>
      <c r="U1642" t="s">
        <v>151</v>
      </c>
      <c r="V1642" t="s">
        <v>75</v>
      </c>
      <c r="W1642" s="58">
        <v>43335</v>
      </c>
      <c r="X1642" s="59">
        <v>0.40625</v>
      </c>
      <c r="Y1642" s="59">
        <v>0.44791666666666669</v>
      </c>
      <c r="Z1642" s="59">
        <v>4.1666666666666664E-2</v>
      </c>
      <c r="AA1642">
        <v>0</v>
      </c>
      <c r="AB1642">
        <v>5.1647999999999996</v>
      </c>
      <c r="AC1642">
        <v>20</v>
      </c>
      <c r="AD1642">
        <v>9</v>
      </c>
      <c r="AE1642" s="59">
        <v>0.40625</v>
      </c>
      <c r="AF1642" s="59">
        <v>0.44722222222222219</v>
      </c>
      <c r="AG1642">
        <v>25</v>
      </c>
    </row>
    <row r="1643" spans="1:33" x14ac:dyDescent="0.25">
      <c r="A1643" t="s">
        <v>258</v>
      </c>
      <c r="B1643" t="s">
        <v>299</v>
      </c>
      <c r="C1643" t="s">
        <v>300</v>
      </c>
      <c r="D1643" t="s">
        <v>301</v>
      </c>
      <c r="E1643" t="s">
        <v>302</v>
      </c>
      <c r="F1643" t="s">
        <v>303</v>
      </c>
      <c r="H1643" t="s">
        <v>166</v>
      </c>
      <c r="I1643" t="s">
        <v>142</v>
      </c>
      <c r="J1643" t="s">
        <v>266</v>
      </c>
      <c r="K1643" t="s">
        <v>435</v>
      </c>
      <c r="L1643" t="s">
        <v>436</v>
      </c>
      <c r="N1643" t="s">
        <v>437</v>
      </c>
      <c r="O1643" t="s">
        <v>134</v>
      </c>
      <c r="Q1643" t="s">
        <v>241</v>
      </c>
      <c r="R1643" t="s">
        <v>167</v>
      </c>
      <c r="S1643" t="s">
        <v>128</v>
      </c>
      <c r="T1643" t="s">
        <v>165</v>
      </c>
      <c r="U1643" t="s">
        <v>129</v>
      </c>
      <c r="V1643" t="s">
        <v>76</v>
      </c>
      <c r="W1643" s="58">
        <v>43336</v>
      </c>
      <c r="X1643" s="59">
        <v>0.30208333333333331</v>
      </c>
      <c r="Y1643" s="59">
        <v>0.34375</v>
      </c>
      <c r="Z1643" s="59">
        <v>4.1666666666666664E-2</v>
      </c>
      <c r="AA1643">
        <v>0</v>
      </c>
      <c r="AC1643">
        <v>23</v>
      </c>
      <c r="AD1643">
        <v>9</v>
      </c>
      <c r="AE1643" s="59">
        <v>0.30208333333333331</v>
      </c>
      <c r="AF1643" s="59">
        <v>0.3430555555555555</v>
      </c>
      <c r="AG1643">
        <v>25</v>
      </c>
    </row>
    <row r="1644" spans="1:33" x14ac:dyDescent="0.25">
      <c r="A1644" t="s">
        <v>258</v>
      </c>
      <c r="B1644" t="s">
        <v>310</v>
      </c>
      <c r="C1644" t="s">
        <v>311</v>
      </c>
      <c r="D1644" t="s">
        <v>312</v>
      </c>
      <c r="E1644" t="s">
        <v>313</v>
      </c>
      <c r="F1644" t="s">
        <v>134</v>
      </c>
      <c r="H1644" t="s">
        <v>175</v>
      </c>
      <c r="I1644" t="s">
        <v>127</v>
      </c>
      <c r="J1644" t="s">
        <v>266</v>
      </c>
      <c r="K1644" t="s">
        <v>435</v>
      </c>
      <c r="L1644" t="s">
        <v>436</v>
      </c>
      <c r="N1644" t="s">
        <v>437</v>
      </c>
      <c r="O1644" t="s">
        <v>134</v>
      </c>
      <c r="Q1644" t="s">
        <v>241</v>
      </c>
      <c r="R1644" t="s">
        <v>176</v>
      </c>
      <c r="S1644" t="s">
        <v>128</v>
      </c>
      <c r="T1644" t="s">
        <v>165</v>
      </c>
      <c r="U1644" t="s">
        <v>151</v>
      </c>
      <c r="V1644" t="s">
        <v>76</v>
      </c>
      <c r="W1644" s="58">
        <v>43336</v>
      </c>
      <c r="X1644" s="59">
        <v>0.40625</v>
      </c>
      <c r="Y1644" s="59">
        <v>0.44791666666666669</v>
      </c>
      <c r="Z1644" s="59">
        <v>4.1666666666666664E-2</v>
      </c>
      <c r="AA1644">
        <v>0</v>
      </c>
      <c r="AB1644">
        <v>5.1647999999999996</v>
      </c>
      <c r="AC1644">
        <v>20</v>
      </c>
      <c r="AD1644">
        <v>9</v>
      </c>
      <c r="AE1644" s="59">
        <v>0.40625</v>
      </c>
      <c r="AF1644" s="59">
        <v>0.44722222222222219</v>
      </c>
      <c r="AG1644">
        <v>25</v>
      </c>
    </row>
    <row r="1645" spans="1:33" x14ac:dyDescent="0.25">
      <c r="A1645" t="s">
        <v>258</v>
      </c>
      <c r="B1645" t="s">
        <v>325</v>
      </c>
      <c r="C1645" t="s">
        <v>326</v>
      </c>
      <c r="E1645" t="s">
        <v>327</v>
      </c>
      <c r="F1645" t="s">
        <v>134</v>
      </c>
      <c r="H1645" t="s">
        <v>182</v>
      </c>
      <c r="I1645" t="s">
        <v>147</v>
      </c>
      <c r="J1645" t="s">
        <v>266</v>
      </c>
      <c r="K1645" t="s">
        <v>435</v>
      </c>
      <c r="L1645" t="s">
        <v>436</v>
      </c>
      <c r="N1645" t="s">
        <v>437</v>
      </c>
      <c r="O1645" t="s">
        <v>134</v>
      </c>
      <c r="Q1645" t="s">
        <v>241</v>
      </c>
      <c r="R1645" t="s">
        <v>183</v>
      </c>
      <c r="S1645" t="s">
        <v>128</v>
      </c>
      <c r="T1645" t="s">
        <v>165</v>
      </c>
      <c r="U1645" t="s">
        <v>129</v>
      </c>
      <c r="V1645" t="s">
        <v>76</v>
      </c>
      <c r="W1645" s="58">
        <v>43336</v>
      </c>
      <c r="X1645" s="59">
        <v>0.5</v>
      </c>
      <c r="Y1645" s="59">
        <v>0.54166666666666663</v>
      </c>
      <c r="Z1645" s="59">
        <v>4.1666666666666664E-2</v>
      </c>
      <c r="AA1645">
        <v>0</v>
      </c>
      <c r="AB1645">
        <v>3.2147999999999999</v>
      </c>
      <c r="AC1645">
        <v>23</v>
      </c>
      <c r="AD1645">
        <v>9</v>
      </c>
      <c r="AE1645" s="59">
        <v>0.5</v>
      </c>
      <c r="AF1645" s="59">
        <v>0.54097222222222219</v>
      </c>
      <c r="AG1645">
        <v>25</v>
      </c>
    </row>
    <row r="1646" spans="1:33" x14ac:dyDescent="0.25">
      <c r="A1646" t="s">
        <v>258</v>
      </c>
      <c r="B1646" t="s">
        <v>281</v>
      </c>
      <c r="C1646" t="s">
        <v>282</v>
      </c>
      <c r="E1646" t="s">
        <v>283</v>
      </c>
      <c r="F1646" t="s">
        <v>134</v>
      </c>
      <c r="G1646" t="s">
        <v>218</v>
      </c>
      <c r="H1646" t="s">
        <v>146</v>
      </c>
      <c r="I1646" t="s">
        <v>147</v>
      </c>
      <c r="J1646" t="s">
        <v>266</v>
      </c>
      <c r="K1646" t="s">
        <v>435</v>
      </c>
      <c r="L1646" t="s">
        <v>436</v>
      </c>
      <c r="N1646" t="s">
        <v>437</v>
      </c>
      <c r="O1646" t="s">
        <v>134</v>
      </c>
      <c r="Q1646" t="s">
        <v>241</v>
      </c>
      <c r="R1646" t="s">
        <v>148</v>
      </c>
      <c r="S1646" t="s">
        <v>128</v>
      </c>
      <c r="T1646" t="s">
        <v>165</v>
      </c>
      <c r="U1646" t="s">
        <v>129</v>
      </c>
      <c r="V1646" t="s">
        <v>77</v>
      </c>
      <c r="W1646" s="58">
        <v>43337</v>
      </c>
      <c r="X1646" s="59">
        <v>0.31944444444444448</v>
      </c>
      <c r="Y1646" s="59">
        <v>0.3611111111111111</v>
      </c>
      <c r="Z1646" s="59">
        <v>4.1666666666666664E-2</v>
      </c>
      <c r="AA1646">
        <v>0</v>
      </c>
      <c r="AD1646">
        <v>10</v>
      </c>
      <c r="AE1646" s="59">
        <v>0.31944444444444448</v>
      </c>
      <c r="AF1646" s="59">
        <v>0.36041666666666666</v>
      </c>
      <c r="AG1646">
        <v>25</v>
      </c>
    </row>
    <row r="1647" spans="1:33" x14ac:dyDescent="0.25">
      <c r="A1647" t="s">
        <v>274</v>
      </c>
      <c r="B1647" t="s">
        <v>328</v>
      </c>
      <c r="C1647" t="s">
        <v>329</v>
      </c>
      <c r="D1647">
        <v>5</v>
      </c>
      <c r="E1647" t="s">
        <v>330</v>
      </c>
      <c r="F1647" t="s">
        <v>134</v>
      </c>
      <c r="G1647" t="s">
        <v>218</v>
      </c>
      <c r="H1647" t="s">
        <v>188</v>
      </c>
      <c r="I1647" t="s">
        <v>189</v>
      </c>
      <c r="J1647" t="s">
        <v>266</v>
      </c>
      <c r="K1647" t="s">
        <v>435</v>
      </c>
      <c r="L1647" t="s">
        <v>436</v>
      </c>
      <c r="N1647" t="s">
        <v>437</v>
      </c>
      <c r="O1647" t="s">
        <v>134</v>
      </c>
      <c r="Q1647" t="s">
        <v>241</v>
      </c>
      <c r="R1647" t="s">
        <v>190</v>
      </c>
      <c r="S1647" t="s">
        <v>128</v>
      </c>
      <c r="T1647" t="s">
        <v>165</v>
      </c>
      <c r="U1647" t="s">
        <v>151</v>
      </c>
      <c r="V1647" t="s">
        <v>77</v>
      </c>
      <c r="W1647" s="58">
        <v>43337</v>
      </c>
      <c r="X1647" s="59">
        <v>0.375</v>
      </c>
      <c r="Y1647" s="59">
        <v>0.45833333333333331</v>
      </c>
      <c r="Z1647" s="59">
        <v>8.3333333333333329E-2</v>
      </c>
      <c r="AA1647">
        <v>0</v>
      </c>
      <c r="AB1647">
        <v>3.1694</v>
      </c>
      <c r="AC1647">
        <v>40</v>
      </c>
      <c r="AD1647">
        <v>20</v>
      </c>
      <c r="AE1647" s="59">
        <v>0.375</v>
      </c>
      <c r="AF1647" s="59">
        <v>0.45763888888888887</v>
      </c>
      <c r="AG1647">
        <v>25</v>
      </c>
    </row>
    <row r="1648" spans="1:33" x14ac:dyDescent="0.25">
      <c r="A1648" t="s">
        <v>274</v>
      </c>
      <c r="B1648" t="s">
        <v>328</v>
      </c>
      <c r="C1648" t="s">
        <v>329</v>
      </c>
      <c r="D1648">
        <v>5</v>
      </c>
      <c r="E1648" t="s">
        <v>330</v>
      </c>
      <c r="F1648" t="s">
        <v>134</v>
      </c>
      <c r="G1648" t="s">
        <v>218</v>
      </c>
      <c r="H1648" t="s">
        <v>188</v>
      </c>
      <c r="I1648" t="s">
        <v>189</v>
      </c>
      <c r="J1648" t="s">
        <v>266</v>
      </c>
      <c r="K1648" t="s">
        <v>435</v>
      </c>
      <c r="L1648" t="s">
        <v>436</v>
      </c>
      <c r="N1648" t="s">
        <v>437</v>
      </c>
      <c r="O1648" t="s">
        <v>134</v>
      </c>
      <c r="Q1648" t="s">
        <v>241</v>
      </c>
      <c r="R1648" t="s">
        <v>190</v>
      </c>
      <c r="S1648" t="s">
        <v>128</v>
      </c>
      <c r="T1648" t="s">
        <v>165</v>
      </c>
      <c r="U1648" t="s">
        <v>151</v>
      </c>
      <c r="V1648" t="s">
        <v>72</v>
      </c>
      <c r="W1648" s="58">
        <v>43339</v>
      </c>
      <c r="X1648" s="59">
        <v>0.33333333333333331</v>
      </c>
      <c r="Y1648" s="59">
        <v>0.5</v>
      </c>
      <c r="Z1648" s="59">
        <v>0.16666666666666666</v>
      </c>
      <c r="AA1648">
        <v>0</v>
      </c>
      <c r="AC1648">
        <v>80</v>
      </c>
      <c r="AD1648">
        <v>36</v>
      </c>
      <c r="AE1648" s="59">
        <v>0.33333333333333331</v>
      </c>
      <c r="AF1648" s="59">
        <v>0.4993055555555555</v>
      </c>
      <c r="AG1648">
        <v>25</v>
      </c>
    </row>
    <row r="1649" spans="1:33" x14ac:dyDescent="0.25">
      <c r="A1649" t="s">
        <v>258</v>
      </c>
      <c r="B1649" t="s">
        <v>262</v>
      </c>
      <c r="C1649" t="s">
        <v>263</v>
      </c>
      <c r="D1649" t="s">
        <v>264</v>
      </c>
      <c r="E1649" t="s">
        <v>265</v>
      </c>
      <c r="F1649" t="s">
        <v>134</v>
      </c>
      <c r="H1649" t="s">
        <v>132</v>
      </c>
      <c r="I1649" t="s">
        <v>133</v>
      </c>
      <c r="J1649" t="s">
        <v>266</v>
      </c>
      <c r="K1649" t="s">
        <v>435</v>
      </c>
      <c r="L1649" t="s">
        <v>436</v>
      </c>
      <c r="N1649" t="s">
        <v>437</v>
      </c>
      <c r="O1649" t="s">
        <v>134</v>
      </c>
      <c r="Q1649" t="s">
        <v>241</v>
      </c>
      <c r="R1649" t="s">
        <v>136</v>
      </c>
      <c r="S1649" t="s">
        <v>128</v>
      </c>
      <c r="T1649" t="s">
        <v>165</v>
      </c>
      <c r="U1649" t="s">
        <v>129</v>
      </c>
      <c r="V1649" t="s">
        <v>72</v>
      </c>
      <c r="W1649" s="58">
        <v>43339</v>
      </c>
      <c r="X1649" s="59">
        <v>0.6875</v>
      </c>
      <c r="Y1649" s="59">
        <v>0.72916666666666663</v>
      </c>
      <c r="Z1649" s="59">
        <v>4.1666666666666664E-2</v>
      </c>
      <c r="AA1649">
        <v>0</v>
      </c>
      <c r="AC1649">
        <v>23</v>
      </c>
      <c r="AD1649">
        <v>9</v>
      </c>
      <c r="AE1649" s="59">
        <v>0.6875</v>
      </c>
      <c r="AF1649" s="59">
        <v>0.7284722222222223</v>
      </c>
      <c r="AG1649">
        <v>25</v>
      </c>
    </row>
    <row r="1650" spans="1:33" x14ac:dyDescent="0.25">
      <c r="A1650" t="s">
        <v>274</v>
      </c>
      <c r="B1650" t="s">
        <v>328</v>
      </c>
      <c r="C1650" t="s">
        <v>329</v>
      </c>
      <c r="D1650">
        <v>5</v>
      </c>
      <c r="E1650" t="s">
        <v>330</v>
      </c>
      <c r="F1650" t="s">
        <v>134</v>
      </c>
      <c r="G1650" t="s">
        <v>218</v>
      </c>
      <c r="H1650" t="s">
        <v>188</v>
      </c>
      <c r="I1650" t="s">
        <v>189</v>
      </c>
      <c r="J1650" t="s">
        <v>266</v>
      </c>
      <c r="K1650" t="s">
        <v>435</v>
      </c>
      <c r="L1650" t="s">
        <v>436</v>
      </c>
      <c r="N1650" t="s">
        <v>437</v>
      </c>
      <c r="O1650" t="s">
        <v>134</v>
      </c>
      <c r="Q1650" t="s">
        <v>241</v>
      </c>
      <c r="R1650" t="s">
        <v>190</v>
      </c>
      <c r="S1650" t="s">
        <v>128</v>
      </c>
      <c r="T1650" t="s">
        <v>165</v>
      </c>
      <c r="U1650" t="s">
        <v>151</v>
      </c>
      <c r="V1650" t="s">
        <v>73</v>
      </c>
      <c r="W1650" s="58">
        <v>43340</v>
      </c>
      <c r="X1650" s="59">
        <v>0.33333333333333331</v>
      </c>
      <c r="Y1650" s="59">
        <v>0.5</v>
      </c>
      <c r="Z1650" s="59">
        <v>0.16666666666666666</v>
      </c>
      <c r="AA1650">
        <v>20</v>
      </c>
      <c r="AC1650">
        <v>80</v>
      </c>
      <c r="AD1650">
        <v>36</v>
      </c>
      <c r="AE1650" s="59">
        <v>0.33333333333333331</v>
      </c>
      <c r="AF1650" s="59">
        <v>0.4993055555555555</v>
      </c>
      <c r="AG1650">
        <v>25</v>
      </c>
    </row>
    <row r="1651" spans="1:33" x14ac:dyDescent="0.25">
      <c r="A1651" t="s">
        <v>258</v>
      </c>
      <c r="B1651" t="s">
        <v>278</v>
      </c>
      <c r="C1651" t="s">
        <v>279</v>
      </c>
      <c r="E1651" t="s">
        <v>280</v>
      </c>
      <c r="F1651" t="s">
        <v>134</v>
      </c>
      <c r="H1651" t="s">
        <v>144</v>
      </c>
      <c r="I1651" t="s">
        <v>133</v>
      </c>
      <c r="J1651" t="s">
        <v>266</v>
      </c>
      <c r="K1651" t="s">
        <v>435</v>
      </c>
      <c r="L1651" t="s">
        <v>436</v>
      </c>
      <c r="N1651" t="s">
        <v>437</v>
      </c>
      <c r="O1651" t="s">
        <v>134</v>
      </c>
      <c r="Q1651" t="s">
        <v>241</v>
      </c>
      <c r="R1651" t="s">
        <v>145</v>
      </c>
      <c r="S1651" t="s">
        <v>128</v>
      </c>
      <c r="T1651" t="s">
        <v>165</v>
      </c>
      <c r="U1651" t="s">
        <v>129</v>
      </c>
      <c r="V1651" t="s">
        <v>73</v>
      </c>
      <c r="W1651" s="58">
        <v>43340</v>
      </c>
      <c r="X1651" s="59">
        <v>0.70833333333333337</v>
      </c>
      <c r="Y1651" s="59">
        <v>0.75</v>
      </c>
      <c r="Z1651" s="59">
        <v>4.1666666666666664E-2</v>
      </c>
      <c r="AA1651">
        <v>0</v>
      </c>
      <c r="AC1651">
        <v>23</v>
      </c>
      <c r="AD1651">
        <v>9</v>
      </c>
      <c r="AE1651" s="59">
        <v>0.70833333333333337</v>
      </c>
      <c r="AF1651" s="59">
        <v>0.74930555555555556</v>
      </c>
      <c r="AG1651">
        <v>25</v>
      </c>
    </row>
    <row r="1652" spans="1:33" x14ac:dyDescent="0.25">
      <c r="A1652" t="s">
        <v>258</v>
      </c>
      <c r="B1652" t="s">
        <v>270</v>
      </c>
      <c r="C1652" t="s">
        <v>271</v>
      </c>
      <c r="D1652" t="s">
        <v>272</v>
      </c>
      <c r="E1652" t="s">
        <v>273</v>
      </c>
      <c r="F1652" t="s">
        <v>134</v>
      </c>
      <c r="H1652" t="s">
        <v>138</v>
      </c>
      <c r="I1652" t="s">
        <v>139</v>
      </c>
      <c r="J1652" t="s">
        <v>266</v>
      </c>
      <c r="K1652" t="s">
        <v>435</v>
      </c>
      <c r="L1652" t="s">
        <v>436</v>
      </c>
      <c r="N1652" t="s">
        <v>437</v>
      </c>
      <c r="O1652" t="s">
        <v>134</v>
      </c>
      <c r="Q1652" t="s">
        <v>241</v>
      </c>
      <c r="R1652" t="s">
        <v>140</v>
      </c>
      <c r="S1652" t="s">
        <v>128</v>
      </c>
      <c r="T1652" t="s">
        <v>165</v>
      </c>
      <c r="U1652" t="s">
        <v>129</v>
      </c>
      <c r="V1652" t="s">
        <v>73</v>
      </c>
      <c r="W1652" s="58">
        <v>43340</v>
      </c>
      <c r="X1652" s="59">
        <v>0.76041666666666663</v>
      </c>
      <c r="Y1652" s="59">
        <v>0.80208333333333337</v>
      </c>
      <c r="Z1652" s="59">
        <v>4.1666666666666664E-2</v>
      </c>
      <c r="AA1652">
        <v>0</v>
      </c>
      <c r="AB1652">
        <v>2.2465999999999999</v>
      </c>
      <c r="AD1652">
        <v>9</v>
      </c>
      <c r="AE1652" s="59">
        <v>0.76041666666666663</v>
      </c>
      <c r="AF1652" s="59">
        <v>0.80138888888888893</v>
      </c>
      <c r="AG1652">
        <v>25</v>
      </c>
    </row>
    <row r="1653" spans="1:33" x14ac:dyDescent="0.25">
      <c r="A1653" t="s">
        <v>274</v>
      </c>
      <c r="B1653" t="s">
        <v>328</v>
      </c>
      <c r="C1653" t="s">
        <v>329</v>
      </c>
      <c r="D1653">
        <v>5</v>
      </c>
      <c r="E1653" t="s">
        <v>330</v>
      </c>
      <c r="F1653" t="s">
        <v>134</v>
      </c>
      <c r="G1653" t="s">
        <v>218</v>
      </c>
      <c r="H1653" t="s">
        <v>188</v>
      </c>
      <c r="I1653" t="s">
        <v>189</v>
      </c>
      <c r="J1653" t="s">
        <v>266</v>
      </c>
      <c r="K1653" t="s">
        <v>435</v>
      </c>
      <c r="L1653" t="s">
        <v>436</v>
      </c>
      <c r="N1653" t="s">
        <v>437</v>
      </c>
      <c r="O1653" t="s">
        <v>134</v>
      </c>
      <c r="Q1653" t="s">
        <v>241</v>
      </c>
      <c r="R1653" t="s">
        <v>190</v>
      </c>
      <c r="S1653" t="s">
        <v>128</v>
      </c>
      <c r="T1653" t="s">
        <v>165</v>
      </c>
      <c r="U1653" t="s">
        <v>151</v>
      </c>
      <c r="V1653" t="s">
        <v>74</v>
      </c>
      <c r="W1653" s="58">
        <v>43341</v>
      </c>
      <c r="X1653" s="59">
        <v>0.33333333333333331</v>
      </c>
      <c r="Y1653" s="59">
        <v>0.45833333333333331</v>
      </c>
      <c r="Z1653" s="59">
        <v>0.125</v>
      </c>
      <c r="AA1653">
        <v>20</v>
      </c>
      <c r="AC1653">
        <v>60</v>
      </c>
      <c r="AD1653">
        <v>27</v>
      </c>
      <c r="AE1653" s="59">
        <v>0.33333333333333331</v>
      </c>
      <c r="AF1653" s="59">
        <v>0.45763888888888887</v>
      </c>
      <c r="AG1653">
        <v>25</v>
      </c>
    </row>
    <row r="1654" spans="1:33" x14ac:dyDescent="0.25">
      <c r="B1654" t="s">
        <v>331</v>
      </c>
      <c r="C1654" t="s">
        <v>332</v>
      </c>
      <c r="E1654" t="s">
        <v>333</v>
      </c>
      <c r="F1654" t="s">
        <v>134</v>
      </c>
      <c r="G1654" t="s">
        <v>218</v>
      </c>
      <c r="H1654" t="s">
        <v>177</v>
      </c>
      <c r="I1654" t="s">
        <v>158</v>
      </c>
      <c r="J1654" t="s">
        <v>266</v>
      </c>
      <c r="K1654" t="s">
        <v>435</v>
      </c>
      <c r="L1654" t="s">
        <v>436</v>
      </c>
      <c r="N1654" t="s">
        <v>437</v>
      </c>
      <c r="O1654" t="s">
        <v>134</v>
      </c>
      <c r="Q1654" t="s">
        <v>241</v>
      </c>
      <c r="R1654" t="s">
        <v>179</v>
      </c>
      <c r="S1654" t="s">
        <v>128</v>
      </c>
      <c r="T1654" t="s">
        <v>165</v>
      </c>
      <c r="U1654" t="s">
        <v>242</v>
      </c>
      <c r="V1654" t="s">
        <v>74</v>
      </c>
      <c r="W1654" s="58">
        <v>43341</v>
      </c>
      <c r="X1654" s="59">
        <v>0.54166666666666663</v>
      </c>
      <c r="Y1654" s="59">
        <v>0.70833333333333337</v>
      </c>
      <c r="Z1654" s="59">
        <v>0.16666666666666666</v>
      </c>
      <c r="AA1654">
        <v>0</v>
      </c>
      <c r="AB1654">
        <v>11.574999999999999</v>
      </c>
      <c r="AC1654">
        <v>0</v>
      </c>
      <c r="AD1654">
        <v>36</v>
      </c>
      <c r="AE1654" s="59">
        <v>0.54166666666666663</v>
      </c>
      <c r="AF1654" s="59">
        <v>0.70763888888888893</v>
      </c>
      <c r="AG1654">
        <v>25</v>
      </c>
    </row>
    <row r="1655" spans="1:33" x14ac:dyDescent="0.25">
      <c r="A1655" t="s">
        <v>258</v>
      </c>
      <c r="B1655" t="s">
        <v>310</v>
      </c>
      <c r="C1655" t="s">
        <v>311</v>
      </c>
      <c r="D1655" t="s">
        <v>312</v>
      </c>
      <c r="E1655" t="s">
        <v>313</v>
      </c>
      <c r="F1655" t="s">
        <v>134</v>
      </c>
      <c r="H1655" t="s">
        <v>175</v>
      </c>
      <c r="I1655" t="s">
        <v>127</v>
      </c>
      <c r="J1655" t="s">
        <v>266</v>
      </c>
      <c r="K1655" t="s">
        <v>435</v>
      </c>
      <c r="L1655" t="s">
        <v>436</v>
      </c>
      <c r="N1655" t="s">
        <v>437</v>
      </c>
      <c r="O1655" t="s">
        <v>134</v>
      </c>
      <c r="Q1655" t="s">
        <v>241</v>
      </c>
      <c r="R1655" t="s">
        <v>176</v>
      </c>
      <c r="S1655" t="s">
        <v>128</v>
      </c>
      <c r="T1655" t="s">
        <v>165</v>
      </c>
      <c r="U1655" t="s">
        <v>151</v>
      </c>
      <c r="V1655" t="s">
        <v>75</v>
      </c>
      <c r="W1655" s="58">
        <v>43342</v>
      </c>
      <c r="X1655" s="59">
        <v>0.3972222222222222</v>
      </c>
      <c r="Y1655" s="59">
        <v>0.43888888888888888</v>
      </c>
      <c r="Z1655" s="59">
        <v>4.1666666666666664E-2</v>
      </c>
      <c r="AA1655">
        <v>0</v>
      </c>
      <c r="AC1655">
        <v>20</v>
      </c>
      <c r="AD1655">
        <v>9</v>
      </c>
      <c r="AE1655" s="59">
        <v>0.3972222222222222</v>
      </c>
      <c r="AF1655" s="59">
        <v>0.4381944444444445</v>
      </c>
      <c r="AG1655">
        <v>25</v>
      </c>
    </row>
    <row r="1656" spans="1:33" x14ac:dyDescent="0.25">
      <c r="A1656" t="s">
        <v>258</v>
      </c>
      <c r="B1656" t="s">
        <v>278</v>
      </c>
      <c r="C1656" t="s">
        <v>279</v>
      </c>
      <c r="E1656" t="s">
        <v>280</v>
      </c>
      <c r="F1656" t="s">
        <v>134</v>
      </c>
      <c r="H1656" t="s">
        <v>144</v>
      </c>
      <c r="I1656" t="s">
        <v>133</v>
      </c>
      <c r="J1656" t="s">
        <v>266</v>
      </c>
      <c r="K1656" t="s">
        <v>435</v>
      </c>
      <c r="L1656" t="s">
        <v>436</v>
      </c>
      <c r="N1656" t="s">
        <v>437</v>
      </c>
      <c r="O1656" t="s">
        <v>134</v>
      </c>
      <c r="Q1656" t="s">
        <v>241</v>
      </c>
      <c r="R1656" t="s">
        <v>145</v>
      </c>
      <c r="S1656" t="s">
        <v>128</v>
      </c>
      <c r="T1656" t="s">
        <v>165</v>
      </c>
      <c r="U1656" t="s">
        <v>129</v>
      </c>
      <c r="V1656" t="s">
        <v>75</v>
      </c>
      <c r="W1656" s="58">
        <v>43342</v>
      </c>
      <c r="X1656" s="59">
        <v>0.5</v>
      </c>
      <c r="Y1656" s="59">
        <v>0.54166666666666663</v>
      </c>
      <c r="Z1656" s="59">
        <v>4.1666666666666664E-2</v>
      </c>
      <c r="AA1656">
        <v>0</v>
      </c>
      <c r="AB1656">
        <v>6.0659999999999998</v>
      </c>
      <c r="AC1656">
        <v>23</v>
      </c>
      <c r="AD1656">
        <v>9</v>
      </c>
      <c r="AE1656" s="59">
        <v>0.5</v>
      </c>
      <c r="AF1656" s="59">
        <v>0.54097222222222219</v>
      </c>
      <c r="AG1656">
        <v>25</v>
      </c>
    </row>
    <row r="1657" spans="1:33" x14ac:dyDescent="0.25">
      <c r="A1657" t="s">
        <v>258</v>
      </c>
      <c r="B1657" t="s">
        <v>278</v>
      </c>
      <c r="C1657" t="s">
        <v>279</v>
      </c>
      <c r="E1657" t="s">
        <v>280</v>
      </c>
      <c r="F1657" t="s">
        <v>134</v>
      </c>
      <c r="H1657" t="s">
        <v>144</v>
      </c>
      <c r="I1657" t="s">
        <v>133</v>
      </c>
      <c r="J1657" t="s">
        <v>266</v>
      </c>
      <c r="K1657" t="s">
        <v>435</v>
      </c>
      <c r="L1657" t="s">
        <v>436</v>
      </c>
      <c r="N1657" t="s">
        <v>437</v>
      </c>
      <c r="O1657" t="s">
        <v>134</v>
      </c>
      <c r="Q1657" t="s">
        <v>241</v>
      </c>
      <c r="R1657" t="s">
        <v>145</v>
      </c>
      <c r="S1657" t="s">
        <v>128</v>
      </c>
      <c r="T1657" t="s">
        <v>165</v>
      </c>
      <c r="U1657" t="s">
        <v>129</v>
      </c>
      <c r="V1657" t="s">
        <v>75</v>
      </c>
      <c r="W1657" s="58">
        <v>43342</v>
      </c>
      <c r="X1657" s="59">
        <v>0.70833333333333337</v>
      </c>
      <c r="Y1657" s="59">
        <v>0.75</v>
      </c>
      <c r="Z1657" s="59">
        <v>4.1666666666666664E-2</v>
      </c>
      <c r="AA1657">
        <v>0</v>
      </c>
      <c r="AC1657">
        <v>23</v>
      </c>
      <c r="AD1657">
        <v>9</v>
      </c>
      <c r="AE1657" s="59">
        <v>0.70833333333333337</v>
      </c>
      <c r="AF1657" s="59">
        <v>0.74930555555555556</v>
      </c>
      <c r="AG1657">
        <v>25</v>
      </c>
    </row>
    <row r="1658" spans="1:33" x14ac:dyDescent="0.25">
      <c r="A1658" t="s">
        <v>258</v>
      </c>
      <c r="B1658" t="s">
        <v>310</v>
      </c>
      <c r="C1658" t="s">
        <v>311</v>
      </c>
      <c r="D1658" t="s">
        <v>312</v>
      </c>
      <c r="E1658" t="s">
        <v>313</v>
      </c>
      <c r="F1658" t="s">
        <v>134</v>
      </c>
      <c r="H1658" t="s">
        <v>175</v>
      </c>
      <c r="I1658" t="s">
        <v>127</v>
      </c>
      <c r="J1658" t="s">
        <v>266</v>
      </c>
      <c r="K1658" t="s">
        <v>435</v>
      </c>
      <c r="L1658" t="s">
        <v>436</v>
      </c>
      <c r="N1658" t="s">
        <v>437</v>
      </c>
      <c r="O1658" t="s">
        <v>134</v>
      </c>
      <c r="Q1658" t="s">
        <v>241</v>
      </c>
      <c r="R1658" t="s">
        <v>176</v>
      </c>
      <c r="S1658" t="s">
        <v>128</v>
      </c>
      <c r="T1658" t="s">
        <v>165</v>
      </c>
      <c r="U1658" t="s">
        <v>151</v>
      </c>
      <c r="V1658" t="s">
        <v>76</v>
      </c>
      <c r="W1658" s="58">
        <v>43350</v>
      </c>
      <c r="X1658" s="59">
        <v>0.3888888888888889</v>
      </c>
      <c r="Y1658" s="59">
        <v>0.43055555555555558</v>
      </c>
      <c r="Z1658" s="59">
        <v>4.1666666666666664E-2</v>
      </c>
      <c r="AA1658">
        <v>0</v>
      </c>
      <c r="AC1658">
        <v>20</v>
      </c>
      <c r="AD1658">
        <v>9</v>
      </c>
      <c r="AE1658" s="59">
        <v>0.3888888888888889</v>
      </c>
      <c r="AF1658" s="59">
        <v>0.42986111111111108</v>
      </c>
      <c r="AG1658">
        <v>25</v>
      </c>
    </row>
    <row r="1659" spans="1:33" x14ac:dyDescent="0.25">
      <c r="A1659" t="s">
        <v>258</v>
      </c>
      <c r="B1659" t="s">
        <v>299</v>
      </c>
      <c r="C1659" t="s">
        <v>300</v>
      </c>
      <c r="D1659" t="s">
        <v>301</v>
      </c>
      <c r="E1659" t="s">
        <v>302</v>
      </c>
      <c r="F1659" t="s">
        <v>303</v>
      </c>
      <c r="H1659" t="s">
        <v>166</v>
      </c>
      <c r="I1659" t="s">
        <v>142</v>
      </c>
      <c r="J1659" t="s">
        <v>266</v>
      </c>
      <c r="K1659" t="s">
        <v>435</v>
      </c>
      <c r="L1659" t="s">
        <v>436</v>
      </c>
      <c r="N1659" t="s">
        <v>437</v>
      </c>
      <c r="O1659" t="s">
        <v>134</v>
      </c>
      <c r="Q1659" t="s">
        <v>241</v>
      </c>
      <c r="R1659" t="s">
        <v>167</v>
      </c>
      <c r="S1659" t="s">
        <v>128</v>
      </c>
      <c r="T1659" t="s">
        <v>165</v>
      </c>
      <c r="U1659" t="s">
        <v>129</v>
      </c>
      <c r="V1659" t="s">
        <v>77</v>
      </c>
      <c r="W1659" s="58">
        <v>43351</v>
      </c>
      <c r="X1659" s="59">
        <v>0.30208333333333331</v>
      </c>
      <c r="Y1659" s="59">
        <v>0.34375</v>
      </c>
      <c r="Z1659" s="59">
        <v>4.1666666666666664E-2</v>
      </c>
      <c r="AA1659">
        <v>0</v>
      </c>
      <c r="AC1659">
        <v>23</v>
      </c>
      <c r="AD1659">
        <v>10</v>
      </c>
      <c r="AE1659" s="59">
        <v>0.30208333333333331</v>
      </c>
      <c r="AF1659" s="59">
        <v>0.3430555555555555</v>
      </c>
      <c r="AG1659">
        <v>25</v>
      </c>
    </row>
    <row r="1660" spans="1:33" x14ac:dyDescent="0.25">
      <c r="A1660" t="s">
        <v>274</v>
      </c>
      <c r="B1660" t="s">
        <v>328</v>
      </c>
      <c r="C1660" t="s">
        <v>329</v>
      </c>
      <c r="D1660">
        <v>5</v>
      </c>
      <c r="E1660" t="s">
        <v>330</v>
      </c>
      <c r="F1660" t="s">
        <v>134</v>
      </c>
      <c r="G1660" t="s">
        <v>218</v>
      </c>
      <c r="H1660" t="s">
        <v>188</v>
      </c>
      <c r="I1660" t="s">
        <v>189</v>
      </c>
      <c r="J1660" t="s">
        <v>266</v>
      </c>
      <c r="K1660" t="s">
        <v>435</v>
      </c>
      <c r="L1660" t="s">
        <v>436</v>
      </c>
      <c r="N1660" t="s">
        <v>437</v>
      </c>
      <c r="O1660" t="s">
        <v>134</v>
      </c>
      <c r="Q1660" t="s">
        <v>241</v>
      </c>
      <c r="R1660" t="s">
        <v>190</v>
      </c>
      <c r="S1660" t="s">
        <v>128</v>
      </c>
      <c r="T1660" t="s">
        <v>165</v>
      </c>
      <c r="U1660" t="s">
        <v>151</v>
      </c>
      <c r="V1660" t="s">
        <v>77</v>
      </c>
      <c r="W1660" s="58">
        <v>43351</v>
      </c>
      <c r="X1660" s="59">
        <v>0.38541666666666669</v>
      </c>
      <c r="Y1660" s="59">
        <v>0.47916666666666669</v>
      </c>
      <c r="Z1660" s="59">
        <v>9.375E-2</v>
      </c>
      <c r="AA1660">
        <v>13</v>
      </c>
      <c r="AB1660">
        <v>8.1056000000000008</v>
      </c>
      <c r="AC1660">
        <v>45</v>
      </c>
      <c r="AD1660">
        <v>27.5</v>
      </c>
      <c r="AE1660" s="59">
        <v>0.36458333333333331</v>
      </c>
      <c r="AF1660" s="59">
        <v>0.47847222222222219</v>
      </c>
      <c r="AG1660">
        <v>25</v>
      </c>
    </row>
    <row r="1661" spans="1:33" x14ac:dyDescent="0.25">
      <c r="A1661" t="s">
        <v>258</v>
      </c>
      <c r="B1661" t="s">
        <v>278</v>
      </c>
      <c r="C1661" t="s">
        <v>279</v>
      </c>
      <c r="E1661" t="s">
        <v>280</v>
      </c>
      <c r="F1661" t="s">
        <v>134</v>
      </c>
      <c r="H1661" t="s">
        <v>144</v>
      </c>
      <c r="I1661" t="s">
        <v>133</v>
      </c>
      <c r="J1661" t="s">
        <v>266</v>
      </c>
      <c r="K1661" t="s">
        <v>435</v>
      </c>
      <c r="L1661" t="s">
        <v>436</v>
      </c>
      <c r="N1661" t="s">
        <v>437</v>
      </c>
      <c r="O1661" t="s">
        <v>134</v>
      </c>
      <c r="Q1661" t="s">
        <v>241</v>
      </c>
      <c r="R1661" t="s">
        <v>145</v>
      </c>
      <c r="S1661" t="s">
        <v>128</v>
      </c>
      <c r="T1661" t="s">
        <v>165</v>
      </c>
      <c r="U1661" t="s">
        <v>129</v>
      </c>
      <c r="V1661" t="s">
        <v>77</v>
      </c>
      <c r="W1661" s="58">
        <v>43351</v>
      </c>
      <c r="X1661" s="59">
        <v>0.54166666666666663</v>
      </c>
      <c r="Y1661" s="59">
        <v>0.58333333333333337</v>
      </c>
      <c r="Z1661" s="59">
        <v>4.1666666666666664E-2</v>
      </c>
      <c r="AA1661">
        <v>14</v>
      </c>
      <c r="AB1661">
        <v>9.016</v>
      </c>
      <c r="AC1661">
        <v>23</v>
      </c>
      <c r="AD1661">
        <v>10</v>
      </c>
      <c r="AE1661" s="59">
        <v>0.54166666666666663</v>
      </c>
      <c r="AF1661" s="59">
        <v>0.58263888888888882</v>
      </c>
      <c r="AG1661">
        <v>25</v>
      </c>
    </row>
    <row r="1662" spans="1:33" x14ac:dyDescent="0.25">
      <c r="A1662" t="s">
        <v>258</v>
      </c>
      <c r="B1662" t="s">
        <v>284</v>
      </c>
      <c r="C1662" t="s">
        <v>285</v>
      </c>
      <c r="E1662" t="s">
        <v>286</v>
      </c>
      <c r="F1662" t="s">
        <v>134</v>
      </c>
      <c r="H1662" t="s">
        <v>149</v>
      </c>
      <c r="I1662" t="s">
        <v>127</v>
      </c>
      <c r="J1662" t="s">
        <v>266</v>
      </c>
      <c r="K1662" t="s">
        <v>435</v>
      </c>
      <c r="L1662" t="s">
        <v>436</v>
      </c>
      <c r="N1662" t="s">
        <v>437</v>
      </c>
      <c r="O1662" t="s">
        <v>134</v>
      </c>
      <c r="Q1662" t="s">
        <v>241</v>
      </c>
      <c r="R1662" t="s">
        <v>150</v>
      </c>
      <c r="S1662" t="s">
        <v>128</v>
      </c>
      <c r="T1662" t="s">
        <v>165</v>
      </c>
      <c r="U1662" t="s">
        <v>151</v>
      </c>
      <c r="V1662" t="s">
        <v>72</v>
      </c>
      <c r="W1662" s="58">
        <v>43353</v>
      </c>
      <c r="X1662" s="59">
        <v>0.35416666666666669</v>
      </c>
      <c r="Y1662" s="59">
        <v>0.39583333333333331</v>
      </c>
      <c r="Z1662" s="59">
        <v>4.1666666666666664E-2</v>
      </c>
      <c r="AA1662">
        <v>0</v>
      </c>
      <c r="AC1662">
        <v>20</v>
      </c>
      <c r="AD1662">
        <v>9</v>
      </c>
      <c r="AE1662" s="59">
        <v>0.35416666666666669</v>
      </c>
      <c r="AF1662" s="59">
        <v>0.39513888888888887</v>
      </c>
      <c r="AG1662">
        <v>25</v>
      </c>
    </row>
    <row r="1663" spans="1:33" x14ac:dyDescent="0.25">
      <c r="A1663" t="s">
        <v>258</v>
      </c>
      <c r="B1663" t="s">
        <v>287</v>
      </c>
      <c r="C1663" t="s">
        <v>288</v>
      </c>
      <c r="E1663" t="s">
        <v>289</v>
      </c>
      <c r="F1663" t="s">
        <v>134</v>
      </c>
      <c r="H1663" t="s">
        <v>152</v>
      </c>
      <c r="I1663" t="s">
        <v>127</v>
      </c>
      <c r="J1663" t="s">
        <v>266</v>
      </c>
      <c r="K1663" t="s">
        <v>435</v>
      </c>
      <c r="L1663" t="s">
        <v>436</v>
      </c>
      <c r="N1663" t="s">
        <v>437</v>
      </c>
      <c r="O1663" t="s">
        <v>134</v>
      </c>
      <c r="Q1663" t="s">
        <v>241</v>
      </c>
      <c r="R1663" t="s">
        <v>153</v>
      </c>
      <c r="S1663" t="s">
        <v>128</v>
      </c>
      <c r="T1663" t="s">
        <v>165</v>
      </c>
      <c r="U1663" t="s">
        <v>151</v>
      </c>
      <c r="V1663" t="s">
        <v>72</v>
      </c>
      <c r="W1663" s="58">
        <v>43353</v>
      </c>
      <c r="X1663" s="59">
        <v>0.39583333333333331</v>
      </c>
      <c r="Y1663" s="59">
        <v>0.4375</v>
      </c>
      <c r="Z1663" s="59">
        <v>4.1666666666666664E-2</v>
      </c>
      <c r="AA1663">
        <v>0</v>
      </c>
      <c r="AB1663">
        <v>0.27279999999999999</v>
      </c>
      <c r="AC1663">
        <v>20</v>
      </c>
      <c r="AD1663">
        <v>9</v>
      </c>
      <c r="AE1663" s="59">
        <v>0.39583333333333331</v>
      </c>
      <c r="AF1663" s="59">
        <v>0.4368055555555555</v>
      </c>
      <c r="AG1663">
        <v>25</v>
      </c>
    </row>
    <row r="1664" spans="1:33" x14ac:dyDescent="0.25">
      <c r="A1664" t="s">
        <v>258</v>
      </c>
      <c r="B1664" t="s">
        <v>278</v>
      </c>
      <c r="C1664" t="s">
        <v>279</v>
      </c>
      <c r="E1664" t="s">
        <v>280</v>
      </c>
      <c r="F1664" t="s">
        <v>134</v>
      </c>
      <c r="H1664" t="s">
        <v>144</v>
      </c>
      <c r="I1664" t="s">
        <v>133</v>
      </c>
      <c r="J1664" t="s">
        <v>266</v>
      </c>
      <c r="K1664" t="s">
        <v>435</v>
      </c>
      <c r="L1664" t="s">
        <v>436</v>
      </c>
      <c r="N1664" t="s">
        <v>437</v>
      </c>
      <c r="O1664" t="s">
        <v>134</v>
      </c>
      <c r="Q1664" t="s">
        <v>241</v>
      </c>
      <c r="R1664" t="s">
        <v>145</v>
      </c>
      <c r="S1664" t="s">
        <v>128</v>
      </c>
      <c r="T1664" t="s">
        <v>165</v>
      </c>
      <c r="U1664" t="s">
        <v>129</v>
      </c>
      <c r="V1664" t="s">
        <v>72</v>
      </c>
      <c r="W1664" s="58">
        <v>43353</v>
      </c>
      <c r="X1664" s="59">
        <v>0.70833333333333337</v>
      </c>
      <c r="Y1664" s="59">
        <v>0.75</v>
      </c>
      <c r="Z1664" s="59">
        <v>4.1666666666666664E-2</v>
      </c>
      <c r="AA1664">
        <v>0</v>
      </c>
      <c r="AC1664">
        <v>23</v>
      </c>
      <c r="AD1664">
        <v>9</v>
      </c>
      <c r="AE1664" s="59">
        <v>0.70833333333333337</v>
      </c>
      <c r="AF1664" s="59">
        <v>0.74930555555555556</v>
      </c>
      <c r="AG1664">
        <v>25</v>
      </c>
    </row>
    <row r="1665" spans="1:33" x14ac:dyDescent="0.25">
      <c r="A1665" t="s">
        <v>274</v>
      </c>
      <c r="B1665" t="s">
        <v>328</v>
      </c>
      <c r="C1665" t="s">
        <v>329</v>
      </c>
      <c r="D1665">
        <v>5</v>
      </c>
      <c r="E1665" t="s">
        <v>330</v>
      </c>
      <c r="F1665" t="s">
        <v>134</v>
      </c>
      <c r="G1665" t="s">
        <v>218</v>
      </c>
      <c r="H1665" t="s">
        <v>188</v>
      </c>
      <c r="I1665" t="s">
        <v>189</v>
      </c>
      <c r="J1665" t="s">
        <v>266</v>
      </c>
      <c r="K1665" t="s">
        <v>435</v>
      </c>
      <c r="L1665" t="s">
        <v>436</v>
      </c>
      <c r="N1665" t="s">
        <v>437</v>
      </c>
      <c r="O1665" t="s">
        <v>134</v>
      </c>
      <c r="Q1665" t="s">
        <v>241</v>
      </c>
      <c r="R1665" t="s">
        <v>190</v>
      </c>
      <c r="S1665" t="s">
        <v>128</v>
      </c>
      <c r="T1665" t="s">
        <v>165</v>
      </c>
      <c r="U1665" t="s">
        <v>151</v>
      </c>
      <c r="V1665" t="s">
        <v>73</v>
      </c>
      <c r="W1665" s="58">
        <v>43354</v>
      </c>
      <c r="X1665" s="59">
        <v>0.33333333333333331</v>
      </c>
      <c r="Y1665" s="59">
        <v>0.5</v>
      </c>
      <c r="Z1665" s="59">
        <v>0.16666666666666666</v>
      </c>
      <c r="AA1665">
        <v>20</v>
      </c>
      <c r="AC1665">
        <v>80</v>
      </c>
      <c r="AD1665">
        <v>36</v>
      </c>
      <c r="AE1665" s="59">
        <v>0.33333333333333331</v>
      </c>
      <c r="AF1665" s="59">
        <v>0.4993055555555555</v>
      </c>
      <c r="AG1665">
        <v>25</v>
      </c>
    </row>
    <row r="1666" spans="1:33" x14ac:dyDescent="0.25">
      <c r="A1666" t="s">
        <v>266</v>
      </c>
      <c r="B1666" t="s">
        <v>293</v>
      </c>
      <c r="C1666" t="s">
        <v>294</v>
      </c>
      <c r="E1666" t="s">
        <v>295</v>
      </c>
      <c r="F1666" t="s">
        <v>134</v>
      </c>
      <c r="H1666" t="s">
        <v>157</v>
      </c>
      <c r="I1666" t="s">
        <v>158</v>
      </c>
      <c r="J1666" t="s">
        <v>266</v>
      </c>
      <c r="K1666" t="s">
        <v>435</v>
      </c>
      <c r="L1666" t="s">
        <v>436</v>
      </c>
      <c r="N1666" t="s">
        <v>437</v>
      </c>
      <c r="O1666" t="s">
        <v>134</v>
      </c>
      <c r="Q1666" t="s">
        <v>241</v>
      </c>
      <c r="R1666" t="s">
        <v>161</v>
      </c>
      <c r="S1666" t="s">
        <v>128</v>
      </c>
      <c r="T1666" t="s">
        <v>165</v>
      </c>
      <c r="U1666" t="s">
        <v>163</v>
      </c>
      <c r="V1666" t="s">
        <v>73</v>
      </c>
      <c r="W1666" s="58">
        <v>43354</v>
      </c>
      <c r="X1666" s="59">
        <v>0.6875</v>
      </c>
      <c r="Y1666" s="59">
        <v>0.85416666666666663</v>
      </c>
      <c r="Z1666" s="59">
        <v>0.16666666666666666</v>
      </c>
      <c r="AA1666">
        <v>0</v>
      </c>
      <c r="AC1666">
        <v>72</v>
      </c>
      <c r="AD1666">
        <v>36</v>
      </c>
      <c r="AE1666" s="59">
        <v>0.6875</v>
      </c>
      <c r="AF1666" s="59">
        <v>0.8534722222222223</v>
      </c>
      <c r="AG1666">
        <v>25</v>
      </c>
    </row>
    <row r="1667" spans="1:33" x14ac:dyDescent="0.25">
      <c r="A1667" t="s">
        <v>266</v>
      </c>
      <c r="B1667" t="s">
        <v>293</v>
      </c>
      <c r="C1667" t="s">
        <v>294</v>
      </c>
      <c r="E1667" t="s">
        <v>295</v>
      </c>
      <c r="F1667" t="s">
        <v>134</v>
      </c>
      <c r="H1667" t="s">
        <v>157</v>
      </c>
      <c r="I1667" t="s">
        <v>158</v>
      </c>
      <c r="J1667" t="s">
        <v>266</v>
      </c>
      <c r="K1667" t="s">
        <v>435</v>
      </c>
      <c r="L1667" t="s">
        <v>436</v>
      </c>
      <c r="N1667" t="s">
        <v>437</v>
      </c>
      <c r="O1667" t="s">
        <v>134</v>
      </c>
      <c r="Q1667" t="s">
        <v>241</v>
      </c>
      <c r="R1667" t="s">
        <v>161</v>
      </c>
      <c r="S1667" t="s">
        <v>128</v>
      </c>
      <c r="T1667" t="s">
        <v>165</v>
      </c>
      <c r="U1667" t="s">
        <v>163</v>
      </c>
      <c r="V1667" t="s">
        <v>74</v>
      </c>
      <c r="W1667" s="58">
        <v>43355</v>
      </c>
      <c r="X1667" s="59">
        <v>0.42708333333333331</v>
      </c>
      <c r="Y1667" s="59">
        <v>0.67708333333333337</v>
      </c>
      <c r="Z1667" s="59">
        <v>0.25</v>
      </c>
      <c r="AA1667">
        <v>0</v>
      </c>
      <c r="AC1667">
        <v>108</v>
      </c>
      <c r="AD1667">
        <v>54</v>
      </c>
      <c r="AE1667" s="59">
        <v>0.42708333333333331</v>
      </c>
      <c r="AF1667" s="59">
        <v>0.67638888888888893</v>
      </c>
      <c r="AG1667">
        <v>25</v>
      </c>
    </row>
    <row r="1668" spans="1:33" x14ac:dyDescent="0.25">
      <c r="A1668" t="s">
        <v>258</v>
      </c>
      <c r="B1668" t="s">
        <v>278</v>
      </c>
      <c r="C1668" t="s">
        <v>279</v>
      </c>
      <c r="E1668" t="s">
        <v>280</v>
      </c>
      <c r="F1668" t="s">
        <v>134</v>
      </c>
      <c r="H1668" t="s">
        <v>144</v>
      </c>
      <c r="I1668" t="s">
        <v>133</v>
      </c>
      <c r="J1668" t="s">
        <v>266</v>
      </c>
      <c r="K1668" t="s">
        <v>435</v>
      </c>
      <c r="L1668" t="s">
        <v>436</v>
      </c>
      <c r="N1668" t="s">
        <v>437</v>
      </c>
      <c r="O1668" t="s">
        <v>134</v>
      </c>
      <c r="Q1668" t="s">
        <v>241</v>
      </c>
      <c r="R1668" t="s">
        <v>145</v>
      </c>
      <c r="S1668" t="s">
        <v>128</v>
      </c>
      <c r="T1668" t="s">
        <v>165</v>
      </c>
      <c r="U1668" t="s">
        <v>129</v>
      </c>
      <c r="V1668" t="s">
        <v>74</v>
      </c>
      <c r="W1668" s="58">
        <v>43355</v>
      </c>
      <c r="X1668" s="59">
        <v>0.70833333333333337</v>
      </c>
      <c r="Y1668" s="59">
        <v>0.75</v>
      </c>
      <c r="Z1668" s="59">
        <v>4.1666666666666664E-2</v>
      </c>
      <c r="AA1668">
        <v>8</v>
      </c>
      <c r="AB1668">
        <v>3.7669999999999999</v>
      </c>
      <c r="AC1668">
        <v>23</v>
      </c>
      <c r="AD1668">
        <v>9</v>
      </c>
      <c r="AE1668" s="59">
        <v>0.70833333333333337</v>
      </c>
      <c r="AF1668" s="59">
        <v>0.74930555555555556</v>
      </c>
      <c r="AG1668">
        <v>25</v>
      </c>
    </row>
    <row r="1669" spans="1:33" x14ac:dyDescent="0.25">
      <c r="A1669" t="s">
        <v>258</v>
      </c>
      <c r="B1669" t="s">
        <v>270</v>
      </c>
      <c r="C1669" t="s">
        <v>271</v>
      </c>
      <c r="D1669" t="s">
        <v>272</v>
      </c>
      <c r="E1669" t="s">
        <v>273</v>
      </c>
      <c r="F1669" t="s">
        <v>134</v>
      </c>
      <c r="H1669" t="s">
        <v>138</v>
      </c>
      <c r="I1669" t="s">
        <v>139</v>
      </c>
      <c r="J1669" t="s">
        <v>266</v>
      </c>
      <c r="K1669" t="s">
        <v>435</v>
      </c>
      <c r="L1669" t="s">
        <v>436</v>
      </c>
      <c r="N1669" t="s">
        <v>437</v>
      </c>
      <c r="O1669" t="s">
        <v>134</v>
      </c>
      <c r="Q1669" t="s">
        <v>241</v>
      </c>
      <c r="R1669" t="s">
        <v>140</v>
      </c>
      <c r="S1669" t="s">
        <v>128</v>
      </c>
      <c r="T1669" t="s">
        <v>165</v>
      </c>
      <c r="U1669" t="s">
        <v>129</v>
      </c>
      <c r="V1669" t="s">
        <v>74</v>
      </c>
      <c r="W1669" s="58">
        <v>43355</v>
      </c>
      <c r="X1669" s="59">
        <v>0.76041666666666663</v>
      </c>
      <c r="Y1669" s="59">
        <v>0.79166666666666663</v>
      </c>
      <c r="Z1669" s="59">
        <v>3.125E-2</v>
      </c>
      <c r="AA1669">
        <v>5</v>
      </c>
      <c r="AB1669">
        <v>2.2465999999999999</v>
      </c>
      <c r="AC1669">
        <v>17.25</v>
      </c>
      <c r="AD1669">
        <v>6.75</v>
      </c>
      <c r="AE1669" s="59">
        <v>0.76041666666666663</v>
      </c>
      <c r="AF1669" s="59">
        <v>0.7909722222222223</v>
      </c>
      <c r="AG1669">
        <v>25</v>
      </c>
    </row>
    <row r="1670" spans="1:33" x14ac:dyDescent="0.25">
      <c r="A1670" t="s">
        <v>274</v>
      </c>
      <c r="B1670" t="s">
        <v>275</v>
      </c>
      <c r="C1670" t="s">
        <v>276</v>
      </c>
      <c r="E1670" t="s">
        <v>277</v>
      </c>
      <c r="F1670" t="s">
        <v>134</v>
      </c>
      <c r="H1670" t="s">
        <v>141</v>
      </c>
      <c r="I1670" t="s">
        <v>142</v>
      </c>
      <c r="J1670" t="s">
        <v>266</v>
      </c>
      <c r="K1670" t="s">
        <v>435</v>
      </c>
      <c r="L1670" t="s">
        <v>436</v>
      </c>
      <c r="N1670" t="s">
        <v>437</v>
      </c>
      <c r="O1670" t="s">
        <v>134</v>
      </c>
      <c r="Q1670" t="s">
        <v>241</v>
      </c>
      <c r="R1670" t="s">
        <v>143</v>
      </c>
      <c r="S1670" t="s">
        <v>128</v>
      </c>
      <c r="T1670" t="s">
        <v>165</v>
      </c>
      <c r="U1670" t="s">
        <v>129</v>
      </c>
      <c r="V1670" t="s">
        <v>74</v>
      </c>
      <c r="W1670" s="58">
        <v>43355</v>
      </c>
      <c r="X1670" s="59">
        <v>0.8125</v>
      </c>
      <c r="Y1670" s="59">
        <v>0.83333333333333337</v>
      </c>
      <c r="Z1670" s="59">
        <v>2.0833333333333332E-2</v>
      </c>
      <c r="AA1670">
        <v>2</v>
      </c>
      <c r="AB1670">
        <v>0.9</v>
      </c>
      <c r="AC1670">
        <v>11.5</v>
      </c>
      <c r="AD1670">
        <v>4.5</v>
      </c>
      <c r="AE1670" s="59">
        <v>0.8125</v>
      </c>
      <c r="AF1670" s="59">
        <v>0.83263888888888893</v>
      </c>
      <c r="AG1670">
        <v>25</v>
      </c>
    </row>
    <row r="1671" spans="1:33" x14ac:dyDescent="0.25">
      <c r="A1671" t="s">
        <v>258</v>
      </c>
      <c r="B1671" t="s">
        <v>278</v>
      </c>
      <c r="C1671" t="s">
        <v>279</v>
      </c>
      <c r="E1671" t="s">
        <v>280</v>
      </c>
      <c r="F1671" t="s">
        <v>134</v>
      </c>
      <c r="H1671" t="s">
        <v>144</v>
      </c>
      <c r="I1671" t="s">
        <v>133</v>
      </c>
      <c r="J1671" t="s">
        <v>266</v>
      </c>
      <c r="K1671" t="s">
        <v>435</v>
      </c>
      <c r="L1671" t="s">
        <v>436</v>
      </c>
      <c r="N1671" t="s">
        <v>437</v>
      </c>
      <c r="O1671" t="s">
        <v>134</v>
      </c>
      <c r="Q1671" t="s">
        <v>241</v>
      </c>
      <c r="R1671" t="s">
        <v>145</v>
      </c>
      <c r="S1671" t="s">
        <v>128</v>
      </c>
      <c r="T1671" t="s">
        <v>165</v>
      </c>
      <c r="U1671" t="s">
        <v>129</v>
      </c>
      <c r="V1671" t="s">
        <v>74</v>
      </c>
      <c r="W1671" s="58">
        <v>43355</v>
      </c>
      <c r="X1671" s="59">
        <v>0.85416666666666663</v>
      </c>
      <c r="Y1671" s="59">
        <v>0.89583333333333337</v>
      </c>
      <c r="Z1671" s="59">
        <v>4.1666666666666664E-2</v>
      </c>
      <c r="AA1671">
        <v>4</v>
      </c>
      <c r="AB1671">
        <v>2.0796000000000001</v>
      </c>
      <c r="AC1671">
        <v>23</v>
      </c>
      <c r="AD1671">
        <v>9</v>
      </c>
      <c r="AE1671" s="59">
        <v>0.85416666666666663</v>
      </c>
      <c r="AF1671" s="59">
        <v>0.89513888888888893</v>
      </c>
      <c r="AG1671">
        <v>25</v>
      </c>
    </row>
    <row r="1672" spans="1:33" x14ac:dyDescent="0.25">
      <c r="A1672" t="s">
        <v>274</v>
      </c>
      <c r="B1672" t="s">
        <v>328</v>
      </c>
      <c r="C1672" t="s">
        <v>329</v>
      </c>
      <c r="D1672">
        <v>5</v>
      </c>
      <c r="E1672" t="s">
        <v>330</v>
      </c>
      <c r="F1672" t="s">
        <v>134</v>
      </c>
      <c r="G1672" t="s">
        <v>218</v>
      </c>
      <c r="H1672" t="s">
        <v>188</v>
      </c>
      <c r="I1672" t="s">
        <v>189</v>
      </c>
      <c r="J1672" t="s">
        <v>266</v>
      </c>
      <c r="K1672" t="s">
        <v>435</v>
      </c>
      <c r="L1672" t="s">
        <v>436</v>
      </c>
      <c r="N1672" t="s">
        <v>437</v>
      </c>
      <c r="O1672" t="s">
        <v>134</v>
      </c>
      <c r="Q1672" t="s">
        <v>241</v>
      </c>
      <c r="R1672" t="s">
        <v>190</v>
      </c>
      <c r="S1672" t="s">
        <v>128</v>
      </c>
      <c r="T1672" t="s">
        <v>165</v>
      </c>
      <c r="U1672" t="s">
        <v>151</v>
      </c>
      <c r="V1672" t="s">
        <v>75</v>
      </c>
      <c r="W1672" s="58">
        <v>43356</v>
      </c>
      <c r="X1672" s="59">
        <v>0.33333333333333331</v>
      </c>
      <c r="Y1672" s="59">
        <v>0.45833333333333331</v>
      </c>
      <c r="Z1672" s="59">
        <v>0.125</v>
      </c>
      <c r="AA1672">
        <v>20</v>
      </c>
      <c r="AC1672">
        <v>60</v>
      </c>
      <c r="AD1672">
        <v>27</v>
      </c>
      <c r="AE1672" s="59">
        <v>0.33333333333333331</v>
      </c>
      <c r="AF1672" s="59">
        <v>0.45763888888888887</v>
      </c>
      <c r="AG1672">
        <v>25</v>
      </c>
    </row>
    <row r="1673" spans="1:33" x14ac:dyDescent="0.25">
      <c r="B1673" t="s">
        <v>307</v>
      </c>
      <c r="C1673" t="s">
        <v>308</v>
      </c>
      <c r="D1673" t="s">
        <v>309</v>
      </c>
      <c r="E1673" t="s">
        <v>134</v>
      </c>
      <c r="H1673" t="s">
        <v>171</v>
      </c>
      <c r="I1673" t="s">
        <v>169</v>
      </c>
      <c r="J1673" t="s">
        <v>266</v>
      </c>
      <c r="K1673" t="s">
        <v>435</v>
      </c>
      <c r="L1673" t="s">
        <v>436</v>
      </c>
      <c r="N1673" t="s">
        <v>437</v>
      </c>
      <c r="O1673" t="s">
        <v>134</v>
      </c>
      <c r="Q1673" t="s">
        <v>241</v>
      </c>
      <c r="R1673" t="s">
        <v>172</v>
      </c>
      <c r="S1673" t="s">
        <v>128</v>
      </c>
      <c r="T1673" t="s">
        <v>165</v>
      </c>
      <c r="U1673" t="s">
        <v>129</v>
      </c>
      <c r="V1673" t="s">
        <v>76</v>
      </c>
      <c r="W1673" s="58">
        <v>43357</v>
      </c>
      <c r="X1673" s="59">
        <v>0.34375</v>
      </c>
      <c r="Y1673" s="59">
        <v>0.39583333333333331</v>
      </c>
      <c r="Z1673" s="59">
        <v>5.2083333333333336E-2</v>
      </c>
      <c r="AA1673">
        <v>0</v>
      </c>
      <c r="AC1673">
        <v>28.75</v>
      </c>
      <c r="AD1673">
        <v>11.25</v>
      </c>
      <c r="AE1673" s="59">
        <v>0.34375</v>
      </c>
      <c r="AF1673" s="59">
        <v>0.39513888888888887</v>
      </c>
      <c r="AG1673">
        <v>25</v>
      </c>
    </row>
    <row r="1674" spans="1:33" x14ac:dyDescent="0.25">
      <c r="A1674" t="s">
        <v>266</v>
      </c>
      <c r="B1674" t="s">
        <v>293</v>
      </c>
      <c r="C1674" t="s">
        <v>294</v>
      </c>
      <c r="E1674" t="s">
        <v>295</v>
      </c>
      <c r="F1674" t="s">
        <v>134</v>
      </c>
      <c r="H1674" t="s">
        <v>157</v>
      </c>
      <c r="I1674" t="s">
        <v>158</v>
      </c>
      <c r="J1674" t="s">
        <v>266</v>
      </c>
      <c r="K1674" t="s">
        <v>435</v>
      </c>
      <c r="L1674" t="s">
        <v>436</v>
      </c>
      <c r="N1674" t="s">
        <v>437</v>
      </c>
      <c r="O1674" t="s">
        <v>134</v>
      </c>
      <c r="Q1674" t="s">
        <v>241</v>
      </c>
      <c r="R1674" t="s">
        <v>161</v>
      </c>
      <c r="S1674" t="s">
        <v>128</v>
      </c>
      <c r="T1674" t="s">
        <v>165</v>
      </c>
      <c r="U1674" t="s">
        <v>163</v>
      </c>
      <c r="V1674" t="s">
        <v>76</v>
      </c>
      <c r="W1674" s="58">
        <v>43357</v>
      </c>
      <c r="X1674" s="59">
        <v>0.42708333333333331</v>
      </c>
      <c r="Y1674" s="59">
        <v>0.67708333333333337</v>
      </c>
      <c r="Z1674" s="59">
        <v>0.25</v>
      </c>
      <c r="AA1674">
        <v>14</v>
      </c>
      <c r="AB1674">
        <v>9.0114000000000001</v>
      </c>
      <c r="AC1674">
        <v>108</v>
      </c>
      <c r="AD1674">
        <v>54</v>
      </c>
      <c r="AE1674" s="59">
        <v>0.42708333333333331</v>
      </c>
      <c r="AF1674" s="59">
        <v>0.67638888888888893</v>
      </c>
      <c r="AG1674">
        <v>25</v>
      </c>
    </row>
    <row r="1675" spans="1:33" x14ac:dyDescent="0.25">
      <c r="A1675" t="s">
        <v>258</v>
      </c>
      <c r="B1675" t="s">
        <v>284</v>
      </c>
      <c r="C1675" t="s">
        <v>285</v>
      </c>
      <c r="E1675" t="s">
        <v>286</v>
      </c>
      <c r="F1675" t="s">
        <v>134</v>
      </c>
      <c r="H1675" t="s">
        <v>149</v>
      </c>
      <c r="I1675" t="s">
        <v>127</v>
      </c>
      <c r="J1675" t="s">
        <v>258</v>
      </c>
      <c r="K1675" t="s">
        <v>438</v>
      </c>
      <c r="L1675" t="s">
        <v>340</v>
      </c>
      <c r="N1675" t="s">
        <v>439</v>
      </c>
      <c r="O1675" t="s">
        <v>243</v>
      </c>
      <c r="Q1675" t="s">
        <v>244</v>
      </c>
      <c r="R1675" t="s">
        <v>150</v>
      </c>
      <c r="S1675" t="s">
        <v>128</v>
      </c>
      <c r="T1675" t="s">
        <v>181</v>
      </c>
      <c r="U1675" t="s">
        <v>151</v>
      </c>
      <c r="V1675" t="s">
        <v>72</v>
      </c>
      <c r="W1675" s="58">
        <v>43311</v>
      </c>
      <c r="X1675" s="59">
        <v>0.35416666666666669</v>
      </c>
      <c r="Y1675" s="59">
        <v>0.39583333333333331</v>
      </c>
      <c r="Z1675" s="59">
        <v>4.1666666666666664E-2</v>
      </c>
      <c r="AA1675">
        <v>0</v>
      </c>
      <c r="AC1675">
        <v>20</v>
      </c>
      <c r="AD1675">
        <v>9</v>
      </c>
      <c r="AE1675" s="59">
        <v>0.35416666666666669</v>
      </c>
      <c r="AF1675" s="59">
        <v>0.39513888888888887</v>
      </c>
      <c r="AG1675">
        <v>37.5</v>
      </c>
    </row>
    <row r="1676" spans="1:33" x14ac:dyDescent="0.25">
      <c r="A1676" t="s">
        <v>258</v>
      </c>
      <c r="B1676" t="s">
        <v>287</v>
      </c>
      <c r="C1676" t="s">
        <v>288</v>
      </c>
      <c r="E1676" t="s">
        <v>289</v>
      </c>
      <c r="F1676" t="s">
        <v>134</v>
      </c>
      <c r="H1676" t="s">
        <v>152</v>
      </c>
      <c r="I1676" t="s">
        <v>127</v>
      </c>
      <c r="J1676" t="s">
        <v>258</v>
      </c>
      <c r="K1676" t="s">
        <v>438</v>
      </c>
      <c r="L1676" t="s">
        <v>340</v>
      </c>
      <c r="N1676" t="s">
        <v>439</v>
      </c>
      <c r="O1676" t="s">
        <v>243</v>
      </c>
      <c r="Q1676" t="s">
        <v>244</v>
      </c>
      <c r="R1676" t="s">
        <v>153</v>
      </c>
      <c r="S1676" t="s">
        <v>128</v>
      </c>
      <c r="T1676" t="s">
        <v>181</v>
      </c>
      <c r="U1676" t="s">
        <v>151</v>
      </c>
      <c r="V1676" t="s">
        <v>72</v>
      </c>
      <c r="W1676" s="58">
        <v>43311</v>
      </c>
      <c r="X1676" s="59">
        <v>0.39583333333333331</v>
      </c>
      <c r="Y1676" s="59">
        <v>0.4375</v>
      </c>
      <c r="Z1676" s="59">
        <v>4.1666666666666664E-2</v>
      </c>
      <c r="AA1676">
        <v>0</v>
      </c>
      <c r="AB1676">
        <v>0.27279999999999999</v>
      </c>
      <c r="AC1676">
        <v>20</v>
      </c>
      <c r="AD1676">
        <v>9</v>
      </c>
      <c r="AE1676" s="59">
        <v>0.39583333333333331</v>
      </c>
      <c r="AF1676" s="59">
        <v>0.4368055555555555</v>
      </c>
      <c r="AG1676">
        <v>37.5</v>
      </c>
    </row>
    <row r="1677" spans="1:33" x14ac:dyDescent="0.25">
      <c r="A1677" t="s">
        <v>274</v>
      </c>
      <c r="B1677" t="s">
        <v>328</v>
      </c>
      <c r="C1677" t="s">
        <v>329</v>
      </c>
      <c r="D1677">
        <v>5</v>
      </c>
      <c r="E1677" t="s">
        <v>330</v>
      </c>
      <c r="F1677" t="s">
        <v>134</v>
      </c>
      <c r="G1677" t="s">
        <v>218</v>
      </c>
      <c r="H1677" t="s">
        <v>188</v>
      </c>
      <c r="I1677" t="s">
        <v>189</v>
      </c>
      <c r="J1677" t="s">
        <v>258</v>
      </c>
      <c r="K1677" t="s">
        <v>438</v>
      </c>
      <c r="L1677" t="s">
        <v>340</v>
      </c>
      <c r="N1677" t="s">
        <v>439</v>
      </c>
      <c r="O1677" t="s">
        <v>243</v>
      </c>
      <c r="Q1677" t="s">
        <v>244</v>
      </c>
      <c r="R1677" t="s">
        <v>190</v>
      </c>
      <c r="S1677" t="s">
        <v>128</v>
      </c>
      <c r="T1677" t="s">
        <v>181</v>
      </c>
      <c r="U1677" t="s">
        <v>151</v>
      </c>
      <c r="V1677" t="s">
        <v>72</v>
      </c>
      <c r="W1677" s="58">
        <v>43318</v>
      </c>
      <c r="X1677" s="59">
        <v>0.58333333333333337</v>
      </c>
      <c r="Y1677" s="59">
        <v>0.75</v>
      </c>
      <c r="Z1677" s="59">
        <v>0.16666666666666666</v>
      </c>
      <c r="AA1677">
        <v>0</v>
      </c>
      <c r="AC1677">
        <v>80</v>
      </c>
      <c r="AD1677">
        <v>36</v>
      </c>
      <c r="AE1677" s="59">
        <v>0.54166666666666663</v>
      </c>
      <c r="AF1677" s="59">
        <v>0.74930555555555556</v>
      </c>
      <c r="AG1677">
        <v>37.5</v>
      </c>
    </row>
    <row r="1678" spans="1:33" x14ac:dyDescent="0.25">
      <c r="A1678" t="s">
        <v>258</v>
      </c>
      <c r="B1678" t="s">
        <v>262</v>
      </c>
      <c r="C1678" t="s">
        <v>263</v>
      </c>
      <c r="D1678" t="s">
        <v>264</v>
      </c>
      <c r="E1678" t="s">
        <v>265</v>
      </c>
      <c r="F1678" t="s">
        <v>134</v>
      </c>
      <c r="H1678" t="s">
        <v>132</v>
      </c>
      <c r="I1678" t="s">
        <v>133</v>
      </c>
      <c r="J1678" t="s">
        <v>258</v>
      </c>
      <c r="K1678" t="s">
        <v>438</v>
      </c>
      <c r="L1678" t="s">
        <v>340</v>
      </c>
      <c r="N1678" t="s">
        <v>439</v>
      </c>
      <c r="O1678" t="s">
        <v>243</v>
      </c>
      <c r="Q1678" t="s">
        <v>244</v>
      </c>
      <c r="R1678" t="s">
        <v>136</v>
      </c>
      <c r="S1678" t="s">
        <v>128</v>
      </c>
      <c r="T1678" t="s">
        <v>181</v>
      </c>
      <c r="U1678" t="s">
        <v>129</v>
      </c>
      <c r="V1678" t="s">
        <v>73</v>
      </c>
      <c r="W1678" s="58">
        <v>43319</v>
      </c>
      <c r="X1678" s="59">
        <v>0.32291666666666669</v>
      </c>
      <c r="Y1678" s="59">
        <v>0.36458333333333331</v>
      </c>
      <c r="Z1678" s="59">
        <v>4.1666666666666664E-2</v>
      </c>
      <c r="AA1678">
        <v>0</v>
      </c>
      <c r="AC1678">
        <v>23</v>
      </c>
      <c r="AD1678">
        <v>9</v>
      </c>
      <c r="AE1678" s="59">
        <v>0.32291666666666669</v>
      </c>
      <c r="AF1678" s="59">
        <v>0.36388888888888887</v>
      </c>
      <c r="AG1678">
        <v>37.5</v>
      </c>
    </row>
    <row r="1679" spans="1:33" x14ac:dyDescent="0.25">
      <c r="A1679" t="s">
        <v>266</v>
      </c>
      <c r="B1679" t="s">
        <v>293</v>
      </c>
      <c r="C1679" t="s">
        <v>294</v>
      </c>
      <c r="E1679" t="s">
        <v>295</v>
      </c>
      <c r="F1679" t="s">
        <v>134</v>
      </c>
      <c r="H1679" t="s">
        <v>157</v>
      </c>
      <c r="I1679" t="s">
        <v>158</v>
      </c>
      <c r="J1679" t="s">
        <v>258</v>
      </c>
      <c r="K1679" t="s">
        <v>438</v>
      </c>
      <c r="L1679" t="s">
        <v>340</v>
      </c>
      <c r="N1679" t="s">
        <v>439</v>
      </c>
      <c r="O1679" t="s">
        <v>243</v>
      </c>
      <c r="Q1679" t="s">
        <v>244</v>
      </c>
      <c r="R1679" t="s">
        <v>161</v>
      </c>
      <c r="S1679" t="s">
        <v>128</v>
      </c>
      <c r="T1679" t="s">
        <v>181</v>
      </c>
      <c r="U1679" t="s">
        <v>163</v>
      </c>
      <c r="V1679" t="s">
        <v>73</v>
      </c>
      <c r="W1679" s="58">
        <v>43319</v>
      </c>
      <c r="X1679" s="59">
        <v>0.375</v>
      </c>
      <c r="Y1679" s="59">
        <v>0.41666666666666669</v>
      </c>
      <c r="Z1679" s="59">
        <v>4.1666666666666664E-2</v>
      </c>
      <c r="AA1679">
        <v>0</v>
      </c>
      <c r="AB1679">
        <v>3.8954</v>
      </c>
      <c r="AC1679">
        <v>18</v>
      </c>
      <c r="AD1679">
        <v>9</v>
      </c>
      <c r="AE1679" s="59">
        <v>0.375</v>
      </c>
      <c r="AF1679" s="59">
        <v>0.41597222222222219</v>
      </c>
      <c r="AG1679">
        <v>37.5</v>
      </c>
    </row>
    <row r="1680" spans="1:33" x14ac:dyDescent="0.25">
      <c r="A1680" t="s">
        <v>274</v>
      </c>
      <c r="B1680" t="s">
        <v>328</v>
      </c>
      <c r="C1680" t="s">
        <v>329</v>
      </c>
      <c r="D1680">
        <v>5</v>
      </c>
      <c r="E1680" t="s">
        <v>330</v>
      </c>
      <c r="F1680" t="s">
        <v>134</v>
      </c>
      <c r="G1680" t="s">
        <v>218</v>
      </c>
      <c r="H1680" t="s">
        <v>188</v>
      </c>
      <c r="I1680" t="s">
        <v>189</v>
      </c>
      <c r="J1680" t="s">
        <v>258</v>
      </c>
      <c r="K1680" t="s">
        <v>438</v>
      </c>
      <c r="L1680" t="s">
        <v>340</v>
      </c>
      <c r="N1680" t="s">
        <v>439</v>
      </c>
      <c r="O1680" t="s">
        <v>243</v>
      </c>
      <c r="Q1680" t="s">
        <v>244</v>
      </c>
      <c r="R1680" t="s">
        <v>190</v>
      </c>
      <c r="S1680" t="s">
        <v>128</v>
      </c>
      <c r="T1680" t="s">
        <v>181</v>
      </c>
      <c r="U1680" t="s">
        <v>151</v>
      </c>
      <c r="V1680" t="s">
        <v>73</v>
      </c>
      <c r="W1680" s="58">
        <v>43319</v>
      </c>
      <c r="X1680" s="59">
        <v>0.5</v>
      </c>
      <c r="Y1680" s="59">
        <v>0.75</v>
      </c>
      <c r="Z1680" s="59">
        <v>0.25</v>
      </c>
      <c r="AA1680">
        <v>0</v>
      </c>
      <c r="AB1680">
        <v>11.581799999999999</v>
      </c>
      <c r="AC1680">
        <v>120</v>
      </c>
      <c r="AD1680">
        <v>54</v>
      </c>
      <c r="AE1680" s="59">
        <v>0.5</v>
      </c>
      <c r="AF1680" s="59">
        <v>0.74930555555555556</v>
      </c>
      <c r="AG1680">
        <v>37.5</v>
      </c>
    </row>
    <row r="1681" spans="1:33" x14ac:dyDescent="0.25">
      <c r="B1681" t="s">
        <v>307</v>
      </c>
      <c r="C1681" t="s">
        <v>308</v>
      </c>
      <c r="D1681" t="s">
        <v>309</v>
      </c>
      <c r="E1681" t="s">
        <v>134</v>
      </c>
      <c r="H1681" t="s">
        <v>171</v>
      </c>
      <c r="I1681" t="s">
        <v>169</v>
      </c>
      <c r="J1681" t="s">
        <v>258</v>
      </c>
      <c r="K1681" t="s">
        <v>438</v>
      </c>
      <c r="L1681" t="s">
        <v>340</v>
      </c>
      <c r="N1681" t="s">
        <v>439</v>
      </c>
      <c r="O1681" t="s">
        <v>243</v>
      </c>
      <c r="Q1681" t="s">
        <v>244</v>
      </c>
      <c r="R1681" t="s">
        <v>172</v>
      </c>
      <c r="S1681" t="s">
        <v>128</v>
      </c>
      <c r="T1681" t="s">
        <v>181</v>
      </c>
      <c r="U1681" t="s">
        <v>129</v>
      </c>
      <c r="V1681" t="s">
        <v>74</v>
      </c>
      <c r="W1681" s="58">
        <v>43320</v>
      </c>
      <c r="X1681" s="59">
        <v>0.35000000000000003</v>
      </c>
      <c r="Y1681" s="59">
        <v>0.39166666666666666</v>
      </c>
      <c r="Z1681" s="59">
        <v>4.1666666666666664E-2</v>
      </c>
      <c r="AA1681">
        <v>0</v>
      </c>
      <c r="AC1681">
        <v>23</v>
      </c>
      <c r="AD1681">
        <v>9</v>
      </c>
      <c r="AE1681" s="59">
        <v>0.35000000000000003</v>
      </c>
      <c r="AF1681" s="59">
        <v>0.39097222222222222</v>
      </c>
      <c r="AG1681">
        <v>37.5</v>
      </c>
    </row>
    <row r="1682" spans="1:33" x14ac:dyDescent="0.25">
      <c r="A1682" t="s">
        <v>258</v>
      </c>
      <c r="B1682" t="s">
        <v>287</v>
      </c>
      <c r="C1682" t="s">
        <v>288</v>
      </c>
      <c r="E1682" t="s">
        <v>289</v>
      </c>
      <c r="F1682" t="s">
        <v>134</v>
      </c>
      <c r="H1682" t="s">
        <v>152</v>
      </c>
      <c r="I1682" t="s">
        <v>127</v>
      </c>
      <c r="J1682" t="s">
        <v>258</v>
      </c>
      <c r="K1682" t="s">
        <v>438</v>
      </c>
      <c r="L1682" t="s">
        <v>340</v>
      </c>
      <c r="N1682" t="s">
        <v>439</v>
      </c>
      <c r="O1682" t="s">
        <v>243</v>
      </c>
      <c r="Q1682" t="s">
        <v>244</v>
      </c>
      <c r="R1682" t="s">
        <v>153</v>
      </c>
      <c r="S1682" t="s">
        <v>128</v>
      </c>
      <c r="T1682" t="s">
        <v>181</v>
      </c>
      <c r="U1682" t="s">
        <v>151</v>
      </c>
      <c r="V1682" t="s">
        <v>74</v>
      </c>
      <c r="W1682" s="58">
        <v>43320</v>
      </c>
      <c r="X1682" s="59">
        <v>0.39583333333333331</v>
      </c>
      <c r="Y1682" s="59">
        <v>0.4375</v>
      </c>
      <c r="Z1682" s="59">
        <v>4.1666666666666664E-2</v>
      </c>
      <c r="AA1682">
        <v>0</v>
      </c>
      <c r="AB1682">
        <v>2.0444</v>
      </c>
      <c r="AC1682">
        <v>20</v>
      </c>
      <c r="AD1682">
        <v>9</v>
      </c>
      <c r="AE1682" s="59">
        <v>0.39583333333333331</v>
      </c>
      <c r="AF1682" s="59">
        <v>0.4368055555555555</v>
      </c>
      <c r="AG1682">
        <v>37.5</v>
      </c>
    </row>
    <row r="1683" spans="1:33" x14ac:dyDescent="0.25">
      <c r="A1683" t="s">
        <v>258</v>
      </c>
      <c r="B1683" t="s">
        <v>262</v>
      </c>
      <c r="C1683" t="s">
        <v>263</v>
      </c>
      <c r="D1683" t="s">
        <v>264</v>
      </c>
      <c r="E1683" t="s">
        <v>265</v>
      </c>
      <c r="F1683" t="s">
        <v>134</v>
      </c>
      <c r="H1683" t="s">
        <v>132</v>
      </c>
      <c r="I1683" t="s">
        <v>133</v>
      </c>
      <c r="J1683" t="s">
        <v>258</v>
      </c>
      <c r="K1683" t="s">
        <v>438</v>
      </c>
      <c r="L1683" t="s">
        <v>340</v>
      </c>
      <c r="N1683" t="s">
        <v>439</v>
      </c>
      <c r="O1683" t="s">
        <v>243</v>
      </c>
      <c r="Q1683" t="s">
        <v>244</v>
      </c>
      <c r="R1683" t="s">
        <v>136</v>
      </c>
      <c r="S1683" t="s">
        <v>128</v>
      </c>
      <c r="T1683" t="s">
        <v>181</v>
      </c>
      <c r="U1683" t="s">
        <v>129</v>
      </c>
      <c r="V1683" t="s">
        <v>75</v>
      </c>
      <c r="W1683" s="58">
        <v>43321</v>
      </c>
      <c r="X1683" s="59">
        <v>0.38541666666666669</v>
      </c>
      <c r="Y1683" s="59">
        <v>0.42708333333333331</v>
      </c>
      <c r="Z1683" s="59">
        <v>4.1666666666666664E-2</v>
      </c>
      <c r="AA1683">
        <v>0</v>
      </c>
      <c r="AC1683">
        <v>23</v>
      </c>
      <c r="AD1683">
        <v>9</v>
      </c>
      <c r="AE1683" s="59">
        <v>0.38541666666666669</v>
      </c>
      <c r="AF1683" s="59">
        <v>0.42638888888888887</v>
      </c>
      <c r="AG1683">
        <v>37.5</v>
      </c>
    </row>
    <row r="1684" spans="1:33" x14ac:dyDescent="0.25">
      <c r="A1684" t="s">
        <v>274</v>
      </c>
      <c r="B1684" t="s">
        <v>328</v>
      </c>
      <c r="C1684" t="s">
        <v>329</v>
      </c>
      <c r="D1684">
        <v>5</v>
      </c>
      <c r="E1684" t="s">
        <v>330</v>
      </c>
      <c r="F1684" t="s">
        <v>134</v>
      </c>
      <c r="G1684" t="s">
        <v>218</v>
      </c>
      <c r="H1684" t="s">
        <v>188</v>
      </c>
      <c r="I1684" t="s">
        <v>189</v>
      </c>
      <c r="J1684" t="s">
        <v>258</v>
      </c>
      <c r="K1684" t="s">
        <v>438</v>
      </c>
      <c r="L1684" t="s">
        <v>340</v>
      </c>
      <c r="N1684" t="s">
        <v>439</v>
      </c>
      <c r="O1684" t="s">
        <v>243</v>
      </c>
      <c r="Q1684" t="s">
        <v>244</v>
      </c>
      <c r="R1684" t="s">
        <v>190</v>
      </c>
      <c r="S1684" t="s">
        <v>128</v>
      </c>
      <c r="T1684" t="s">
        <v>181</v>
      </c>
      <c r="U1684" t="s">
        <v>151</v>
      </c>
      <c r="V1684" t="s">
        <v>75</v>
      </c>
      <c r="W1684" s="58">
        <v>43321</v>
      </c>
      <c r="X1684" s="59">
        <v>0.5</v>
      </c>
      <c r="Y1684" s="59">
        <v>0.75</v>
      </c>
      <c r="Z1684" s="59">
        <v>0.25</v>
      </c>
      <c r="AA1684">
        <v>0</v>
      </c>
      <c r="AB1684">
        <v>10.639799999999999</v>
      </c>
      <c r="AC1684">
        <v>120</v>
      </c>
      <c r="AD1684">
        <v>54</v>
      </c>
      <c r="AE1684" s="59">
        <v>0.5</v>
      </c>
      <c r="AF1684" s="59">
        <v>0.74930555555555556</v>
      </c>
      <c r="AG1684">
        <v>37.5</v>
      </c>
    </row>
    <row r="1685" spans="1:33" x14ac:dyDescent="0.25">
      <c r="A1685" t="s">
        <v>258</v>
      </c>
      <c r="B1685" t="s">
        <v>314</v>
      </c>
      <c r="C1685" t="s">
        <v>315</v>
      </c>
      <c r="D1685">
        <v>72</v>
      </c>
      <c r="E1685" t="s">
        <v>316</v>
      </c>
      <c r="F1685" t="s">
        <v>317</v>
      </c>
      <c r="G1685" t="s">
        <v>218</v>
      </c>
      <c r="H1685" t="s">
        <v>168</v>
      </c>
      <c r="I1685" t="s">
        <v>169</v>
      </c>
      <c r="J1685" t="s">
        <v>258</v>
      </c>
      <c r="K1685" t="s">
        <v>438</v>
      </c>
      <c r="L1685" t="s">
        <v>340</v>
      </c>
      <c r="N1685" t="s">
        <v>439</v>
      </c>
      <c r="O1685" t="s">
        <v>243</v>
      </c>
      <c r="Q1685" t="s">
        <v>244</v>
      </c>
      <c r="R1685" t="s">
        <v>170</v>
      </c>
      <c r="S1685" t="s">
        <v>128</v>
      </c>
      <c r="T1685" t="s">
        <v>181</v>
      </c>
      <c r="U1685" t="s">
        <v>129</v>
      </c>
      <c r="V1685" t="s">
        <v>76</v>
      </c>
      <c r="W1685" s="58">
        <v>43322</v>
      </c>
      <c r="X1685" s="59">
        <v>0.33333333333333331</v>
      </c>
      <c r="Y1685" s="59">
        <v>0.35416666666666669</v>
      </c>
      <c r="Z1685" s="59">
        <v>2.0833333333333332E-2</v>
      </c>
      <c r="AA1685">
        <v>0</v>
      </c>
      <c r="AC1685">
        <v>11.5</v>
      </c>
      <c r="AD1685">
        <v>4.5</v>
      </c>
      <c r="AE1685" s="59">
        <v>0.33333333333333331</v>
      </c>
      <c r="AF1685" s="59">
        <v>0.35347222222222219</v>
      </c>
      <c r="AG1685">
        <v>37.5</v>
      </c>
    </row>
    <row r="1686" spans="1:33" x14ac:dyDescent="0.25">
      <c r="B1686" t="s">
        <v>307</v>
      </c>
      <c r="C1686" t="s">
        <v>308</v>
      </c>
      <c r="D1686" t="s">
        <v>309</v>
      </c>
      <c r="E1686" t="s">
        <v>134</v>
      </c>
      <c r="H1686" t="s">
        <v>171</v>
      </c>
      <c r="I1686" t="s">
        <v>169</v>
      </c>
      <c r="J1686" t="s">
        <v>258</v>
      </c>
      <c r="K1686" t="s">
        <v>438</v>
      </c>
      <c r="L1686" t="s">
        <v>340</v>
      </c>
      <c r="N1686" t="s">
        <v>439</v>
      </c>
      <c r="O1686" t="s">
        <v>243</v>
      </c>
      <c r="Q1686" t="s">
        <v>244</v>
      </c>
      <c r="R1686" t="s">
        <v>172</v>
      </c>
      <c r="S1686" t="s">
        <v>128</v>
      </c>
      <c r="T1686" t="s">
        <v>181</v>
      </c>
      <c r="U1686" t="s">
        <v>129</v>
      </c>
      <c r="V1686" t="s">
        <v>76</v>
      </c>
      <c r="W1686" s="58">
        <v>43322</v>
      </c>
      <c r="X1686" s="59">
        <v>0.36458333333333331</v>
      </c>
      <c r="Y1686" s="59">
        <v>0.40625</v>
      </c>
      <c r="Z1686" s="59">
        <v>4.1666666666666664E-2</v>
      </c>
      <c r="AA1686">
        <v>0</v>
      </c>
      <c r="AB1686">
        <v>0.62839999999999996</v>
      </c>
      <c r="AC1686">
        <v>23</v>
      </c>
      <c r="AD1686">
        <v>9</v>
      </c>
      <c r="AE1686" s="59">
        <v>0.36458333333333331</v>
      </c>
      <c r="AF1686" s="59">
        <v>0.4055555555555555</v>
      </c>
      <c r="AG1686">
        <v>37.5</v>
      </c>
    </row>
    <row r="1687" spans="1:33" x14ac:dyDescent="0.25">
      <c r="A1687" t="s">
        <v>266</v>
      </c>
      <c r="B1687" t="s">
        <v>293</v>
      </c>
      <c r="C1687" t="s">
        <v>294</v>
      </c>
      <c r="E1687" t="s">
        <v>295</v>
      </c>
      <c r="F1687" t="s">
        <v>134</v>
      </c>
      <c r="H1687" t="s">
        <v>157</v>
      </c>
      <c r="I1687" t="s">
        <v>158</v>
      </c>
      <c r="J1687" t="s">
        <v>258</v>
      </c>
      <c r="K1687" t="s">
        <v>438</v>
      </c>
      <c r="L1687" t="s">
        <v>340</v>
      </c>
      <c r="N1687" t="s">
        <v>439</v>
      </c>
      <c r="O1687" t="s">
        <v>243</v>
      </c>
      <c r="Q1687" t="s">
        <v>244</v>
      </c>
      <c r="R1687" t="s">
        <v>161</v>
      </c>
      <c r="S1687" t="s">
        <v>128</v>
      </c>
      <c r="T1687" t="s">
        <v>181</v>
      </c>
      <c r="U1687" t="s">
        <v>163</v>
      </c>
      <c r="V1687" t="s">
        <v>76</v>
      </c>
      <c r="W1687" s="58">
        <v>43322</v>
      </c>
      <c r="X1687" s="59">
        <v>0.42708333333333331</v>
      </c>
      <c r="Y1687" s="59">
        <v>0.67708333333333337</v>
      </c>
      <c r="Z1687" s="59">
        <v>0.25</v>
      </c>
      <c r="AA1687">
        <v>0</v>
      </c>
      <c r="AB1687">
        <v>9.0114000000000001</v>
      </c>
      <c r="AC1687">
        <v>108</v>
      </c>
      <c r="AD1687">
        <v>54</v>
      </c>
      <c r="AE1687" s="59">
        <v>0.42708333333333331</v>
      </c>
      <c r="AF1687" s="59">
        <v>0.67638888888888893</v>
      </c>
      <c r="AG1687">
        <v>37.5</v>
      </c>
    </row>
    <row r="1688" spans="1:33" x14ac:dyDescent="0.25">
      <c r="A1688" t="s">
        <v>258</v>
      </c>
      <c r="B1688" t="s">
        <v>262</v>
      </c>
      <c r="C1688" t="s">
        <v>263</v>
      </c>
      <c r="D1688" t="s">
        <v>264</v>
      </c>
      <c r="E1688" t="s">
        <v>265</v>
      </c>
      <c r="F1688" t="s">
        <v>134</v>
      </c>
      <c r="H1688" t="s">
        <v>132</v>
      </c>
      <c r="I1688" t="s">
        <v>133</v>
      </c>
      <c r="J1688" t="s">
        <v>258</v>
      </c>
      <c r="K1688" t="s">
        <v>438</v>
      </c>
      <c r="L1688" t="s">
        <v>340</v>
      </c>
      <c r="N1688" t="s">
        <v>439</v>
      </c>
      <c r="O1688" t="s">
        <v>243</v>
      </c>
      <c r="Q1688" t="s">
        <v>244</v>
      </c>
      <c r="R1688" t="s">
        <v>136</v>
      </c>
      <c r="S1688" t="s">
        <v>128</v>
      </c>
      <c r="T1688" t="s">
        <v>181</v>
      </c>
      <c r="U1688" t="s">
        <v>129</v>
      </c>
      <c r="V1688" t="s">
        <v>76</v>
      </c>
      <c r="W1688" s="58">
        <v>43322</v>
      </c>
      <c r="X1688" s="59">
        <v>0.70833333333333337</v>
      </c>
      <c r="Y1688" s="59">
        <v>0.75</v>
      </c>
      <c r="Z1688" s="59">
        <v>4.1666666666666664E-2</v>
      </c>
      <c r="AA1688">
        <v>0</v>
      </c>
      <c r="AB1688">
        <v>3.8965999999999998</v>
      </c>
      <c r="AC1688">
        <v>23</v>
      </c>
      <c r="AD1688">
        <v>9</v>
      </c>
      <c r="AE1688" s="59">
        <v>0.70833333333333337</v>
      </c>
      <c r="AF1688" s="59">
        <v>0.74930555555555556</v>
      </c>
      <c r="AG1688">
        <v>37.5</v>
      </c>
    </row>
    <row r="1689" spans="1:33" x14ac:dyDescent="0.25">
      <c r="A1689" t="s">
        <v>258</v>
      </c>
      <c r="B1689" t="s">
        <v>259</v>
      </c>
      <c r="C1689" t="s">
        <v>260</v>
      </c>
      <c r="E1689" t="s">
        <v>261</v>
      </c>
      <c r="F1689" t="s">
        <v>134</v>
      </c>
      <c r="H1689" t="s">
        <v>130</v>
      </c>
      <c r="I1689" t="s">
        <v>127</v>
      </c>
      <c r="J1689" t="s">
        <v>258</v>
      </c>
      <c r="K1689" t="s">
        <v>438</v>
      </c>
      <c r="L1689" t="s">
        <v>340</v>
      </c>
      <c r="N1689" t="s">
        <v>439</v>
      </c>
      <c r="O1689" t="s">
        <v>243</v>
      </c>
      <c r="Q1689" t="s">
        <v>244</v>
      </c>
      <c r="R1689" t="s">
        <v>131</v>
      </c>
      <c r="S1689" t="s">
        <v>128</v>
      </c>
      <c r="T1689" t="s">
        <v>181</v>
      </c>
      <c r="U1689" t="s">
        <v>129</v>
      </c>
      <c r="V1689" t="s">
        <v>72</v>
      </c>
      <c r="W1689" s="58">
        <v>43325</v>
      </c>
      <c r="X1689" s="59">
        <v>0.35625000000000001</v>
      </c>
      <c r="Y1689" s="59">
        <v>0.3979166666666667</v>
      </c>
      <c r="Z1689" s="59">
        <v>4.1666666666666664E-2</v>
      </c>
      <c r="AA1689">
        <v>0</v>
      </c>
      <c r="AC1689">
        <v>23</v>
      </c>
      <c r="AD1689">
        <v>9</v>
      </c>
      <c r="AE1689" s="59">
        <v>0.35625000000000001</v>
      </c>
      <c r="AF1689" s="59">
        <v>0.3972222222222222</v>
      </c>
      <c r="AG1689">
        <v>37.5</v>
      </c>
    </row>
    <row r="1690" spans="1:33" x14ac:dyDescent="0.25">
      <c r="A1690" t="s">
        <v>258</v>
      </c>
      <c r="B1690" t="s">
        <v>310</v>
      </c>
      <c r="C1690" t="s">
        <v>311</v>
      </c>
      <c r="D1690" t="s">
        <v>312</v>
      </c>
      <c r="E1690" t="s">
        <v>313</v>
      </c>
      <c r="F1690" t="s">
        <v>134</v>
      </c>
      <c r="H1690" t="s">
        <v>175</v>
      </c>
      <c r="I1690" t="s">
        <v>127</v>
      </c>
      <c r="J1690" t="s">
        <v>258</v>
      </c>
      <c r="K1690" t="s">
        <v>438</v>
      </c>
      <c r="L1690" t="s">
        <v>340</v>
      </c>
      <c r="N1690" t="s">
        <v>439</v>
      </c>
      <c r="O1690" t="s">
        <v>243</v>
      </c>
      <c r="Q1690" t="s">
        <v>244</v>
      </c>
      <c r="R1690" t="s">
        <v>176</v>
      </c>
      <c r="S1690" t="s">
        <v>128</v>
      </c>
      <c r="T1690" t="s">
        <v>181</v>
      </c>
      <c r="U1690" t="s">
        <v>151</v>
      </c>
      <c r="V1690" t="s">
        <v>72</v>
      </c>
      <c r="W1690" s="58">
        <v>43325</v>
      </c>
      <c r="X1690" s="59">
        <v>0.40277777777777773</v>
      </c>
      <c r="Y1690" s="59">
        <v>0.44444444444444442</v>
      </c>
      <c r="Z1690" s="59">
        <v>4.1666666666666664E-2</v>
      </c>
      <c r="AA1690">
        <v>0</v>
      </c>
      <c r="AB1690">
        <v>0.3296</v>
      </c>
      <c r="AC1690">
        <v>20</v>
      </c>
      <c r="AD1690">
        <v>9</v>
      </c>
      <c r="AE1690" s="59">
        <v>0.40277777777777773</v>
      </c>
      <c r="AF1690" s="59">
        <v>0.44375000000000003</v>
      </c>
      <c r="AG1690">
        <v>37.5</v>
      </c>
    </row>
    <row r="1691" spans="1:33" x14ac:dyDescent="0.25">
      <c r="B1691" t="s">
        <v>307</v>
      </c>
      <c r="C1691" t="s">
        <v>308</v>
      </c>
      <c r="D1691" t="s">
        <v>309</v>
      </c>
      <c r="E1691" t="s">
        <v>134</v>
      </c>
      <c r="H1691" t="s">
        <v>171</v>
      </c>
      <c r="I1691" t="s">
        <v>169</v>
      </c>
      <c r="J1691" t="s">
        <v>258</v>
      </c>
      <c r="K1691" t="s">
        <v>438</v>
      </c>
      <c r="L1691" t="s">
        <v>340</v>
      </c>
      <c r="N1691" t="s">
        <v>439</v>
      </c>
      <c r="O1691" t="s">
        <v>243</v>
      </c>
      <c r="Q1691" t="s">
        <v>244</v>
      </c>
      <c r="R1691" t="s">
        <v>172</v>
      </c>
      <c r="S1691" t="s">
        <v>128</v>
      </c>
      <c r="T1691" t="s">
        <v>181</v>
      </c>
      <c r="U1691" t="s">
        <v>129</v>
      </c>
      <c r="V1691" t="s">
        <v>72</v>
      </c>
      <c r="W1691" s="58">
        <v>43325</v>
      </c>
      <c r="X1691" s="59">
        <v>0.45833333333333331</v>
      </c>
      <c r="Y1691" s="59">
        <v>0.54166666666666663</v>
      </c>
      <c r="Z1691" s="59">
        <v>8.3333333333333329E-2</v>
      </c>
      <c r="AA1691">
        <v>0</v>
      </c>
      <c r="AB1691">
        <v>1.3228</v>
      </c>
      <c r="AC1691">
        <v>46</v>
      </c>
      <c r="AD1691">
        <v>18</v>
      </c>
      <c r="AE1691" s="59">
        <v>0.45833333333333331</v>
      </c>
      <c r="AF1691" s="59">
        <v>0.54097222222222219</v>
      </c>
      <c r="AG1691">
        <v>37.5</v>
      </c>
    </row>
    <row r="1692" spans="1:33" x14ac:dyDescent="0.25">
      <c r="A1692" t="s">
        <v>274</v>
      </c>
      <c r="B1692" t="s">
        <v>328</v>
      </c>
      <c r="C1692" t="s">
        <v>329</v>
      </c>
      <c r="D1692">
        <v>5</v>
      </c>
      <c r="E1692" t="s">
        <v>330</v>
      </c>
      <c r="F1692" t="s">
        <v>134</v>
      </c>
      <c r="G1692" t="s">
        <v>218</v>
      </c>
      <c r="H1692" t="s">
        <v>188</v>
      </c>
      <c r="I1692" t="s">
        <v>189</v>
      </c>
      <c r="J1692" t="s">
        <v>258</v>
      </c>
      <c r="K1692" t="s">
        <v>438</v>
      </c>
      <c r="L1692" t="s">
        <v>340</v>
      </c>
      <c r="N1692" t="s">
        <v>439</v>
      </c>
      <c r="O1692" t="s">
        <v>243</v>
      </c>
      <c r="Q1692" t="s">
        <v>244</v>
      </c>
      <c r="R1692" t="s">
        <v>190</v>
      </c>
      <c r="S1692" t="s">
        <v>128</v>
      </c>
      <c r="T1692" t="s">
        <v>181</v>
      </c>
      <c r="U1692" t="s">
        <v>151</v>
      </c>
      <c r="V1692" t="s">
        <v>73</v>
      </c>
      <c r="W1692" s="58">
        <v>43326</v>
      </c>
      <c r="X1692" s="59">
        <v>0.33333333333333331</v>
      </c>
      <c r="Y1692" s="59">
        <v>0.5</v>
      </c>
      <c r="Z1692" s="59">
        <v>0.16666666666666666</v>
      </c>
      <c r="AA1692">
        <v>0</v>
      </c>
      <c r="AC1692">
        <v>80</v>
      </c>
      <c r="AD1692">
        <v>36</v>
      </c>
      <c r="AE1692" s="59">
        <v>0.33333333333333331</v>
      </c>
      <c r="AF1692" s="59">
        <v>0.4993055555555555</v>
      </c>
      <c r="AG1692">
        <v>37.5</v>
      </c>
    </row>
    <row r="1693" spans="1:33" x14ac:dyDescent="0.25">
      <c r="A1693" t="s">
        <v>274</v>
      </c>
      <c r="B1693" t="s">
        <v>328</v>
      </c>
      <c r="C1693" t="s">
        <v>329</v>
      </c>
      <c r="D1693">
        <v>5</v>
      </c>
      <c r="E1693" t="s">
        <v>330</v>
      </c>
      <c r="F1693" t="s">
        <v>134</v>
      </c>
      <c r="G1693" t="s">
        <v>218</v>
      </c>
      <c r="H1693" t="s">
        <v>188</v>
      </c>
      <c r="I1693" t="s">
        <v>189</v>
      </c>
      <c r="J1693" t="s">
        <v>258</v>
      </c>
      <c r="K1693" t="s">
        <v>438</v>
      </c>
      <c r="L1693" t="s">
        <v>340</v>
      </c>
      <c r="N1693" t="s">
        <v>439</v>
      </c>
      <c r="O1693" t="s">
        <v>243</v>
      </c>
      <c r="Q1693" t="s">
        <v>244</v>
      </c>
      <c r="R1693" t="s">
        <v>190</v>
      </c>
      <c r="S1693" t="s">
        <v>128</v>
      </c>
      <c r="T1693" t="s">
        <v>181</v>
      </c>
      <c r="U1693" t="s">
        <v>151</v>
      </c>
      <c r="V1693" t="s">
        <v>73</v>
      </c>
      <c r="W1693" s="58">
        <v>43326</v>
      </c>
      <c r="X1693" s="59">
        <v>0.5</v>
      </c>
      <c r="Y1693" s="59">
        <v>0.75</v>
      </c>
      <c r="Z1693" s="59">
        <v>0.25</v>
      </c>
      <c r="AA1693">
        <v>0</v>
      </c>
      <c r="AB1693">
        <v>0</v>
      </c>
      <c r="AC1693">
        <v>120</v>
      </c>
      <c r="AD1693">
        <v>54</v>
      </c>
      <c r="AE1693" s="59">
        <v>0.5</v>
      </c>
      <c r="AF1693" s="59">
        <v>0.74930555555555556</v>
      </c>
      <c r="AG1693">
        <v>37.5</v>
      </c>
    </row>
    <row r="1694" spans="1:33" x14ac:dyDescent="0.25">
      <c r="B1694" t="s">
        <v>307</v>
      </c>
      <c r="C1694" t="s">
        <v>308</v>
      </c>
      <c r="D1694" t="s">
        <v>309</v>
      </c>
      <c r="E1694" t="s">
        <v>134</v>
      </c>
      <c r="H1694" t="s">
        <v>171</v>
      </c>
      <c r="I1694" t="s">
        <v>169</v>
      </c>
      <c r="J1694" t="s">
        <v>258</v>
      </c>
      <c r="K1694" t="s">
        <v>438</v>
      </c>
      <c r="L1694" t="s">
        <v>340</v>
      </c>
      <c r="N1694" t="s">
        <v>439</v>
      </c>
      <c r="O1694" t="s">
        <v>243</v>
      </c>
      <c r="Q1694" t="s">
        <v>244</v>
      </c>
      <c r="R1694" t="s">
        <v>172</v>
      </c>
      <c r="S1694" t="s">
        <v>128</v>
      </c>
      <c r="T1694" t="s">
        <v>181</v>
      </c>
      <c r="U1694" t="s">
        <v>129</v>
      </c>
      <c r="V1694" t="s">
        <v>74</v>
      </c>
      <c r="W1694" s="58">
        <v>43327</v>
      </c>
      <c r="X1694" s="59">
        <v>0.35416666666666669</v>
      </c>
      <c r="Y1694" s="59">
        <v>0.39583333333333331</v>
      </c>
      <c r="Z1694" s="59">
        <v>4.1666666666666664E-2</v>
      </c>
      <c r="AA1694">
        <v>0</v>
      </c>
      <c r="AC1694">
        <v>23</v>
      </c>
      <c r="AD1694">
        <v>9</v>
      </c>
      <c r="AE1694" s="59">
        <v>0.35416666666666669</v>
      </c>
      <c r="AF1694" s="59">
        <v>0.39513888888888887</v>
      </c>
      <c r="AG1694">
        <v>37.5</v>
      </c>
    </row>
    <row r="1695" spans="1:33" x14ac:dyDescent="0.25">
      <c r="A1695" t="s">
        <v>266</v>
      </c>
      <c r="B1695" t="s">
        <v>293</v>
      </c>
      <c r="C1695" t="s">
        <v>294</v>
      </c>
      <c r="E1695" t="s">
        <v>295</v>
      </c>
      <c r="F1695" t="s">
        <v>134</v>
      </c>
      <c r="H1695" t="s">
        <v>157</v>
      </c>
      <c r="I1695" t="s">
        <v>158</v>
      </c>
      <c r="J1695" t="s">
        <v>258</v>
      </c>
      <c r="K1695" t="s">
        <v>438</v>
      </c>
      <c r="L1695" t="s">
        <v>340</v>
      </c>
      <c r="N1695" t="s">
        <v>439</v>
      </c>
      <c r="O1695" t="s">
        <v>243</v>
      </c>
      <c r="Q1695" t="s">
        <v>244</v>
      </c>
      <c r="R1695" t="s">
        <v>161</v>
      </c>
      <c r="S1695" t="s">
        <v>128</v>
      </c>
      <c r="T1695" t="s">
        <v>181</v>
      </c>
      <c r="U1695" t="s">
        <v>163</v>
      </c>
      <c r="V1695" t="s">
        <v>74</v>
      </c>
      <c r="W1695" s="58">
        <v>43327</v>
      </c>
      <c r="X1695" s="59">
        <v>0.42708333333333331</v>
      </c>
      <c r="Y1695" s="59">
        <v>0.67708333333333337</v>
      </c>
      <c r="Z1695" s="59">
        <v>0.25</v>
      </c>
      <c r="AA1695">
        <v>0</v>
      </c>
      <c r="AB1695">
        <v>9.0114000000000001</v>
      </c>
      <c r="AC1695">
        <v>108</v>
      </c>
      <c r="AD1695">
        <v>54</v>
      </c>
      <c r="AE1695" s="59">
        <v>0.42708333333333331</v>
      </c>
      <c r="AF1695" s="59">
        <v>0.67638888888888893</v>
      </c>
      <c r="AG1695">
        <v>37.5</v>
      </c>
    </row>
    <row r="1696" spans="1:33" x14ac:dyDescent="0.25">
      <c r="A1696" t="s">
        <v>258</v>
      </c>
      <c r="B1696" t="s">
        <v>270</v>
      </c>
      <c r="C1696" t="s">
        <v>271</v>
      </c>
      <c r="D1696" t="s">
        <v>272</v>
      </c>
      <c r="E1696" t="s">
        <v>273</v>
      </c>
      <c r="F1696" t="s">
        <v>134</v>
      </c>
      <c r="H1696" t="s">
        <v>138</v>
      </c>
      <c r="I1696" t="s">
        <v>139</v>
      </c>
      <c r="J1696" t="s">
        <v>258</v>
      </c>
      <c r="K1696" t="s">
        <v>438</v>
      </c>
      <c r="L1696" t="s">
        <v>340</v>
      </c>
      <c r="N1696" t="s">
        <v>439</v>
      </c>
      <c r="O1696" t="s">
        <v>243</v>
      </c>
      <c r="Q1696" t="s">
        <v>244</v>
      </c>
      <c r="R1696" t="s">
        <v>140</v>
      </c>
      <c r="S1696" t="s">
        <v>128</v>
      </c>
      <c r="T1696" t="s">
        <v>181</v>
      </c>
      <c r="U1696" t="s">
        <v>129</v>
      </c>
      <c r="V1696" t="s">
        <v>75</v>
      </c>
      <c r="W1696" s="58">
        <v>43328</v>
      </c>
      <c r="X1696" s="59">
        <v>0.33333333333333331</v>
      </c>
      <c r="Y1696" s="59">
        <v>0.375</v>
      </c>
      <c r="Z1696" s="59">
        <v>4.1666666666666664E-2</v>
      </c>
      <c r="AA1696">
        <v>0</v>
      </c>
      <c r="AC1696">
        <v>23</v>
      </c>
      <c r="AD1696">
        <v>9</v>
      </c>
      <c r="AE1696" s="59">
        <v>0.33333333333333331</v>
      </c>
      <c r="AF1696" s="59">
        <v>0.3743055555555555</v>
      </c>
      <c r="AG1696">
        <v>37.5</v>
      </c>
    </row>
    <row r="1697" spans="1:33" x14ac:dyDescent="0.25">
      <c r="A1697" t="s">
        <v>266</v>
      </c>
      <c r="B1697" t="s">
        <v>293</v>
      </c>
      <c r="C1697" t="s">
        <v>294</v>
      </c>
      <c r="E1697" t="s">
        <v>295</v>
      </c>
      <c r="F1697" t="s">
        <v>134</v>
      </c>
      <c r="H1697" t="s">
        <v>157</v>
      </c>
      <c r="I1697" t="s">
        <v>158</v>
      </c>
      <c r="J1697" t="s">
        <v>258</v>
      </c>
      <c r="K1697" t="s">
        <v>438</v>
      </c>
      <c r="L1697" t="s">
        <v>340</v>
      </c>
      <c r="N1697" t="s">
        <v>439</v>
      </c>
      <c r="O1697" t="s">
        <v>243</v>
      </c>
      <c r="Q1697" t="s">
        <v>244</v>
      </c>
      <c r="R1697" t="s">
        <v>161</v>
      </c>
      <c r="S1697" t="s">
        <v>128</v>
      </c>
      <c r="T1697" t="s">
        <v>181</v>
      </c>
      <c r="U1697" t="s">
        <v>163</v>
      </c>
      <c r="V1697" t="s">
        <v>75</v>
      </c>
      <c r="W1697" s="58">
        <v>43328</v>
      </c>
      <c r="X1697" s="59">
        <v>0.39583333333333331</v>
      </c>
      <c r="Y1697" s="59">
        <v>0.4375</v>
      </c>
      <c r="Z1697" s="59">
        <v>4.1666666666666664E-2</v>
      </c>
      <c r="AA1697">
        <v>0</v>
      </c>
      <c r="AB1697">
        <v>4.1420000000000003</v>
      </c>
      <c r="AC1697">
        <v>18</v>
      </c>
      <c r="AD1697">
        <v>9</v>
      </c>
      <c r="AE1697" s="59">
        <v>0.39583333333333331</v>
      </c>
      <c r="AF1697" s="59">
        <v>0.4368055555555555</v>
      </c>
      <c r="AG1697">
        <v>37.5</v>
      </c>
    </row>
    <row r="1698" spans="1:33" x14ac:dyDescent="0.25">
      <c r="A1698" t="s">
        <v>258</v>
      </c>
      <c r="B1698" t="s">
        <v>299</v>
      </c>
      <c r="C1698" t="s">
        <v>300</v>
      </c>
      <c r="D1698" t="s">
        <v>301</v>
      </c>
      <c r="E1698" t="s">
        <v>302</v>
      </c>
      <c r="F1698" t="s">
        <v>303</v>
      </c>
      <c r="H1698" t="s">
        <v>166</v>
      </c>
      <c r="I1698" t="s">
        <v>142</v>
      </c>
      <c r="J1698" t="s">
        <v>258</v>
      </c>
      <c r="K1698" t="s">
        <v>438</v>
      </c>
      <c r="L1698" t="s">
        <v>340</v>
      </c>
      <c r="N1698" t="s">
        <v>439</v>
      </c>
      <c r="O1698" t="s">
        <v>243</v>
      </c>
      <c r="Q1698" t="s">
        <v>244</v>
      </c>
      <c r="R1698" t="s">
        <v>167</v>
      </c>
      <c r="S1698" t="s">
        <v>128</v>
      </c>
      <c r="T1698" t="s">
        <v>181</v>
      </c>
      <c r="U1698" t="s">
        <v>129</v>
      </c>
      <c r="V1698" t="s">
        <v>76</v>
      </c>
      <c r="W1698" s="58">
        <v>43329</v>
      </c>
      <c r="X1698" s="59">
        <v>0.30833333333333335</v>
      </c>
      <c r="Y1698" s="59">
        <v>0.35000000000000003</v>
      </c>
      <c r="Z1698" s="59">
        <v>4.1666666666666664E-2</v>
      </c>
      <c r="AA1698">
        <v>0</v>
      </c>
      <c r="AC1698">
        <v>23</v>
      </c>
      <c r="AD1698">
        <v>9</v>
      </c>
      <c r="AE1698" s="59">
        <v>0.30833333333333335</v>
      </c>
      <c r="AF1698" s="59">
        <v>0.34930555555555554</v>
      </c>
      <c r="AG1698">
        <v>37.5</v>
      </c>
    </row>
    <row r="1699" spans="1:33" x14ac:dyDescent="0.25">
      <c r="B1699" t="s">
        <v>307</v>
      </c>
      <c r="C1699" t="s">
        <v>308</v>
      </c>
      <c r="D1699" t="s">
        <v>309</v>
      </c>
      <c r="E1699" t="s">
        <v>134</v>
      </c>
      <c r="H1699" t="s">
        <v>171</v>
      </c>
      <c r="I1699" t="s">
        <v>169</v>
      </c>
      <c r="J1699" t="s">
        <v>258</v>
      </c>
      <c r="K1699" t="s">
        <v>438</v>
      </c>
      <c r="L1699" t="s">
        <v>340</v>
      </c>
      <c r="N1699" t="s">
        <v>439</v>
      </c>
      <c r="O1699" t="s">
        <v>243</v>
      </c>
      <c r="Q1699" t="s">
        <v>244</v>
      </c>
      <c r="R1699" t="s">
        <v>172</v>
      </c>
      <c r="S1699" t="s">
        <v>128</v>
      </c>
      <c r="T1699" t="s">
        <v>181</v>
      </c>
      <c r="U1699" t="s">
        <v>129</v>
      </c>
      <c r="V1699" t="s">
        <v>76</v>
      </c>
      <c r="W1699" s="58">
        <v>43329</v>
      </c>
      <c r="X1699" s="59">
        <v>0.36458333333333331</v>
      </c>
      <c r="Y1699" s="59">
        <v>0.40625</v>
      </c>
      <c r="Z1699" s="59">
        <v>4.1666666666666664E-2</v>
      </c>
      <c r="AA1699">
        <v>0</v>
      </c>
      <c r="AB1699">
        <v>5.4181999999999997</v>
      </c>
      <c r="AC1699">
        <v>23</v>
      </c>
      <c r="AD1699">
        <v>9</v>
      </c>
      <c r="AE1699" s="59">
        <v>0.36458333333333331</v>
      </c>
      <c r="AF1699" s="59">
        <v>0.4055555555555555</v>
      </c>
      <c r="AG1699">
        <v>37.5</v>
      </c>
    </row>
    <row r="1700" spans="1:33" x14ac:dyDescent="0.25">
      <c r="A1700" t="s">
        <v>274</v>
      </c>
      <c r="B1700" t="s">
        <v>328</v>
      </c>
      <c r="C1700" t="s">
        <v>329</v>
      </c>
      <c r="D1700">
        <v>5</v>
      </c>
      <c r="E1700" t="s">
        <v>330</v>
      </c>
      <c r="F1700" t="s">
        <v>134</v>
      </c>
      <c r="G1700" t="s">
        <v>218</v>
      </c>
      <c r="H1700" t="s">
        <v>188</v>
      </c>
      <c r="I1700" t="s">
        <v>189</v>
      </c>
      <c r="J1700" t="s">
        <v>258</v>
      </c>
      <c r="K1700" t="s">
        <v>438</v>
      </c>
      <c r="L1700" t="s">
        <v>340</v>
      </c>
      <c r="N1700" t="s">
        <v>439</v>
      </c>
      <c r="O1700" t="s">
        <v>243</v>
      </c>
      <c r="Q1700" t="s">
        <v>244</v>
      </c>
      <c r="R1700" t="s">
        <v>190</v>
      </c>
      <c r="S1700" t="s">
        <v>128</v>
      </c>
      <c r="T1700" t="s">
        <v>181</v>
      </c>
      <c r="U1700" t="s">
        <v>151</v>
      </c>
      <c r="V1700" t="s">
        <v>76</v>
      </c>
      <c r="W1700" s="58">
        <v>43329</v>
      </c>
      <c r="X1700" s="59">
        <v>0.5</v>
      </c>
      <c r="Y1700" s="59">
        <v>0.75</v>
      </c>
      <c r="Z1700" s="59">
        <v>0.25</v>
      </c>
      <c r="AA1700">
        <v>0</v>
      </c>
      <c r="AB1700">
        <v>2.8203999999999998</v>
      </c>
      <c r="AC1700">
        <v>120</v>
      </c>
      <c r="AD1700">
        <v>54</v>
      </c>
      <c r="AE1700" s="59">
        <v>0.5</v>
      </c>
      <c r="AF1700" s="59">
        <v>0.74930555555555556</v>
      </c>
      <c r="AG1700">
        <v>37.5</v>
      </c>
    </row>
    <row r="1701" spans="1:33" x14ac:dyDescent="0.25">
      <c r="A1701" t="s">
        <v>258</v>
      </c>
      <c r="B1701" t="s">
        <v>299</v>
      </c>
      <c r="C1701" t="s">
        <v>300</v>
      </c>
      <c r="D1701" t="s">
        <v>301</v>
      </c>
      <c r="E1701" t="s">
        <v>302</v>
      </c>
      <c r="F1701" t="s">
        <v>303</v>
      </c>
      <c r="H1701" t="s">
        <v>166</v>
      </c>
      <c r="I1701" t="s">
        <v>142</v>
      </c>
      <c r="J1701" t="s">
        <v>258</v>
      </c>
      <c r="K1701" t="s">
        <v>438</v>
      </c>
      <c r="L1701" t="s">
        <v>340</v>
      </c>
      <c r="N1701" t="s">
        <v>439</v>
      </c>
      <c r="O1701" t="s">
        <v>243</v>
      </c>
      <c r="Q1701" t="s">
        <v>244</v>
      </c>
      <c r="R1701" t="s">
        <v>167</v>
      </c>
      <c r="S1701" t="s">
        <v>128</v>
      </c>
      <c r="T1701" t="s">
        <v>181</v>
      </c>
      <c r="U1701" t="s">
        <v>129</v>
      </c>
      <c r="V1701" t="s">
        <v>77</v>
      </c>
      <c r="W1701" s="58">
        <v>43330</v>
      </c>
      <c r="X1701" s="59">
        <v>0.3125</v>
      </c>
      <c r="Y1701" s="59">
        <v>0.35416666666666669</v>
      </c>
      <c r="Z1701" s="59">
        <v>4.1666666666666664E-2</v>
      </c>
      <c r="AA1701">
        <v>0</v>
      </c>
      <c r="AC1701">
        <v>23</v>
      </c>
      <c r="AD1701">
        <v>10.5</v>
      </c>
      <c r="AE1701" s="59">
        <v>0.3125</v>
      </c>
      <c r="AF1701" s="59">
        <v>0.35347222222222219</v>
      </c>
      <c r="AG1701">
        <v>37.5</v>
      </c>
    </row>
    <row r="1702" spans="1:33" x14ac:dyDescent="0.25">
      <c r="A1702" t="s">
        <v>274</v>
      </c>
      <c r="B1702" t="s">
        <v>328</v>
      </c>
      <c r="C1702" t="s">
        <v>329</v>
      </c>
      <c r="D1702">
        <v>5</v>
      </c>
      <c r="E1702" t="s">
        <v>330</v>
      </c>
      <c r="F1702" t="s">
        <v>134</v>
      </c>
      <c r="G1702" t="s">
        <v>218</v>
      </c>
      <c r="H1702" t="s">
        <v>188</v>
      </c>
      <c r="I1702" t="s">
        <v>189</v>
      </c>
      <c r="J1702" t="s">
        <v>258</v>
      </c>
      <c r="K1702" t="s">
        <v>438</v>
      </c>
      <c r="L1702" t="s">
        <v>340</v>
      </c>
      <c r="N1702" t="s">
        <v>439</v>
      </c>
      <c r="O1702" t="s">
        <v>243</v>
      </c>
      <c r="Q1702" t="s">
        <v>244</v>
      </c>
      <c r="R1702" t="s">
        <v>190</v>
      </c>
      <c r="S1702" t="s">
        <v>128</v>
      </c>
      <c r="T1702" t="s">
        <v>181</v>
      </c>
      <c r="U1702" t="s">
        <v>151</v>
      </c>
      <c r="V1702" t="s">
        <v>77</v>
      </c>
      <c r="W1702" s="58">
        <v>43330</v>
      </c>
      <c r="X1702" s="59">
        <v>0.375</v>
      </c>
      <c r="Y1702" s="59">
        <v>0.45833333333333331</v>
      </c>
      <c r="Z1702" s="59">
        <v>8.3333333333333329E-2</v>
      </c>
      <c r="AA1702">
        <v>0</v>
      </c>
      <c r="AB1702">
        <v>8.1056000000000008</v>
      </c>
      <c r="AC1702">
        <v>40</v>
      </c>
      <c r="AD1702">
        <v>21</v>
      </c>
      <c r="AE1702" s="59">
        <v>0.375</v>
      </c>
      <c r="AF1702" s="59">
        <v>0.45763888888888887</v>
      </c>
      <c r="AG1702">
        <v>37.5</v>
      </c>
    </row>
    <row r="1703" spans="1:33" x14ac:dyDescent="0.25">
      <c r="A1703" t="s">
        <v>258</v>
      </c>
      <c r="B1703" t="s">
        <v>325</v>
      </c>
      <c r="C1703" t="s">
        <v>326</v>
      </c>
      <c r="E1703" t="s">
        <v>327</v>
      </c>
      <c r="F1703" t="s">
        <v>134</v>
      </c>
      <c r="H1703" t="s">
        <v>182</v>
      </c>
      <c r="I1703" t="s">
        <v>147</v>
      </c>
      <c r="J1703" t="s">
        <v>258</v>
      </c>
      <c r="K1703" t="s">
        <v>438</v>
      </c>
      <c r="L1703" t="s">
        <v>340</v>
      </c>
      <c r="N1703" t="s">
        <v>439</v>
      </c>
      <c r="O1703" t="s">
        <v>243</v>
      </c>
      <c r="Q1703" t="s">
        <v>244</v>
      </c>
      <c r="R1703" t="s">
        <v>183</v>
      </c>
      <c r="S1703" t="s">
        <v>128</v>
      </c>
      <c r="T1703" t="s">
        <v>181</v>
      </c>
      <c r="U1703" t="s">
        <v>129</v>
      </c>
      <c r="V1703" t="s">
        <v>77</v>
      </c>
      <c r="W1703" s="58">
        <v>43330</v>
      </c>
      <c r="X1703" s="59">
        <v>0.5</v>
      </c>
      <c r="Y1703" s="59">
        <v>0.54166666666666663</v>
      </c>
      <c r="Z1703" s="59">
        <v>4.1666666666666664E-2</v>
      </c>
      <c r="AA1703">
        <v>0</v>
      </c>
      <c r="AB1703">
        <v>3.4613999999999998</v>
      </c>
      <c r="AC1703">
        <v>23</v>
      </c>
      <c r="AD1703">
        <v>10.5</v>
      </c>
      <c r="AE1703" s="59">
        <v>0.5</v>
      </c>
      <c r="AF1703" s="59">
        <v>0.54097222222222219</v>
      </c>
      <c r="AG1703">
        <v>37.5</v>
      </c>
    </row>
    <row r="1704" spans="1:33" x14ac:dyDescent="0.25">
      <c r="B1704" t="s">
        <v>307</v>
      </c>
      <c r="C1704" t="s">
        <v>308</v>
      </c>
      <c r="D1704" t="s">
        <v>309</v>
      </c>
      <c r="E1704" t="s">
        <v>134</v>
      </c>
      <c r="H1704" t="s">
        <v>171</v>
      </c>
      <c r="I1704" t="s">
        <v>169</v>
      </c>
      <c r="J1704" t="s">
        <v>258</v>
      </c>
      <c r="K1704" t="s">
        <v>438</v>
      </c>
      <c r="L1704" t="s">
        <v>340</v>
      </c>
      <c r="N1704" t="s">
        <v>439</v>
      </c>
      <c r="O1704" t="s">
        <v>243</v>
      </c>
      <c r="Q1704" t="s">
        <v>244</v>
      </c>
      <c r="R1704" t="s">
        <v>172</v>
      </c>
      <c r="S1704" t="s">
        <v>128</v>
      </c>
      <c r="T1704" t="s">
        <v>181</v>
      </c>
      <c r="U1704" t="s">
        <v>129</v>
      </c>
      <c r="V1704" t="s">
        <v>72</v>
      </c>
      <c r="W1704" s="58">
        <v>43332</v>
      </c>
      <c r="X1704" s="59">
        <v>0.3125</v>
      </c>
      <c r="Y1704" s="59">
        <v>0.35416666666666669</v>
      </c>
      <c r="Z1704" s="59">
        <v>4.1666666666666664E-2</v>
      </c>
      <c r="AA1704">
        <v>0</v>
      </c>
      <c r="AC1704">
        <v>23</v>
      </c>
      <c r="AD1704">
        <v>9.5</v>
      </c>
      <c r="AE1704" s="59">
        <v>0.3125</v>
      </c>
      <c r="AF1704" s="59">
        <v>0.35347222222222219</v>
      </c>
      <c r="AG1704">
        <v>37.5</v>
      </c>
    </row>
    <row r="1705" spans="1:33" x14ac:dyDescent="0.25">
      <c r="A1705" t="s">
        <v>258</v>
      </c>
      <c r="B1705" t="s">
        <v>284</v>
      </c>
      <c r="C1705" t="s">
        <v>285</v>
      </c>
      <c r="E1705" t="s">
        <v>286</v>
      </c>
      <c r="F1705" t="s">
        <v>134</v>
      </c>
      <c r="H1705" t="s">
        <v>149</v>
      </c>
      <c r="I1705" t="s">
        <v>127</v>
      </c>
      <c r="J1705" t="s">
        <v>258</v>
      </c>
      <c r="K1705" t="s">
        <v>438</v>
      </c>
      <c r="L1705" t="s">
        <v>340</v>
      </c>
      <c r="N1705" t="s">
        <v>439</v>
      </c>
      <c r="O1705" t="s">
        <v>243</v>
      </c>
      <c r="Q1705" t="s">
        <v>244</v>
      </c>
      <c r="R1705" t="s">
        <v>150</v>
      </c>
      <c r="S1705" t="s">
        <v>128</v>
      </c>
      <c r="T1705" t="s">
        <v>181</v>
      </c>
      <c r="U1705" t="s">
        <v>151</v>
      </c>
      <c r="V1705" t="s">
        <v>72</v>
      </c>
      <c r="W1705" s="58">
        <v>43332</v>
      </c>
      <c r="X1705" s="59">
        <v>0.3576388888888889</v>
      </c>
      <c r="Y1705" s="59">
        <v>0.39930555555555558</v>
      </c>
      <c r="Z1705" s="59">
        <v>4.1666666666666664E-2</v>
      </c>
      <c r="AA1705">
        <v>0</v>
      </c>
      <c r="AB1705">
        <v>1.7716000000000001</v>
      </c>
      <c r="AC1705">
        <v>20</v>
      </c>
      <c r="AD1705">
        <v>9.5</v>
      </c>
      <c r="AE1705" s="59">
        <v>0.3576388888888889</v>
      </c>
      <c r="AF1705" s="59">
        <v>0.39861111111111108</v>
      </c>
      <c r="AG1705">
        <v>37.5</v>
      </c>
    </row>
    <row r="1706" spans="1:33" x14ac:dyDescent="0.25">
      <c r="A1706" t="s">
        <v>258</v>
      </c>
      <c r="B1706" t="s">
        <v>287</v>
      </c>
      <c r="C1706" t="s">
        <v>288</v>
      </c>
      <c r="E1706" t="s">
        <v>289</v>
      </c>
      <c r="F1706" t="s">
        <v>134</v>
      </c>
      <c r="H1706" t="s">
        <v>152</v>
      </c>
      <c r="I1706" t="s">
        <v>127</v>
      </c>
      <c r="J1706" t="s">
        <v>258</v>
      </c>
      <c r="K1706" t="s">
        <v>438</v>
      </c>
      <c r="L1706" t="s">
        <v>340</v>
      </c>
      <c r="N1706" t="s">
        <v>439</v>
      </c>
      <c r="O1706" t="s">
        <v>243</v>
      </c>
      <c r="Q1706" t="s">
        <v>244</v>
      </c>
      <c r="R1706" t="s">
        <v>153</v>
      </c>
      <c r="S1706" t="s">
        <v>128</v>
      </c>
      <c r="T1706" t="s">
        <v>181</v>
      </c>
      <c r="U1706" t="s">
        <v>151</v>
      </c>
      <c r="V1706" t="s">
        <v>72</v>
      </c>
      <c r="W1706" s="58">
        <v>43332</v>
      </c>
      <c r="X1706" s="59">
        <v>0.40069444444444446</v>
      </c>
      <c r="Y1706" s="59">
        <v>0.44236111111111115</v>
      </c>
      <c r="Z1706" s="59">
        <v>4.1666666666666664E-2</v>
      </c>
      <c r="AA1706">
        <v>0</v>
      </c>
      <c r="AB1706">
        <v>0.27279999999999999</v>
      </c>
      <c r="AC1706">
        <v>20</v>
      </c>
      <c r="AD1706">
        <v>9.5</v>
      </c>
      <c r="AE1706" s="59">
        <v>0.40069444444444446</v>
      </c>
      <c r="AF1706" s="59">
        <v>0.44166666666666665</v>
      </c>
      <c r="AG1706">
        <v>37.5</v>
      </c>
    </row>
    <row r="1707" spans="1:33" x14ac:dyDescent="0.25">
      <c r="A1707" t="s">
        <v>258</v>
      </c>
      <c r="B1707" t="s">
        <v>262</v>
      </c>
      <c r="C1707" t="s">
        <v>263</v>
      </c>
      <c r="D1707" t="s">
        <v>264</v>
      </c>
      <c r="E1707" t="s">
        <v>265</v>
      </c>
      <c r="F1707" t="s">
        <v>134</v>
      </c>
      <c r="H1707" t="s">
        <v>132</v>
      </c>
      <c r="I1707" t="s">
        <v>133</v>
      </c>
      <c r="J1707" t="s">
        <v>258</v>
      </c>
      <c r="K1707" t="s">
        <v>438</v>
      </c>
      <c r="L1707" t="s">
        <v>340</v>
      </c>
      <c r="N1707" t="s">
        <v>439</v>
      </c>
      <c r="O1707" t="s">
        <v>243</v>
      </c>
      <c r="Q1707" t="s">
        <v>244</v>
      </c>
      <c r="R1707" t="s">
        <v>136</v>
      </c>
      <c r="S1707" t="s">
        <v>128</v>
      </c>
      <c r="T1707" t="s">
        <v>181</v>
      </c>
      <c r="U1707" t="s">
        <v>129</v>
      </c>
      <c r="V1707" t="s">
        <v>73</v>
      </c>
      <c r="W1707" s="58">
        <v>43333</v>
      </c>
      <c r="X1707" s="59">
        <v>0.3125</v>
      </c>
      <c r="Y1707" s="59">
        <v>0.35416666666666669</v>
      </c>
      <c r="Z1707" s="59">
        <v>4.1666666666666664E-2</v>
      </c>
      <c r="AA1707">
        <v>0</v>
      </c>
      <c r="AC1707">
        <v>23</v>
      </c>
      <c r="AD1707">
        <v>9.5</v>
      </c>
      <c r="AE1707" s="59">
        <v>0.3125</v>
      </c>
      <c r="AF1707" s="59">
        <v>0.35347222222222219</v>
      </c>
      <c r="AG1707">
        <v>37.5</v>
      </c>
    </row>
    <row r="1708" spans="1:33" x14ac:dyDescent="0.25">
      <c r="A1708" t="s">
        <v>258</v>
      </c>
      <c r="B1708" t="s">
        <v>325</v>
      </c>
      <c r="C1708" t="s">
        <v>326</v>
      </c>
      <c r="E1708" t="s">
        <v>327</v>
      </c>
      <c r="F1708" t="s">
        <v>134</v>
      </c>
      <c r="H1708" t="s">
        <v>182</v>
      </c>
      <c r="I1708" t="s">
        <v>147</v>
      </c>
      <c r="J1708" t="s">
        <v>258</v>
      </c>
      <c r="K1708" t="s">
        <v>438</v>
      </c>
      <c r="L1708" t="s">
        <v>340</v>
      </c>
      <c r="N1708" t="s">
        <v>439</v>
      </c>
      <c r="O1708" t="s">
        <v>243</v>
      </c>
      <c r="Q1708" t="s">
        <v>244</v>
      </c>
      <c r="R1708" t="s">
        <v>183</v>
      </c>
      <c r="S1708" t="s">
        <v>128</v>
      </c>
      <c r="T1708" t="s">
        <v>181</v>
      </c>
      <c r="U1708" t="s">
        <v>129</v>
      </c>
      <c r="V1708" t="s">
        <v>73</v>
      </c>
      <c r="W1708" s="58">
        <v>43333</v>
      </c>
      <c r="X1708" s="59">
        <v>0.36458333333333331</v>
      </c>
      <c r="Y1708" s="59">
        <v>0.40625</v>
      </c>
      <c r="Z1708" s="59">
        <v>4.1666666666666664E-2</v>
      </c>
      <c r="AA1708">
        <v>0</v>
      </c>
      <c r="AB1708">
        <v>11.3988</v>
      </c>
      <c r="AC1708">
        <v>23</v>
      </c>
      <c r="AD1708">
        <v>9.5</v>
      </c>
      <c r="AE1708" s="59">
        <v>0.36458333333333331</v>
      </c>
      <c r="AF1708" s="59">
        <v>0.4055555555555555</v>
      </c>
      <c r="AG1708">
        <v>37.5</v>
      </c>
    </row>
    <row r="1709" spans="1:33" x14ac:dyDescent="0.25">
      <c r="A1709" t="s">
        <v>274</v>
      </c>
      <c r="B1709" t="s">
        <v>321</v>
      </c>
      <c r="C1709" t="s">
        <v>322</v>
      </c>
      <c r="D1709" t="s">
        <v>323</v>
      </c>
      <c r="E1709" t="s">
        <v>324</v>
      </c>
      <c r="F1709" t="s">
        <v>134</v>
      </c>
      <c r="H1709" t="s">
        <v>184</v>
      </c>
      <c r="I1709" t="s">
        <v>147</v>
      </c>
      <c r="J1709" t="s">
        <v>258</v>
      </c>
      <c r="K1709" t="s">
        <v>438</v>
      </c>
      <c r="L1709" t="s">
        <v>340</v>
      </c>
      <c r="N1709" t="s">
        <v>439</v>
      </c>
      <c r="O1709" t="s">
        <v>243</v>
      </c>
      <c r="Q1709" t="s">
        <v>244</v>
      </c>
      <c r="R1709" t="s">
        <v>185</v>
      </c>
      <c r="S1709" t="s">
        <v>128</v>
      </c>
      <c r="T1709" t="s">
        <v>181</v>
      </c>
      <c r="U1709" t="s">
        <v>151</v>
      </c>
      <c r="V1709" t="s">
        <v>73</v>
      </c>
      <c r="W1709" s="58">
        <v>43333</v>
      </c>
      <c r="X1709" s="59">
        <v>0.41666666666666669</v>
      </c>
      <c r="Y1709" s="59">
        <v>0.45833333333333331</v>
      </c>
      <c r="Z1709" s="59">
        <v>4.1666666666666664E-2</v>
      </c>
      <c r="AA1709">
        <v>0</v>
      </c>
      <c r="AB1709">
        <v>2.2181999999999999</v>
      </c>
      <c r="AC1709">
        <v>20</v>
      </c>
      <c r="AD1709">
        <v>9.5</v>
      </c>
      <c r="AE1709" s="59">
        <v>0.41666666666666669</v>
      </c>
      <c r="AF1709" s="59">
        <v>0.45763888888888887</v>
      </c>
      <c r="AG1709">
        <v>37.5</v>
      </c>
    </row>
    <row r="1710" spans="1:33" x14ac:dyDescent="0.25">
      <c r="A1710" t="s">
        <v>266</v>
      </c>
      <c r="B1710" t="s">
        <v>293</v>
      </c>
      <c r="C1710" t="s">
        <v>294</v>
      </c>
      <c r="E1710" t="s">
        <v>295</v>
      </c>
      <c r="F1710" t="s">
        <v>134</v>
      </c>
      <c r="H1710" t="s">
        <v>157</v>
      </c>
      <c r="I1710" t="s">
        <v>158</v>
      </c>
      <c r="J1710" t="s">
        <v>258</v>
      </c>
      <c r="K1710" t="s">
        <v>438</v>
      </c>
      <c r="L1710" t="s">
        <v>340</v>
      </c>
      <c r="N1710" t="s">
        <v>439</v>
      </c>
      <c r="O1710" t="s">
        <v>243</v>
      </c>
      <c r="Q1710" t="s">
        <v>244</v>
      </c>
      <c r="R1710" t="s">
        <v>161</v>
      </c>
      <c r="S1710" t="s">
        <v>128</v>
      </c>
      <c r="T1710" t="s">
        <v>181</v>
      </c>
      <c r="U1710" t="s">
        <v>163</v>
      </c>
      <c r="V1710" t="s">
        <v>73</v>
      </c>
      <c r="W1710" s="58">
        <v>43333</v>
      </c>
      <c r="X1710" s="59">
        <v>0.54166666666666663</v>
      </c>
      <c r="Y1710" s="59">
        <v>0.66666666666666663</v>
      </c>
      <c r="Z1710" s="59">
        <v>0.125</v>
      </c>
      <c r="AA1710">
        <v>0</v>
      </c>
      <c r="AB1710">
        <v>13.7102</v>
      </c>
      <c r="AC1710">
        <v>54</v>
      </c>
      <c r="AD1710">
        <v>28.5</v>
      </c>
      <c r="AE1710" s="59">
        <v>0.54166666666666663</v>
      </c>
      <c r="AF1710" s="59">
        <v>0.66597222222222219</v>
      </c>
      <c r="AG1710">
        <v>37.5</v>
      </c>
    </row>
    <row r="1711" spans="1:33" x14ac:dyDescent="0.25">
      <c r="B1711" t="s">
        <v>307</v>
      </c>
      <c r="C1711" t="s">
        <v>308</v>
      </c>
      <c r="D1711" t="s">
        <v>309</v>
      </c>
      <c r="E1711" t="s">
        <v>134</v>
      </c>
      <c r="H1711" t="s">
        <v>171</v>
      </c>
      <c r="I1711" t="s">
        <v>169</v>
      </c>
      <c r="J1711" t="s">
        <v>258</v>
      </c>
      <c r="K1711" t="s">
        <v>438</v>
      </c>
      <c r="L1711" t="s">
        <v>340</v>
      </c>
      <c r="N1711" t="s">
        <v>439</v>
      </c>
      <c r="O1711" t="s">
        <v>243</v>
      </c>
      <c r="Q1711" t="s">
        <v>244</v>
      </c>
      <c r="R1711" t="s">
        <v>172</v>
      </c>
      <c r="S1711" t="s">
        <v>128</v>
      </c>
      <c r="T1711" t="s">
        <v>181</v>
      </c>
      <c r="U1711" t="s">
        <v>129</v>
      </c>
      <c r="V1711" t="s">
        <v>74</v>
      </c>
      <c r="W1711" s="58">
        <v>43334</v>
      </c>
      <c r="X1711" s="59">
        <v>0.31597222222222221</v>
      </c>
      <c r="Y1711" s="59">
        <v>0.3576388888888889</v>
      </c>
      <c r="Z1711" s="59">
        <v>4.1666666666666664E-2</v>
      </c>
      <c r="AA1711">
        <v>0</v>
      </c>
      <c r="AC1711">
        <v>23</v>
      </c>
      <c r="AD1711">
        <v>9.5</v>
      </c>
      <c r="AE1711" s="59">
        <v>0.31597222222222221</v>
      </c>
      <c r="AF1711" s="59">
        <v>0.35694444444444445</v>
      </c>
      <c r="AG1711">
        <v>37.5</v>
      </c>
    </row>
    <row r="1712" spans="1:33" x14ac:dyDescent="0.25">
      <c r="A1712" t="s">
        <v>258</v>
      </c>
      <c r="B1712" t="s">
        <v>325</v>
      </c>
      <c r="C1712" t="s">
        <v>326</v>
      </c>
      <c r="E1712" t="s">
        <v>327</v>
      </c>
      <c r="F1712" t="s">
        <v>134</v>
      </c>
      <c r="H1712" t="s">
        <v>182</v>
      </c>
      <c r="I1712" t="s">
        <v>147</v>
      </c>
      <c r="J1712" t="s">
        <v>258</v>
      </c>
      <c r="K1712" t="s">
        <v>438</v>
      </c>
      <c r="L1712" t="s">
        <v>340</v>
      </c>
      <c r="N1712" t="s">
        <v>439</v>
      </c>
      <c r="O1712" t="s">
        <v>243</v>
      </c>
      <c r="Q1712" t="s">
        <v>244</v>
      </c>
      <c r="R1712" t="s">
        <v>183</v>
      </c>
      <c r="S1712" t="s">
        <v>128</v>
      </c>
      <c r="T1712" t="s">
        <v>181</v>
      </c>
      <c r="U1712" t="s">
        <v>129</v>
      </c>
      <c r="V1712" t="s">
        <v>74</v>
      </c>
      <c r="W1712" s="58">
        <v>43334</v>
      </c>
      <c r="X1712" s="59">
        <v>0.36458333333333331</v>
      </c>
      <c r="Y1712" s="59">
        <v>0.40625</v>
      </c>
      <c r="Z1712" s="59">
        <v>4.1666666666666664E-2</v>
      </c>
      <c r="AA1712">
        <v>0</v>
      </c>
      <c r="AB1712">
        <v>3.8488000000000002</v>
      </c>
      <c r="AC1712">
        <v>23</v>
      </c>
      <c r="AD1712">
        <v>9.5</v>
      </c>
      <c r="AE1712" s="59">
        <v>0.36458333333333331</v>
      </c>
      <c r="AF1712" s="59">
        <v>0.4055555555555555</v>
      </c>
      <c r="AG1712">
        <v>37.5</v>
      </c>
    </row>
    <row r="1713" spans="1:33" x14ac:dyDescent="0.25">
      <c r="A1713" t="s">
        <v>274</v>
      </c>
      <c r="B1713" t="s">
        <v>328</v>
      </c>
      <c r="C1713" t="s">
        <v>329</v>
      </c>
      <c r="D1713">
        <v>5</v>
      </c>
      <c r="E1713" t="s">
        <v>330</v>
      </c>
      <c r="F1713" t="s">
        <v>134</v>
      </c>
      <c r="G1713" t="s">
        <v>218</v>
      </c>
      <c r="H1713" t="s">
        <v>188</v>
      </c>
      <c r="I1713" t="s">
        <v>189</v>
      </c>
      <c r="J1713" t="s">
        <v>258</v>
      </c>
      <c r="K1713" t="s">
        <v>438</v>
      </c>
      <c r="L1713" t="s">
        <v>340</v>
      </c>
      <c r="N1713" t="s">
        <v>439</v>
      </c>
      <c r="O1713" t="s">
        <v>243</v>
      </c>
      <c r="Q1713" t="s">
        <v>244</v>
      </c>
      <c r="R1713" t="s">
        <v>190</v>
      </c>
      <c r="S1713" t="s">
        <v>128</v>
      </c>
      <c r="T1713" t="s">
        <v>181</v>
      </c>
      <c r="U1713" t="s">
        <v>151</v>
      </c>
      <c r="V1713" t="s">
        <v>74</v>
      </c>
      <c r="W1713" s="58">
        <v>43334</v>
      </c>
      <c r="X1713" s="59">
        <v>0.5</v>
      </c>
      <c r="Y1713" s="59">
        <v>0.75</v>
      </c>
      <c r="Z1713" s="59">
        <v>0.25</v>
      </c>
      <c r="AA1713">
        <v>0</v>
      </c>
      <c r="AB1713">
        <v>3.4613999999999998</v>
      </c>
      <c r="AC1713">
        <v>120</v>
      </c>
      <c r="AD1713">
        <v>57</v>
      </c>
      <c r="AE1713" s="59">
        <v>0.5</v>
      </c>
      <c r="AF1713" s="59">
        <v>0.74930555555555556</v>
      </c>
      <c r="AG1713">
        <v>37.5</v>
      </c>
    </row>
    <row r="1714" spans="1:33" x14ac:dyDescent="0.25">
      <c r="A1714" t="s">
        <v>274</v>
      </c>
      <c r="B1714" t="s">
        <v>328</v>
      </c>
      <c r="C1714" t="s">
        <v>329</v>
      </c>
      <c r="D1714">
        <v>5</v>
      </c>
      <c r="E1714" t="s">
        <v>330</v>
      </c>
      <c r="F1714" t="s">
        <v>134</v>
      </c>
      <c r="G1714" t="s">
        <v>218</v>
      </c>
      <c r="H1714" t="s">
        <v>188</v>
      </c>
      <c r="I1714" t="s">
        <v>189</v>
      </c>
      <c r="J1714" t="s">
        <v>258</v>
      </c>
      <c r="K1714" t="s">
        <v>438</v>
      </c>
      <c r="L1714" t="s">
        <v>340</v>
      </c>
      <c r="N1714" t="s">
        <v>439</v>
      </c>
      <c r="O1714" t="s">
        <v>243</v>
      </c>
      <c r="Q1714" t="s">
        <v>244</v>
      </c>
      <c r="R1714" t="s">
        <v>190</v>
      </c>
      <c r="S1714" t="s">
        <v>128</v>
      </c>
      <c r="T1714" t="s">
        <v>181</v>
      </c>
      <c r="U1714" t="s">
        <v>151</v>
      </c>
      <c r="V1714" t="s">
        <v>75</v>
      </c>
      <c r="W1714" s="58">
        <v>43335</v>
      </c>
      <c r="X1714" s="59">
        <v>0.33333333333333331</v>
      </c>
      <c r="Y1714" s="59">
        <v>0.5</v>
      </c>
      <c r="Z1714" s="59">
        <v>0.16666666666666666</v>
      </c>
      <c r="AA1714">
        <v>0</v>
      </c>
      <c r="AC1714">
        <v>80</v>
      </c>
      <c r="AD1714">
        <v>38</v>
      </c>
      <c r="AE1714" s="59">
        <v>0.33333333333333331</v>
      </c>
      <c r="AF1714" s="59">
        <v>0.4993055555555555</v>
      </c>
      <c r="AG1714">
        <v>37.5</v>
      </c>
    </row>
    <row r="1715" spans="1:33" x14ac:dyDescent="0.25">
      <c r="A1715" t="s">
        <v>274</v>
      </c>
      <c r="B1715" t="s">
        <v>328</v>
      </c>
      <c r="C1715" t="s">
        <v>329</v>
      </c>
      <c r="D1715">
        <v>5</v>
      </c>
      <c r="E1715" t="s">
        <v>330</v>
      </c>
      <c r="F1715" t="s">
        <v>134</v>
      </c>
      <c r="G1715" t="s">
        <v>218</v>
      </c>
      <c r="H1715" t="s">
        <v>188</v>
      </c>
      <c r="I1715" t="s">
        <v>189</v>
      </c>
      <c r="J1715" t="s">
        <v>258</v>
      </c>
      <c r="K1715" t="s">
        <v>438</v>
      </c>
      <c r="L1715" t="s">
        <v>340</v>
      </c>
      <c r="N1715" t="s">
        <v>439</v>
      </c>
      <c r="O1715" t="s">
        <v>243</v>
      </c>
      <c r="Q1715" t="s">
        <v>244</v>
      </c>
      <c r="R1715" t="s">
        <v>190</v>
      </c>
      <c r="S1715" t="s">
        <v>128</v>
      </c>
      <c r="T1715" t="s">
        <v>181</v>
      </c>
      <c r="U1715" t="s">
        <v>151</v>
      </c>
      <c r="V1715" t="s">
        <v>75</v>
      </c>
      <c r="W1715" s="58">
        <v>43335</v>
      </c>
      <c r="X1715" s="59">
        <v>0.5</v>
      </c>
      <c r="Y1715" s="59">
        <v>0.75</v>
      </c>
      <c r="Z1715" s="59">
        <v>0.25</v>
      </c>
      <c r="AA1715">
        <v>0</v>
      </c>
      <c r="AB1715">
        <v>0</v>
      </c>
      <c r="AC1715">
        <v>120</v>
      </c>
      <c r="AD1715">
        <v>57</v>
      </c>
      <c r="AE1715" s="59">
        <v>0.5</v>
      </c>
      <c r="AF1715" s="59">
        <v>0.74930555555555556</v>
      </c>
      <c r="AG1715">
        <v>37.5</v>
      </c>
    </row>
    <row r="1716" spans="1:33" x14ac:dyDescent="0.25">
      <c r="A1716" t="s">
        <v>258</v>
      </c>
      <c r="B1716" t="s">
        <v>325</v>
      </c>
      <c r="C1716" t="s">
        <v>326</v>
      </c>
      <c r="E1716" t="s">
        <v>327</v>
      </c>
      <c r="F1716" t="s">
        <v>134</v>
      </c>
      <c r="H1716" t="s">
        <v>182</v>
      </c>
      <c r="I1716" t="s">
        <v>147</v>
      </c>
      <c r="J1716" t="s">
        <v>258</v>
      </c>
      <c r="K1716" t="s">
        <v>438</v>
      </c>
      <c r="L1716" t="s">
        <v>340</v>
      </c>
      <c r="N1716" t="s">
        <v>439</v>
      </c>
      <c r="O1716" t="s">
        <v>243</v>
      </c>
      <c r="Q1716" t="s">
        <v>244</v>
      </c>
      <c r="R1716" t="s">
        <v>183</v>
      </c>
      <c r="S1716" t="s">
        <v>128</v>
      </c>
      <c r="T1716" t="s">
        <v>181</v>
      </c>
      <c r="U1716" t="s">
        <v>129</v>
      </c>
      <c r="V1716" t="s">
        <v>76</v>
      </c>
      <c r="W1716" s="58">
        <v>43336</v>
      </c>
      <c r="X1716" s="59">
        <v>0.36458333333333331</v>
      </c>
      <c r="Y1716" s="59">
        <v>0.40625</v>
      </c>
      <c r="Z1716" s="59">
        <v>4.1666666666666664E-2</v>
      </c>
      <c r="AA1716">
        <v>0</v>
      </c>
      <c r="AC1716">
        <v>23</v>
      </c>
      <c r="AD1716">
        <v>9.5</v>
      </c>
      <c r="AE1716" s="59">
        <v>0.36458333333333331</v>
      </c>
      <c r="AF1716" s="59">
        <v>0.4055555555555555</v>
      </c>
      <c r="AG1716">
        <v>37.5</v>
      </c>
    </row>
    <row r="1717" spans="1:33" x14ac:dyDescent="0.25">
      <c r="A1717" t="s">
        <v>274</v>
      </c>
      <c r="B1717" t="s">
        <v>321</v>
      </c>
      <c r="C1717" t="s">
        <v>322</v>
      </c>
      <c r="D1717" t="s">
        <v>323</v>
      </c>
      <c r="E1717" t="s">
        <v>324</v>
      </c>
      <c r="F1717" t="s">
        <v>134</v>
      </c>
      <c r="H1717" t="s">
        <v>184</v>
      </c>
      <c r="I1717" t="s">
        <v>147</v>
      </c>
      <c r="J1717" t="s">
        <v>258</v>
      </c>
      <c r="K1717" t="s">
        <v>438</v>
      </c>
      <c r="L1717" t="s">
        <v>340</v>
      </c>
      <c r="N1717" t="s">
        <v>439</v>
      </c>
      <c r="O1717" t="s">
        <v>243</v>
      </c>
      <c r="Q1717" t="s">
        <v>244</v>
      </c>
      <c r="R1717" t="s">
        <v>185</v>
      </c>
      <c r="S1717" t="s">
        <v>128</v>
      </c>
      <c r="T1717" t="s">
        <v>181</v>
      </c>
      <c r="U1717" t="s">
        <v>151</v>
      </c>
      <c r="V1717" t="s">
        <v>76</v>
      </c>
      <c r="W1717" s="58">
        <v>43336</v>
      </c>
      <c r="X1717" s="59">
        <v>0.41666666666666669</v>
      </c>
      <c r="Y1717" s="59">
        <v>0.45833333333333331</v>
      </c>
      <c r="Z1717" s="59">
        <v>4.1666666666666664E-2</v>
      </c>
      <c r="AA1717">
        <v>0</v>
      </c>
      <c r="AB1717">
        <v>2.2181999999999999</v>
      </c>
      <c r="AC1717">
        <v>20</v>
      </c>
      <c r="AD1717">
        <v>9.5</v>
      </c>
      <c r="AE1717" s="59">
        <v>0.41666666666666669</v>
      </c>
      <c r="AF1717" s="59">
        <v>0.45763888888888887</v>
      </c>
      <c r="AG1717">
        <v>37.5</v>
      </c>
    </row>
    <row r="1718" spans="1:33" x14ac:dyDescent="0.25">
      <c r="A1718" t="s">
        <v>258</v>
      </c>
      <c r="B1718" t="s">
        <v>310</v>
      </c>
      <c r="C1718" t="s">
        <v>311</v>
      </c>
      <c r="D1718" t="s">
        <v>312</v>
      </c>
      <c r="E1718" t="s">
        <v>313</v>
      </c>
      <c r="F1718" t="s">
        <v>134</v>
      </c>
      <c r="H1718" t="s">
        <v>175</v>
      </c>
      <c r="I1718" t="s">
        <v>127</v>
      </c>
      <c r="J1718" t="s">
        <v>258</v>
      </c>
      <c r="K1718" t="s">
        <v>438</v>
      </c>
      <c r="L1718" t="s">
        <v>340</v>
      </c>
      <c r="N1718" t="s">
        <v>439</v>
      </c>
      <c r="O1718" t="s">
        <v>243</v>
      </c>
      <c r="Q1718" t="s">
        <v>244</v>
      </c>
      <c r="R1718" t="s">
        <v>176</v>
      </c>
      <c r="S1718" t="s">
        <v>128</v>
      </c>
      <c r="T1718" t="s">
        <v>181</v>
      </c>
      <c r="U1718" t="s">
        <v>151</v>
      </c>
      <c r="V1718" t="s">
        <v>76</v>
      </c>
      <c r="W1718" s="58">
        <v>43336</v>
      </c>
      <c r="X1718" s="59">
        <v>0.54166666666666663</v>
      </c>
      <c r="Y1718" s="59">
        <v>0.66666666666666663</v>
      </c>
      <c r="Z1718" s="59">
        <v>0.125</v>
      </c>
      <c r="AA1718">
        <v>0</v>
      </c>
      <c r="AB1718">
        <v>4.8944000000000001</v>
      </c>
      <c r="AC1718">
        <v>60</v>
      </c>
      <c r="AD1718">
        <v>28.5</v>
      </c>
      <c r="AE1718" s="59">
        <v>0.54166666666666663</v>
      </c>
      <c r="AF1718" s="59">
        <v>0.66597222222222219</v>
      </c>
      <c r="AG1718">
        <v>37.5</v>
      </c>
    </row>
    <row r="1719" spans="1:33" x14ac:dyDescent="0.25">
      <c r="A1719" t="s">
        <v>258</v>
      </c>
      <c r="B1719" t="s">
        <v>262</v>
      </c>
      <c r="C1719" t="s">
        <v>263</v>
      </c>
      <c r="D1719" t="s">
        <v>264</v>
      </c>
      <c r="E1719" t="s">
        <v>265</v>
      </c>
      <c r="F1719" t="s">
        <v>134</v>
      </c>
      <c r="H1719" t="s">
        <v>132</v>
      </c>
      <c r="I1719" t="s">
        <v>133</v>
      </c>
      <c r="J1719" t="s">
        <v>258</v>
      </c>
      <c r="K1719" t="s">
        <v>438</v>
      </c>
      <c r="L1719" t="s">
        <v>340</v>
      </c>
      <c r="N1719" t="s">
        <v>439</v>
      </c>
      <c r="O1719" t="s">
        <v>243</v>
      </c>
      <c r="Q1719" t="s">
        <v>244</v>
      </c>
      <c r="R1719" t="s">
        <v>136</v>
      </c>
      <c r="S1719" t="s">
        <v>128</v>
      </c>
      <c r="T1719" t="s">
        <v>181</v>
      </c>
      <c r="U1719" t="s">
        <v>129</v>
      </c>
      <c r="V1719" t="s">
        <v>76</v>
      </c>
      <c r="W1719" s="58">
        <v>43336</v>
      </c>
      <c r="X1719" s="59">
        <v>0.70833333333333337</v>
      </c>
      <c r="Y1719" s="59">
        <v>0.75</v>
      </c>
      <c r="Z1719" s="59">
        <v>4.1666666666666664E-2</v>
      </c>
      <c r="AA1719">
        <v>0</v>
      </c>
      <c r="AB1719">
        <v>8.3125999999999998</v>
      </c>
      <c r="AC1719">
        <v>23</v>
      </c>
      <c r="AD1719">
        <v>9.5</v>
      </c>
      <c r="AE1719" s="59">
        <v>0.70833333333333337</v>
      </c>
      <c r="AF1719" s="59">
        <v>0.74930555555555556</v>
      </c>
      <c r="AG1719">
        <v>37.5</v>
      </c>
    </row>
    <row r="1720" spans="1:33" x14ac:dyDescent="0.25">
      <c r="A1720" t="s">
        <v>258</v>
      </c>
      <c r="B1720" t="s">
        <v>270</v>
      </c>
      <c r="C1720" t="s">
        <v>271</v>
      </c>
      <c r="D1720" t="s">
        <v>272</v>
      </c>
      <c r="E1720" t="s">
        <v>273</v>
      </c>
      <c r="F1720" t="s">
        <v>134</v>
      </c>
      <c r="H1720" t="s">
        <v>138</v>
      </c>
      <c r="I1720" t="s">
        <v>139</v>
      </c>
      <c r="J1720" t="s">
        <v>258</v>
      </c>
      <c r="K1720" t="s">
        <v>438</v>
      </c>
      <c r="L1720" t="s">
        <v>340</v>
      </c>
      <c r="N1720" t="s">
        <v>439</v>
      </c>
      <c r="O1720" t="s">
        <v>243</v>
      </c>
      <c r="Q1720" t="s">
        <v>244</v>
      </c>
      <c r="R1720" t="s">
        <v>140</v>
      </c>
      <c r="S1720" t="s">
        <v>128</v>
      </c>
      <c r="T1720" t="s">
        <v>181</v>
      </c>
      <c r="U1720" t="s">
        <v>129</v>
      </c>
      <c r="V1720" t="s">
        <v>72</v>
      </c>
      <c r="W1720" s="58">
        <v>43339</v>
      </c>
      <c r="X1720" s="59">
        <v>0.3263888888888889</v>
      </c>
      <c r="Y1720" s="59">
        <v>0.36805555555555558</v>
      </c>
      <c r="Z1720" s="59">
        <v>4.1666666666666664E-2</v>
      </c>
      <c r="AA1720">
        <v>0</v>
      </c>
      <c r="AC1720">
        <v>23</v>
      </c>
      <c r="AD1720">
        <v>9.5</v>
      </c>
      <c r="AE1720" s="59">
        <v>0.3263888888888889</v>
      </c>
      <c r="AF1720" s="59">
        <v>0.36736111111111108</v>
      </c>
      <c r="AG1720">
        <v>37.5</v>
      </c>
    </row>
    <row r="1721" spans="1:33" x14ac:dyDescent="0.25">
      <c r="A1721" t="s">
        <v>274</v>
      </c>
      <c r="B1721" t="s">
        <v>336</v>
      </c>
      <c r="C1721" t="s">
        <v>337</v>
      </c>
      <c r="E1721" t="s">
        <v>338</v>
      </c>
      <c r="F1721" t="s">
        <v>134</v>
      </c>
      <c r="H1721" t="s">
        <v>186</v>
      </c>
      <c r="I1721" t="s">
        <v>147</v>
      </c>
      <c r="J1721" t="s">
        <v>258</v>
      </c>
      <c r="K1721" t="s">
        <v>438</v>
      </c>
      <c r="L1721" t="s">
        <v>340</v>
      </c>
      <c r="N1721" t="s">
        <v>439</v>
      </c>
      <c r="O1721" t="s">
        <v>243</v>
      </c>
      <c r="Q1721" t="s">
        <v>244</v>
      </c>
      <c r="R1721" t="s">
        <v>187</v>
      </c>
      <c r="S1721" t="s">
        <v>128</v>
      </c>
      <c r="T1721" t="s">
        <v>181</v>
      </c>
      <c r="U1721" t="s">
        <v>151</v>
      </c>
      <c r="V1721" t="s">
        <v>72</v>
      </c>
      <c r="W1721" s="58">
        <v>43339</v>
      </c>
      <c r="X1721" s="59">
        <v>0.38194444444444442</v>
      </c>
      <c r="Y1721" s="59">
        <v>0.4236111111111111</v>
      </c>
      <c r="Z1721" s="59">
        <v>4.1666666666666664E-2</v>
      </c>
      <c r="AA1721">
        <v>0</v>
      </c>
      <c r="AB1721">
        <v>10.041</v>
      </c>
      <c r="AC1721">
        <v>20</v>
      </c>
      <c r="AD1721">
        <v>9.5</v>
      </c>
      <c r="AE1721" s="59">
        <v>0.38194444444444442</v>
      </c>
      <c r="AF1721" s="59">
        <v>0.42291666666666666</v>
      </c>
      <c r="AG1721">
        <v>37.5</v>
      </c>
    </row>
    <row r="1722" spans="1:33" x14ac:dyDescent="0.25">
      <c r="A1722" t="s">
        <v>274</v>
      </c>
      <c r="B1722" t="s">
        <v>328</v>
      </c>
      <c r="C1722" t="s">
        <v>329</v>
      </c>
      <c r="D1722">
        <v>5</v>
      </c>
      <c r="E1722" t="s">
        <v>330</v>
      </c>
      <c r="F1722" t="s">
        <v>134</v>
      </c>
      <c r="G1722" t="s">
        <v>218</v>
      </c>
      <c r="H1722" t="s">
        <v>188</v>
      </c>
      <c r="I1722" t="s">
        <v>189</v>
      </c>
      <c r="J1722" t="s">
        <v>258</v>
      </c>
      <c r="K1722" t="s">
        <v>438</v>
      </c>
      <c r="L1722" t="s">
        <v>340</v>
      </c>
      <c r="N1722" t="s">
        <v>439</v>
      </c>
      <c r="O1722" t="s">
        <v>243</v>
      </c>
      <c r="Q1722" t="s">
        <v>244</v>
      </c>
      <c r="R1722" t="s">
        <v>190</v>
      </c>
      <c r="S1722" t="s">
        <v>128</v>
      </c>
      <c r="T1722" t="s">
        <v>181</v>
      </c>
      <c r="U1722" t="s">
        <v>151</v>
      </c>
      <c r="V1722" t="s">
        <v>72</v>
      </c>
      <c r="W1722" s="58">
        <v>43339</v>
      </c>
      <c r="X1722" s="59">
        <v>0.5</v>
      </c>
      <c r="Y1722" s="59">
        <v>0.75</v>
      </c>
      <c r="Z1722" s="59">
        <v>0.25</v>
      </c>
      <c r="AA1722">
        <v>28</v>
      </c>
      <c r="AB1722">
        <v>2.0398000000000001</v>
      </c>
      <c r="AC1722">
        <v>120</v>
      </c>
      <c r="AD1722">
        <v>57</v>
      </c>
      <c r="AE1722" s="59">
        <v>0.5</v>
      </c>
      <c r="AF1722" s="59">
        <v>0.74930555555555556</v>
      </c>
      <c r="AG1722">
        <v>37.5</v>
      </c>
    </row>
    <row r="1723" spans="1:33" x14ac:dyDescent="0.25">
      <c r="A1723" t="s">
        <v>258</v>
      </c>
      <c r="B1723" t="s">
        <v>314</v>
      </c>
      <c r="C1723" t="s">
        <v>315</v>
      </c>
      <c r="D1723">
        <v>72</v>
      </c>
      <c r="E1723" t="s">
        <v>316</v>
      </c>
      <c r="F1723" t="s">
        <v>317</v>
      </c>
      <c r="G1723" t="s">
        <v>218</v>
      </c>
      <c r="H1723" t="s">
        <v>168</v>
      </c>
      <c r="I1723" t="s">
        <v>169</v>
      </c>
      <c r="J1723" t="s">
        <v>258</v>
      </c>
      <c r="K1723" t="s">
        <v>438</v>
      </c>
      <c r="L1723" t="s">
        <v>340</v>
      </c>
      <c r="N1723" t="s">
        <v>439</v>
      </c>
      <c r="O1723" t="s">
        <v>243</v>
      </c>
      <c r="Q1723" t="s">
        <v>244</v>
      </c>
      <c r="R1723" t="s">
        <v>170</v>
      </c>
      <c r="S1723" t="s">
        <v>128</v>
      </c>
      <c r="T1723" t="s">
        <v>181</v>
      </c>
      <c r="U1723" t="s">
        <v>129</v>
      </c>
      <c r="V1723" t="s">
        <v>73</v>
      </c>
      <c r="W1723" s="58">
        <v>43340</v>
      </c>
      <c r="X1723" s="59">
        <v>0.33333333333333331</v>
      </c>
      <c r="Y1723" s="59">
        <v>0.35416666666666669</v>
      </c>
      <c r="Z1723" s="59">
        <v>2.0833333333333332E-2</v>
      </c>
      <c r="AA1723">
        <v>0</v>
      </c>
      <c r="AC1723">
        <v>11.5</v>
      </c>
      <c r="AD1723">
        <v>4.75</v>
      </c>
      <c r="AE1723" s="59">
        <v>0.33333333333333331</v>
      </c>
      <c r="AF1723" s="59">
        <v>0.35347222222222219</v>
      </c>
      <c r="AG1723">
        <v>37.5</v>
      </c>
    </row>
    <row r="1724" spans="1:33" x14ac:dyDescent="0.25">
      <c r="B1724" t="s">
        <v>307</v>
      </c>
      <c r="C1724" t="s">
        <v>308</v>
      </c>
      <c r="D1724" t="s">
        <v>309</v>
      </c>
      <c r="E1724" t="s">
        <v>134</v>
      </c>
      <c r="H1724" t="s">
        <v>171</v>
      </c>
      <c r="I1724" t="s">
        <v>169</v>
      </c>
      <c r="J1724" t="s">
        <v>258</v>
      </c>
      <c r="K1724" t="s">
        <v>438</v>
      </c>
      <c r="L1724" t="s">
        <v>340</v>
      </c>
      <c r="N1724" t="s">
        <v>439</v>
      </c>
      <c r="O1724" t="s">
        <v>243</v>
      </c>
      <c r="Q1724" t="s">
        <v>244</v>
      </c>
      <c r="R1724" t="s">
        <v>172</v>
      </c>
      <c r="S1724" t="s">
        <v>128</v>
      </c>
      <c r="T1724" t="s">
        <v>181</v>
      </c>
      <c r="U1724" t="s">
        <v>129</v>
      </c>
      <c r="V1724" t="s">
        <v>73</v>
      </c>
      <c r="W1724" s="58">
        <v>43340</v>
      </c>
      <c r="X1724" s="59">
        <v>0.36458333333333331</v>
      </c>
      <c r="Y1724" s="59">
        <v>0.40625</v>
      </c>
      <c r="Z1724" s="59">
        <v>4.1666666666666664E-2</v>
      </c>
      <c r="AA1724">
        <v>0</v>
      </c>
      <c r="AB1724">
        <v>0.62839999999999996</v>
      </c>
      <c r="AC1724">
        <v>23</v>
      </c>
      <c r="AD1724">
        <v>9.5</v>
      </c>
      <c r="AE1724" s="59">
        <v>0.36458333333333331</v>
      </c>
      <c r="AF1724" s="59">
        <v>0.4055555555555555</v>
      </c>
      <c r="AG1724">
        <v>37.5</v>
      </c>
    </row>
    <row r="1725" spans="1:33" x14ac:dyDescent="0.25">
      <c r="A1725" t="s">
        <v>274</v>
      </c>
      <c r="B1725" t="s">
        <v>321</v>
      </c>
      <c r="C1725" t="s">
        <v>322</v>
      </c>
      <c r="D1725" t="s">
        <v>323</v>
      </c>
      <c r="E1725" t="s">
        <v>324</v>
      </c>
      <c r="F1725" t="s">
        <v>134</v>
      </c>
      <c r="H1725" t="s">
        <v>184</v>
      </c>
      <c r="I1725" t="s">
        <v>147</v>
      </c>
      <c r="J1725" t="s">
        <v>258</v>
      </c>
      <c r="K1725" t="s">
        <v>438</v>
      </c>
      <c r="L1725" t="s">
        <v>340</v>
      </c>
      <c r="N1725" t="s">
        <v>439</v>
      </c>
      <c r="O1725" t="s">
        <v>243</v>
      </c>
      <c r="Q1725" t="s">
        <v>244</v>
      </c>
      <c r="R1725" t="s">
        <v>185</v>
      </c>
      <c r="S1725" t="s">
        <v>128</v>
      </c>
      <c r="T1725" t="s">
        <v>181</v>
      </c>
      <c r="U1725" t="s">
        <v>151</v>
      </c>
      <c r="V1725" t="s">
        <v>73</v>
      </c>
      <c r="W1725" s="58">
        <v>43340</v>
      </c>
      <c r="X1725" s="59">
        <v>0.41666666666666669</v>
      </c>
      <c r="Y1725" s="59">
        <v>0.45833333333333331</v>
      </c>
      <c r="Z1725" s="59">
        <v>4.1666666666666664E-2</v>
      </c>
      <c r="AA1725">
        <v>0</v>
      </c>
      <c r="AB1725">
        <v>3.8033999999999999</v>
      </c>
      <c r="AC1725">
        <v>20</v>
      </c>
      <c r="AD1725">
        <v>9.5</v>
      </c>
      <c r="AE1725" s="59">
        <v>0.41666666666666669</v>
      </c>
      <c r="AF1725" s="59">
        <v>0.45763888888888887</v>
      </c>
      <c r="AG1725">
        <v>37.5</v>
      </c>
    </row>
    <row r="1726" spans="1:33" x14ac:dyDescent="0.25">
      <c r="A1726" t="s">
        <v>274</v>
      </c>
      <c r="B1726" t="s">
        <v>328</v>
      </c>
      <c r="C1726" t="s">
        <v>329</v>
      </c>
      <c r="D1726">
        <v>5</v>
      </c>
      <c r="E1726" t="s">
        <v>330</v>
      </c>
      <c r="F1726" t="s">
        <v>134</v>
      </c>
      <c r="G1726" t="s">
        <v>218</v>
      </c>
      <c r="H1726" t="s">
        <v>188</v>
      </c>
      <c r="I1726" t="s">
        <v>189</v>
      </c>
      <c r="J1726" t="s">
        <v>258</v>
      </c>
      <c r="K1726" t="s">
        <v>438</v>
      </c>
      <c r="L1726" t="s">
        <v>340</v>
      </c>
      <c r="N1726" t="s">
        <v>439</v>
      </c>
      <c r="O1726" t="s">
        <v>243</v>
      </c>
      <c r="Q1726" t="s">
        <v>244</v>
      </c>
      <c r="R1726" t="s">
        <v>190</v>
      </c>
      <c r="S1726" t="s">
        <v>128</v>
      </c>
      <c r="T1726" t="s">
        <v>181</v>
      </c>
      <c r="U1726" t="s">
        <v>151</v>
      </c>
      <c r="V1726" t="s">
        <v>73</v>
      </c>
      <c r="W1726" s="58">
        <v>43340</v>
      </c>
      <c r="X1726" s="59">
        <v>0.5</v>
      </c>
      <c r="Y1726" s="59">
        <v>0.75</v>
      </c>
      <c r="Z1726" s="59">
        <v>0.25</v>
      </c>
      <c r="AA1726">
        <v>0</v>
      </c>
      <c r="AB1726">
        <v>1.9068000000000001</v>
      </c>
      <c r="AC1726">
        <v>120</v>
      </c>
      <c r="AD1726">
        <v>57</v>
      </c>
      <c r="AE1726" s="59">
        <v>0.5</v>
      </c>
      <c r="AF1726" s="59">
        <v>0.74930555555555556</v>
      </c>
      <c r="AG1726">
        <v>37.5</v>
      </c>
    </row>
    <row r="1727" spans="1:33" x14ac:dyDescent="0.25">
      <c r="B1727" t="s">
        <v>307</v>
      </c>
      <c r="C1727" t="s">
        <v>308</v>
      </c>
      <c r="D1727" t="s">
        <v>309</v>
      </c>
      <c r="E1727" t="s">
        <v>134</v>
      </c>
      <c r="H1727" t="s">
        <v>171</v>
      </c>
      <c r="I1727" t="s">
        <v>169</v>
      </c>
      <c r="J1727" t="s">
        <v>258</v>
      </c>
      <c r="K1727" t="s">
        <v>438</v>
      </c>
      <c r="L1727" t="s">
        <v>340</v>
      </c>
      <c r="N1727" t="s">
        <v>439</v>
      </c>
      <c r="O1727" t="s">
        <v>243</v>
      </c>
      <c r="Q1727" t="s">
        <v>244</v>
      </c>
      <c r="R1727" t="s">
        <v>172</v>
      </c>
      <c r="S1727" t="s">
        <v>128</v>
      </c>
      <c r="T1727" t="s">
        <v>181</v>
      </c>
      <c r="U1727" t="s">
        <v>129</v>
      </c>
      <c r="V1727" t="s">
        <v>74</v>
      </c>
      <c r="W1727" s="58">
        <v>43341</v>
      </c>
      <c r="X1727" s="59">
        <v>0.29166666666666669</v>
      </c>
      <c r="Y1727" s="59">
        <v>0.34375</v>
      </c>
      <c r="Z1727" s="59">
        <v>5.2083333333333336E-2</v>
      </c>
      <c r="AA1727">
        <v>0</v>
      </c>
      <c r="AC1727">
        <v>28.75</v>
      </c>
      <c r="AD1727">
        <v>11.875</v>
      </c>
      <c r="AE1727" s="59">
        <v>0.29166666666666669</v>
      </c>
      <c r="AF1727" s="59">
        <v>0.3430555555555555</v>
      </c>
      <c r="AG1727">
        <v>37.5</v>
      </c>
    </row>
    <row r="1728" spans="1:33" x14ac:dyDescent="0.25">
      <c r="A1728" t="s">
        <v>258</v>
      </c>
      <c r="B1728" t="s">
        <v>310</v>
      </c>
      <c r="C1728" t="s">
        <v>311</v>
      </c>
      <c r="D1728" t="s">
        <v>312</v>
      </c>
      <c r="E1728" t="s">
        <v>313</v>
      </c>
      <c r="F1728" t="s">
        <v>134</v>
      </c>
      <c r="H1728" t="s">
        <v>175</v>
      </c>
      <c r="I1728" t="s">
        <v>127</v>
      </c>
      <c r="J1728" t="s">
        <v>258</v>
      </c>
      <c r="K1728" t="s">
        <v>438</v>
      </c>
      <c r="L1728" t="s">
        <v>340</v>
      </c>
      <c r="N1728" t="s">
        <v>439</v>
      </c>
      <c r="O1728" t="s">
        <v>243</v>
      </c>
      <c r="Q1728" t="s">
        <v>244</v>
      </c>
      <c r="R1728" t="s">
        <v>176</v>
      </c>
      <c r="S1728" t="s">
        <v>128</v>
      </c>
      <c r="T1728" t="s">
        <v>181</v>
      </c>
      <c r="U1728" t="s">
        <v>151</v>
      </c>
      <c r="V1728" t="s">
        <v>74</v>
      </c>
      <c r="W1728" s="58">
        <v>43341</v>
      </c>
      <c r="X1728" s="59">
        <v>0.35416666666666669</v>
      </c>
      <c r="Y1728" s="59">
        <v>0.39583333333333331</v>
      </c>
      <c r="Z1728" s="59">
        <v>4.1666666666666664E-2</v>
      </c>
      <c r="AA1728">
        <v>0</v>
      </c>
      <c r="AB1728">
        <v>1.3216000000000001</v>
      </c>
      <c r="AC1728">
        <v>20</v>
      </c>
      <c r="AD1728">
        <v>9.5</v>
      </c>
      <c r="AE1728" s="59">
        <v>0.35416666666666669</v>
      </c>
      <c r="AF1728" s="59">
        <v>0.39513888888888887</v>
      </c>
      <c r="AG1728">
        <v>37.5</v>
      </c>
    </row>
    <row r="1729" spans="1:33" x14ac:dyDescent="0.25">
      <c r="A1729" t="s">
        <v>274</v>
      </c>
      <c r="B1729" t="s">
        <v>328</v>
      </c>
      <c r="C1729" t="s">
        <v>329</v>
      </c>
      <c r="D1729">
        <v>5</v>
      </c>
      <c r="E1729" t="s">
        <v>330</v>
      </c>
      <c r="F1729" t="s">
        <v>134</v>
      </c>
      <c r="G1729" t="s">
        <v>218</v>
      </c>
      <c r="H1729" t="s">
        <v>188</v>
      </c>
      <c r="I1729" t="s">
        <v>189</v>
      </c>
      <c r="J1729" t="s">
        <v>258</v>
      </c>
      <c r="K1729" t="s">
        <v>438</v>
      </c>
      <c r="L1729" t="s">
        <v>340</v>
      </c>
      <c r="N1729" t="s">
        <v>439</v>
      </c>
      <c r="O1729" t="s">
        <v>243</v>
      </c>
      <c r="Q1729" t="s">
        <v>244</v>
      </c>
      <c r="R1729" t="s">
        <v>190</v>
      </c>
      <c r="S1729" t="s">
        <v>128</v>
      </c>
      <c r="T1729" t="s">
        <v>181</v>
      </c>
      <c r="U1729" t="s">
        <v>151</v>
      </c>
      <c r="V1729" t="s">
        <v>74</v>
      </c>
      <c r="W1729" s="58">
        <v>43341</v>
      </c>
      <c r="X1729" s="59">
        <v>0.45833333333333331</v>
      </c>
      <c r="Y1729" s="59">
        <v>0.75</v>
      </c>
      <c r="Z1729" s="59">
        <v>0.29166666666666669</v>
      </c>
      <c r="AA1729">
        <v>28</v>
      </c>
      <c r="AB1729">
        <v>3.0886</v>
      </c>
      <c r="AC1729">
        <v>140</v>
      </c>
      <c r="AD1729">
        <v>66.5</v>
      </c>
      <c r="AE1729" s="59">
        <v>0.45833333333333331</v>
      </c>
      <c r="AF1729" s="59">
        <v>0.74930555555555556</v>
      </c>
      <c r="AG1729">
        <v>37.5</v>
      </c>
    </row>
    <row r="1730" spans="1:33" x14ac:dyDescent="0.25">
      <c r="A1730" t="s">
        <v>258</v>
      </c>
      <c r="B1730" t="s">
        <v>314</v>
      </c>
      <c r="C1730" t="s">
        <v>315</v>
      </c>
      <c r="D1730">
        <v>72</v>
      </c>
      <c r="E1730" t="s">
        <v>316</v>
      </c>
      <c r="F1730" t="s">
        <v>317</v>
      </c>
      <c r="G1730" t="s">
        <v>218</v>
      </c>
      <c r="H1730" t="s">
        <v>168</v>
      </c>
      <c r="I1730" t="s">
        <v>169</v>
      </c>
      <c r="J1730" t="s">
        <v>258</v>
      </c>
      <c r="K1730" t="s">
        <v>438</v>
      </c>
      <c r="L1730" t="s">
        <v>340</v>
      </c>
      <c r="N1730" t="s">
        <v>439</v>
      </c>
      <c r="O1730" t="s">
        <v>243</v>
      </c>
      <c r="Q1730" t="s">
        <v>244</v>
      </c>
      <c r="R1730" t="s">
        <v>170</v>
      </c>
      <c r="S1730" t="s">
        <v>128</v>
      </c>
      <c r="T1730" t="s">
        <v>181</v>
      </c>
      <c r="U1730" t="s">
        <v>129</v>
      </c>
      <c r="V1730" t="s">
        <v>75</v>
      </c>
      <c r="W1730" s="58">
        <v>43342</v>
      </c>
      <c r="X1730" s="59">
        <v>0.33333333333333331</v>
      </c>
      <c r="Y1730" s="59">
        <v>0.35416666666666669</v>
      </c>
      <c r="Z1730" s="59">
        <v>2.0833333333333332E-2</v>
      </c>
      <c r="AA1730">
        <v>0</v>
      </c>
      <c r="AC1730">
        <v>11.5</v>
      </c>
      <c r="AD1730">
        <v>4.75</v>
      </c>
      <c r="AE1730" s="59">
        <v>0.33333333333333331</v>
      </c>
      <c r="AF1730" s="59">
        <v>0.35347222222222219</v>
      </c>
      <c r="AG1730">
        <v>37.5</v>
      </c>
    </row>
    <row r="1731" spans="1:33" x14ac:dyDescent="0.25">
      <c r="B1731" t="s">
        <v>307</v>
      </c>
      <c r="C1731" t="s">
        <v>308</v>
      </c>
      <c r="D1731" t="s">
        <v>309</v>
      </c>
      <c r="E1731" t="s">
        <v>134</v>
      </c>
      <c r="H1731" t="s">
        <v>171</v>
      </c>
      <c r="I1731" t="s">
        <v>169</v>
      </c>
      <c r="J1731" t="s">
        <v>258</v>
      </c>
      <c r="K1731" t="s">
        <v>438</v>
      </c>
      <c r="L1731" t="s">
        <v>340</v>
      </c>
      <c r="N1731" t="s">
        <v>439</v>
      </c>
      <c r="O1731" t="s">
        <v>243</v>
      </c>
      <c r="Q1731" t="s">
        <v>244</v>
      </c>
      <c r="R1731" t="s">
        <v>172</v>
      </c>
      <c r="S1731" t="s">
        <v>128</v>
      </c>
      <c r="T1731" t="s">
        <v>181</v>
      </c>
      <c r="U1731" t="s">
        <v>129</v>
      </c>
      <c r="V1731" t="s">
        <v>75</v>
      </c>
      <c r="W1731" s="58">
        <v>43342</v>
      </c>
      <c r="X1731" s="59">
        <v>0.36458333333333331</v>
      </c>
      <c r="Y1731" s="59">
        <v>0.41666666666666669</v>
      </c>
      <c r="Z1731" s="59">
        <v>5.2083333333333336E-2</v>
      </c>
      <c r="AA1731">
        <v>0</v>
      </c>
      <c r="AB1731">
        <v>0.62839999999999996</v>
      </c>
      <c r="AC1731">
        <v>28.75</v>
      </c>
      <c r="AD1731">
        <v>11.875</v>
      </c>
      <c r="AE1731" s="59">
        <v>0.36458333333333331</v>
      </c>
      <c r="AF1731" s="59">
        <v>0.41597222222222219</v>
      </c>
      <c r="AG1731">
        <v>37.5</v>
      </c>
    </row>
    <row r="1732" spans="1:33" x14ac:dyDescent="0.25">
      <c r="A1732" t="s">
        <v>274</v>
      </c>
      <c r="B1732" t="s">
        <v>328</v>
      </c>
      <c r="C1732" t="s">
        <v>329</v>
      </c>
      <c r="D1732">
        <v>5</v>
      </c>
      <c r="E1732" t="s">
        <v>330</v>
      </c>
      <c r="F1732" t="s">
        <v>134</v>
      </c>
      <c r="G1732" t="s">
        <v>218</v>
      </c>
      <c r="H1732" t="s">
        <v>188</v>
      </c>
      <c r="I1732" t="s">
        <v>189</v>
      </c>
      <c r="J1732" t="s">
        <v>258</v>
      </c>
      <c r="K1732" t="s">
        <v>438</v>
      </c>
      <c r="L1732" t="s">
        <v>340</v>
      </c>
      <c r="N1732" t="s">
        <v>439</v>
      </c>
      <c r="O1732" t="s">
        <v>243</v>
      </c>
      <c r="Q1732" t="s">
        <v>244</v>
      </c>
      <c r="R1732" t="s">
        <v>190</v>
      </c>
      <c r="S1732" t="s">
        <v>128</v>
      </c>
      <c r="T1732" t="s">
        <v>181</v>
      </c>
      <c r="U1732" t="s">
        <v>151</v>
      </c>
      <c r="V1732" t="s">
        <v>75</v>
      </c>
      <c r="W1732" s="58">
        <v>43342</v>
      </c>
      <c r="X1732" s="59">
        <v>0.5</v>
      </c>
      <c r="Y1732" s="59">
        <v>0.75</v>
      </c>
      <c r="Z1732" s="59">
        <v>0.25</v>
      </c>
      <c r="AA1732">
        <v>0</v>
      </c>
      <c r="AB1732">
        <v>2.8203999999999998</v>
      </c>
      <c r="AC1732">
        <v>120</v>
      </c>
      <c r="AD1732">
        <v>57</v>
      </c>
      <c r="AE1732" s="59">
        <v>0.5</v>
      </c>
      <c r="AF1732" s="59">
        <v>0.74930555555555556</v>
      </c>
      <c r="AG1732">
        <v>37.5</v>
      </c>
    </row>
    <row r="1733" spans="1:33" x14ac:dyDescent="0.25">
      <c r="A1733" t="s">
        <v>258</v>
      </c>
      <c r="B1733" t="s">
        <v>299</v>
      </c>
      <c r="C1733" t="s">
        <v>300</v>
      </c>
      <c r="D1733" t="s">
        <v>301</v>
      </c>
      <c r="E1733" t="s">
        <v>302</v>
      </c>
      <c r="F1733" t="s">
        <v>303</v>
      </c>
      <c r="H1733" t="s">
        <v>166</v>
      </c>
      <c r="I1733" t="s">
        <v>142</v>
      </c>
      <c r="J1733" t="s">
        <v>258</v>
      </c>
      <c r="K1733" t="s">
        <v>438</v>
      </c>
      <c r="L1733" t="s">
        <v>340</v>
      </c>
      <c r="N1733" t="s">
        <v>439</v>
      </c>
      <c r="O1733" t="s">
        <v>243</v>
      </c>
      <c r="Q1733" t="s">
        <v>244</v>
      </c>
      <c r="R1733" t="s">
        <v>167</v>
      </c>
      <c r="S1733" t="s">
        <v>128</v>
      </c>
      <c r="T1733" t="s">
        <v>181</v>
      </c>
      <c r="U1733" t="s">
        <v>129</v>
      </c>
      <c r="V1733" t="s">
        <v>76</v>
      </c>
      <c r="W1733" s="58">
        <v>43343</v>
      </c>
      <c r="X1733" s="59">
        <v>0.31388888888888888</v>
      </c>
      <c r="Y1733" s="59">
        <v>0.35555555555555557</v>
      </c>
      <c r="Z1733" s="59">
        <v>4.1666666666666664E-2</v>
      </c>
      <c r="AA1733">
        <v>0</v>
      </c>
      <c r="AC1733">
        <v>23</v>
      </c>
      <c r="AD1733">
        <v>9.5</v>
      </c>
      <c r="AE1733" s="59">
        <v>0.31388888888888888</v>
      </c>
      <c r="AF1733" s="59">
        <v>0.35486111111111113</v>
      </c>
      <c r="AG1733">
        <v>37.5</v>
      </c>
    </row>
    <row r="1734" spans="1:33" x14ac:dyDescent="0.25">
      <c r="A1734" t="s">
        <v>258</v>
      </c>
      <c r="B1734" t="s">
        <v>325</v>
      </c>
      <c r="C1734" t="s">
        <v>326</v>
      </c>
      <c r="E1734" t="s">
        <v>327</v>
      </c>
      <c r="F1734" t="s">
        <v>134</v>
      </c>
      <c r="H1734" t="s">
        <v>182</v>
      </c>
      <c r="I1734" t="s">
        <v>147</v>
      </c>
      <c r="J1734" t="s">
        <v>258</v>
      </c>
      <c r="K1734" t="s">
        <v>438</v>
      </c>
      <c r="L1734" t="s">
        <v>340</v>
      </c>
      <c r="N1734" t="s">
        <v>439</v>
      </c>
      <c r="O1734" t="s">
        <v>243</v>
      </c>
      <c r="Q1734" t="s">
        <v>244</v>
      </c>
      <c r="R1734" t="s">
        <v>183</v>
      </c>
      <c r="S1734" t="s">
        <v>128</v>
      </c>
      <c r="T1734" t="s">
        <v>181</v>
      </c>
      <c r="U1734" t="s">
        <v>129</v>
      </c>
      <c r="V1734" t="s">
        <v>76</v>
      </c>
      <c r="W1734" s="58">
        <v>43343</v>
      </c>
      <c r="X1734" s="59">
        <v>0.36458333333333331</v>
      </c>
      <c r="Y1734" s="59">
        <v>0.40625</v>
      </c>
      <c r="Z1734" s="59">
        <v>4.1666666666666664E-2</v>
      </c>
      <c r="AA1734">
        <v>0</v>
      </c>
      <c r="AB1734">
        <v>8.2636000000000003</v>
      </c>
      <c r="AC1734">
        <v>17.25</v>
      </c>
      <c r="AD1734">
        <v>9.5</v>
      </c>
      <c r="AE1734" s="59">
        <v>0.36458333333333331</v>
      </c>
      <c r="AF1734" s="59">
        <v>0.4055555555555555</v>
      </c>
      <c r="AG1734">
        <v>37.5</v>
      </c>
    </row>
    <row r="1735" spans="1:33" x14ac:dyDescent="0.25">
      <c r="A1735" t="s">
        <v>274</v>
      </c>
      <c r="B1735" t="s">
        <v>321</v>
      </c>
      <c r="C1735" t="s">
        <v>322</v>
      </c>
      <c r="D1735" t="s">
        <v>323</v>
      </c>
      <c r="E1735" t="s">
        <v>324</v>
      </c>
      <c r="F1735" t="s">
        <v>134</v>
      </c>
      <c r="H1735" t="s">
        <v>184</v>
      </c>
      <c r="I1735" t="s">
        <v>147</v>
      </c>
      <c r="J1735" t="s">
        <v>258</v>
      </c>
      <c r="K1735" t="s">
        <v>438</v>
      </c>
      <c r="L1735" t="s">
        <v>340</v>
      </c>
      <c r="N1735" t="s">
        <v>439</v>
      </c>
      <c r="O1735" t="s">
        <v>243</v>
      </c>
      <c r="Q1735" t="s">
        <v>244</v>
      </c>
      <c r="R1735" t="s">
        <v>185</v>
      </c>
      <c r="S1735" t="s">
        <v>128</v>
      </c>
      <c r="T1735" t="s">
        <v>181</v>
      </c>
      <c r="U1735" t="s">
        <v>151</v>
      </c>
      <c r="V1735" t="s">
        <v>76</v>
      </c>
      <c r="W1735" s="58">
        <v>43343</v>
      </c>
      <c r="X1735" s="59">
        <v>0.41666666666666669</v>
      </c>
      <c r="Y1735" s="59">
        <v>0.45833333333333331</v>
      </c>
      <c r="Z1735" s="59">
        <v>4.1666666666666664E-2</v>
      </c>
      <c r="AA1735">
        <v>0</v>
      </c>
      <c r="AB1735">
        <v>2.2181999999999999</v>
      </c>
      <c r="AC1735">
        <v>20</v>
      </c>
      <c r="AD1735">
        <v>9.5</v>
      </c>
      <c r="AE1735" s="59">
        <v>0.41666666666666669</v>
      </c>
      <c r="AF1735" s="59">
        <v>0.45763888888888887</v>
      </c>
      <c r="AG1735">
        <v>37.5</v>
      </c>
    </row>
    <row r="1736" spans="1:33" x14ac:dyDescent="0.25">
      <c r="A1736" t="s">
        <v>274</v>
      </c>
      <c r="B1736" t="s">
        <v>328</v>
      </c>
      <c r="C1736" t="s">
        <v>329</v>
      </c>
      <c r="D1736">
        <v>5</v>
      </c>
      <c r="E1736" t="s">
        <v>330</v>
      </c>
      <c r="F1736" t="s">
        <v>134</v>
      </c>
      <c r="G1736" t="s">
        <v>218</v>
      </c>
      <c r="H1736" t="s">
        <v>188</v>
      </c>
      <c r="I1736" t="s">
        <v>189</v>
      </c>
      <c r="J1736" t="s">
        <v>258</v>
      </c>
      <c r="K1736" t="s">
        <v>438</v>
      </c>
      <c r="L1736" t="s">
        <v>340</v>
      </c>
      <c r="N1736" t="s">
        <v>439</v>
      </c>
      <c r="O1736" t="s">
        <v>243</v>
      </c>
      <c r="Q1736" t="s">
        <v>244</v>
      </c>
      <c r="R1736" t="s">
        <v>190</v>
      </c>
      <c r="S1736" t="s">
        <v>128</v>
      </c>
      <c r="T1736" t="s">
        <v>181</v>
      </c>
      <c r="U1736" t="s">
        <v>151</v>
      </c>
      <c r="V1736" t="s">
        <v>76</v>
      </c>
      <c r="W1736" s="58">
        <v>43343</v>
      </c>
      <c r="X1736" s="59">
        <v>0.47916666666666669</v>
      </c>
      <c r="Y1736" s="59">
        <v>0.75</v>
      </c>
      <c r="Z1736" s="59">
        <v>0.27083333333333331</v>
      </c>
      <c r="AA1736">
        <v>0</v>
      </c>
      <c r="AB1736">
        <v>1.9068000000000001</v>
      </c>
      <c r="AC1736">
        <v>130</v>
      </c>
      <c r="AD1736">
        <v>61.75</v>
      </c>
      <c r="AE1736" s="59">
        <v>0.47916666666666669</v>
      </c>
      <c r="AF1736" s="59">
        <v>0.74930555555555556</v>
      </c>
      <c r="AG1736">
        <v>37.5</v>
      </c>
    </row>
    <row r="1737" spans="1:33" x14ac:dyDescent="0.25">
      <c r="A1737" t="s">
        <v>258</v>
      </c>
      <c r="B1737" t="s">
        <v>299</v>
      </c>
      <c r="C1737" t="s">
        <v>300</v>
      </c>
      <c r="D1737" t="s">
        <v>301</v>
      </c>
      <c r="E1737" t="s">
        <v>302</v>
      </c>
      <c r="F1737" t="s">
        <v>303</v>
      </c>
      <c r="H1737" t="s">
        <v>166</v>
      </c>
      <c r="I1737" t="s">
        <v>142</v>
      </c>
      <c r="J1737" t="s">
        <v>258</v>
      </c>
      <c r="K1737" t="s">
        <v>438</v>
      </c>
      <c r="L1737" t="s">
        <v>340</v>
      </c>
      <c r="N1737" t="s">
        <v>439</v>
      </c>
      <c r="O1737" t="s">
        <v>243</v>
      </c>
      <c r="Q1737" t="s">
        <v>244</v>
      </c>
      <c r="R1737" t="s">
        <v>167</v>
      </c>
      <c r="S1737" t="s">
        <v>128</v>
      </c>
      <c r="T1737" t="s">
        <v>181</v>
      </c>
      <c r="U1737" t="s">
        <v>129</v>
      </c>
      <c r="V1737" t="s">
        <v>77</v>
      </c>
      <c r="W1737" s="58">
        <v>43344</v>
      </c>
      <c r="X1737" s="59">
        <v>0.3125</v>
      </c>
      <c r="Y1737" s="59">
        <v>0.35416666666666669</v>
      </c>
      <c r="Z1737" s="59">
        <v>4.1666666666666664E-2</v>
      </c>
      <c r="AA1737">
        <v>0</v>
      </c>
      <c r="AC1737">
        <v>23</v>
      </c>
      <c r="AD1737">
        <v>10.5</v>
      </c>
      <c r="AE1737" s="59">
        <v>0.3125</v>
      </c>
      <c r="AF1737" s="59">
        <v>0.35347222222222219</v>
      </c>
      <c r="AG1737">
        <v>37.5</v>
      </c>
    </row>
    <row r="1738" spans="1:33" x14ac:dyDescent="0.25">
      <c r="B1738" t="s">
        <v>307</v>
      </c>
      <c r="C1738" t="s">
        <v>308</v>
      </c>
      <c r="D1738" t="s">
        <v>309</v>
      </c>
      <c r="E1738" t="s">
        <v>134</v>
      </c>
      <c r="H1738" t="s">
        <v>171</v>
      </c>
      <c r="I1738" t="s">
        <v>169</v>
      </c>
      <c r="J1738" t="s">
        <v>258</v>
      </c>
      <c r="K1738" t="s">
        <v>438</v>
      </c>
      <c r="L1738" t="s">
        <v>340</v>
      </c>
      <c r="N1738" t="s">
        <v>439</v>
      </c>
      <c r="O1738" t="s">
        <v>243</v>
      </c>
      <c r="Q1738" t="s">
        <v>244</v>
      </c>
      <c r="R1738" t="s">
        <v>172</v>
      </c>
      <c r="S1738" t="s">
        <v>128</v>
      </c>
      <c r="T1738" t="s">
        <v>181</v>
      </c>
      <c r="U1738" t="s">
        <v>129</v>
      </c>
      <c r="V1738" t="s">
        <v>77</v>
      </c>
      <c r="W1738" s="58">
        <v>43344</v>
      </c>
      <c r="X1738" s="59">
        <v>0.36458333333333331</v>
      </c>
      <c r="Y1738" s="59">
        <v>0.40625</v>
      </c>
      <c r="Z1738" s="59">
        <v>4.1666666666666664E-2</v>
      </c>
      <c r="AA1738">
        <v>8</v>
      </c>
      <c r="AB1738">
        <v>5.4181999999999997</v>
      </c>
      <c r="AC1738">
        <v>23</v>
      </c>
      <c r="AD1738">
        <v>10.5</v>
      </c>
      <c r="AE1738" s="59">
        <v>0.36458333333333331</v>
      </c>
      <c r="AF1738" s="59">
        <v>0.4055555555555555</v>
      </c>
      <c r="AG1738">
        <v>37.5</v>
      </c>
    </row>
    <row r="1739" spans="1:33" x14ac:dyDescent="0.25">
      <c r="A1739" t="s">
        <v>258</v>
      </c>
      <c r="B1739" t="s">
        <v>262</v>
      </c>
      <c r="C1739" t="s">
        <v>263</v>
      </c>
      <c r="D1739" t="s">
        <v>264</v>
      </c>
      <c r="E1739" t="s">
        <v>265</v>
      </c>
      <c r="F1739" t="s">
        <v>134</v>
      </c>
      <c r="H1739" t="s">
        <v>132</v>
      </c>
      <c r="I1739" t="s">
        <v>133</v>
      </c>
      <c r="J1739" t="s">
        <v>258</v>
      </c>
      <c r="K1739" t="s">
        <v>438</v>
      </c>
      <c r="L1739" t="s">
        <v>340</v>
      </c>
      <c r="N1739" t="s">
        <v>439</v>
      </c>
      <c r="O1739" t="s">
        <v>243</v>
      </c>
      <c r="Q1739" t="s">
        <v>244</v>
      </c>
      <c r="R1739" t="s">
        <v>136</v>
      </c>
      <c r="S1739" t="s">
        <v>128</v>
      </c>
      <c r="T1739" t="s">
        <v>181</v>
      </c>
      <c r="U1739" t="s">
        <v>129</v>
      </c>
      <c r="V1739" t="s">
        <v>77</v>
      </c>
      <c r="W1739" s="58">
        <v>43344</v>
      </c>
      <c r="X1739" s="59">
        <v>0.41666666666666669</v>
      </c>
      <c r="Y1739" s="59">
        <v>0.45833333333333331</v>
      </c>
      <c r="Z1739" s="59">
        <v>4.1666666666666664E-2</v>
      </c>
      <c r="AA1739">
        <v>13</v>
      </c>
      <c r="AB1739">
        <v>8.5579999999999998</v>
      </c>
      <c r="AC1739">
        <v>23</v>
      </c>
      <c r="AD1739">
        <v>10.5</v>
      </c>
      <c r="AE1739" s="59">
        <v>0.41666666666666669</v>
      </c>
      <c r="AF1739" s="59">
        <v>0.45763888888888887</v>
      </c>
      <c r="AG1739">
        <v>37.5</v>
      </c>
    </row>
    <row r="1740" spans="1:33" x14ac:dyDescent="0.25">
      <c r="A1740" t="s">
        <v>274</v>
      </c>
      <c r="B1740" t="s">
        <v>328</v>
      </c>
      <c r="C1740" t="s">
        <v>329</v>
      </c>
      <c r="D1740">
        <v>5</v>
      </c>
      <c r="E1740" t="s">
        <v>330</v>
      </c>
      <c r="F1740" t="s">
        <v>134</v>
      </c>
      <c r="G1740" t="s">
        <v>218</v>
      </c>
      <c r="H1740" t="s">
        <v>188</v>
      </c>
      <c r="I1740" t="s">
        <v>189</v>
      </c>
      <c r="J1740" t="s">
        <v>258</v>
      </c>
      <c r="K1740" t="s">
        <v>438</v>
      </c>
      <c r="L1740" t="s">
        <v>340</v>
      </c>
      <c r="N1740" t="s">
        <v>439</v>
      </c>
      <c r="O1740" t="s">
        <v>243</v>
      </c>
      <c r="Q1740" t="s">
        <v>244</v>
      </c>
      <c r="R1740" t="s">
        <v>190</v>
      </c>
      <c r="S1740" t="s">
        <v>128</v>
      </c>
      <c r="T1740" t="s">
        <v>181</v>
      </c>
      <c r="U1740" t="s">
        <v>151</v>
      </c>
      <c r="V1740" t="s">
        <v>72</v>
      </c>
      <c r="W1740" s="58">
        <v>43346</v>
      </c>
      <c r="X1740" s="59">
        <v>0.33333333333333331</v>
      </c>
      <c r="Y1740" s="59">
        <v>0.375</v>
      </c>
      <c r="Z1740" s="59">
        <v>4.1666666666666664E-2</v>
      </c>
      <c r="AA1740">
        <v>0</v>
      </c>
      <c r="AC1740">
        <v>20</v>
      </c>
      <c r="AD1740">
        <v>9.5</v>
      </c>
      <c r="AE1740" s="59">
        <v>0.33333333333333331</v>
      </c>
      <c r="AF1740" s="59">
        <v>0.3743055555555555</v>
      </c>
      <c r="AG1740">
        <v>37.5</v>
      </c>
    </row>
    <row r="1741" spans="1:33" x14ac:dyDescent="0.25">
      <c r="A1741" t="s">
        <v>274</v>
      </c>
      <c r="B1741" t="s">
        <v>336</v>
      </c>
      <c r="C1741" t="s">
        <v>337</v>
      </c>
      <c r="E1741" t="s">
        <v>338</v>
      </c>
      <c r="F1741" t="s">
        <v>134</v>
      </c>
      <c r="H1741" t="s">
        <v>186</v>
      </c>
      <c r="I1741" t="s">
        <v>147</v>
      </c>
      <c r="J1741" t="s">
        <v>258</v>
      </c>
      <c r="K1741" t="s">
        <v>438</v>
      </c>
      <c r="L1741" t="s">
        <v>340</v>
      </c>
      <c r="N1741" t="s">
        <v>439</v>
      </c>
      <c r="O1741" t="s">
        <v>243</v>
      </c>
      <c r="Q1741" t="s">
        <v>244</v>
      </c>
      <c r="R1741" t="s">
        <v>187</v>
      </c>
      <c r="S1741" t="s">
        <v>128</v>
      </c>
      <c r="T1741" t="s">
        <v>181</v>
      </c>
      <c r="U1741" t="s">
        <v>151</v>
      </c>
      <c r="V1741" t="s">
        <v>72</v>
      </c>
      <c r="W1741" s="58">
        <v>43346</v>
      </c>
      <c r="X1741" s="59">
        <v>0.38541666666666669</v>
      </c>
      <c r="Y1741" s="59">
        <v>0.42708333333333331</v>
      </c>
      <c r="Z1741" s="59">
        <v>4.1666666666666664E-2</v>
      </c>
      <c r="AA1741">
        <v>3</v>
      </c>
      <c r="AB1741">
        <v>2.0398000000000001</v>
      </c>
      <c r="AC1741">
        <v>20</v>
      </c>
      <c r="AD1741">
        <v>9.5</v>
      </c>
      <c r="AE1741" s="59">
        <v>0.38541666666666669</v>
      </c>
      <c r="AF1741" s="59">
        <v>0.42638888888888887</v>
      </c>
      <c r="AG1741">
        <v>37.5</v>
      </c>
    </row>
    <row r="1742" spans="1:33" x14ac:dyDescent="0.25">
      <c r="A1742" t="s">
        <v>258</v>
      </c>
      <c r="B1742" t="s">
        <v>325</v>
      </c>
      <c r="C1742" t="s">
        <v>326</v>
      </c>
      <c r="E1742" t="s">
        <v>327</v>
      </c>
      <c r="F1742" t="s">
        <v>134</v>
      </c>
      <c r="H1742" t="s">
        <v>182</v>
      </c>
      <c r="I1742" t="s">
        <v>147</v>
      </c>
      <c r="J1742" t="s">
        <v>258</v>
      </c>
      <c r="K1742" t="s">
        <v>438</v>
      </c>
      <c r="L1742" t="s">
        <v>340</v>
      </c>
      <c r="N1742" t="s">
        <v>439</v>
      </c>
      <c r="O1742" t="s">
        <v>243</v>
      </c>
      <c r="Q1742" t="s">
        <v>244</v>
      </c>
      <c r="R1742" t="s">
        <v>183</v>
      </c>
      <c r="S1742" t="s">
        <v>128</v>
      </c>
      <c r="T1742" t="s">
        <v>181</v>
      </c>
      <c r="U1742" t="s">
        <v>129</v>
      </c>
      <c r="V1742" t="s">
        <v>72</v>
      </c>
      <c r="W1742" s="58">
        <v>43346</v>
      </c>
      <c r="X1742" s="59">
        <v>0.48958333333333331</v>
      </c>
      <c r="Y1742" s="59">
        <v>0.53125</v>
      </c>
      <c r="Z1742" s="59">
        <v>4.1666666666666664E-2</v>
      </c>
      <c r="AA1742">
        <v>3</v>
      </c>
      <c r="AB1742">
        <v>1.5784</v>
      </c>
      <c r="AC1742">
        <v>23</v>
      </c>
      <c r="AD1742">
        <v>9.5</v>
      </c>
      <c r="AE1742" s="59">
        <v>0.48958333333333331</v>
      </c>
      <c r="AF1742" s="59">
        <v>0.53055555555555556</v>
      </c>
      <c r="AG1742">
        <v>37.5</v>
      </c>
    </row>
    <row r="1743" spans="1:33" x14ac:dyDescent="0.25">
      <c r="A1743" t="s">
        <v>258</v>
      </c>
      <c r="B1743" t="s">
        <v>278</v>
      </c>
      <c r="C1743" t="s">
        <v>279</v>
      </c>
      <c r="E1743" t="s">
        <v>280</v>
      </c>
      <c r="F1743" t="s">
        <v>134</v>
      </c>
      <c r="H1743" t="s">
        <v>144</v>
      </c>
      <c r="I1743" t="s">
        <v>133</v>
      </c>
      <c r="J1743" t="s">
        <v>258</v>
      </c>
      <c r="K1743" t="s">
        <v>438</v>
      </c>
      <c r="L1743" t="s">
        <v>340</v>
      </c>
      <c r="N1743" t="s">
        <v>439</v>
      </c>
      <c r="O1743" t="s">
        <v>243</v>
      </c>
      <c r="Q1743" t="s">
        <v>244</v>
      </c>
      <c r="R1743" t="s">
        <v>145</v>
      </c>
      <c r="S1743" t="s">
        <v>128</v>
      </c>
      <c r="T1743" t="s">
        <v>181</v>
      </c>
      <c r="U1743" t="s">
        <v>129</v>
      </c>
      <c r="V1743" t="s">
        <v>72</v>
      </c>
      <c r="W1743" s="58">
        <v>43346</v>
      </c>
      <c r="X1743" s="59">
        <v>0.55208333333333337</v>
      </c>
      <c r="Y1743" s="59">
        <v>0.59375</v>
      </c>
      <c r="Z1743" s="59">
        <v>4.1666666666666664E-2</v>
      </c>
      <c r="AA1743">
        <v>12</v>
      </c>
      <c r="AB1743">
        <v>9.1999999999999993</v>
      </c>
      <c r="AC1743">
        <v>23</v>
      </c>
      <c r="AD1743">
        <v>9.5</v>
      </c>
      <c r="AE1743" s="59">
        <v>0.55208333333333337</v>
      </c>
      <c r="AF1743" s="59">
        <v>0.59305555555555556</v>
      </c>
      <c r="AG1743">
        <v>37.5</v>
      </c>
    </row>
    <row r="1744" spans="1:33" x14ac:dyDescent="0.25">
      <c r="A1744" t="s">
        <v>274</v>
      </c>
      <c r="B1744" t="s">
        <v>328</v>
      </c>
      <c r="C1744" t="s">
        <v>329</v>
      </c>
      <c r="D1744">
        <v>5</v>
      </c>
      <c r="E1744" t="s">
        <v>330</v>
      </c>
      <c r="F1744" t="s">
        <v>134</v>
      </c>
      <c r="G1744" t="s">
        <v>218</v>
      </c>
      <c r="H1744" t="s">
        <v>188</v>
      </c>
      <c r="I1744" t="s">
        <v>189</v>
      </c>
      <c r="J1744" t="s">
        <v>258</v>
      </c>
      <c r="K1744" t="s">
        <v>438</v>
      </c>
      <c r="L1744" t="s">
        <v>340</v>
      </c>
      <c r="N1744" t="s">
        <v>439</v>
      </c>
      <c r="O1744" t="s">
        <v>243</v>
      </c>
      <c r="Q1744" t="s">
        <v>244</v>
      </c>
      <c r="R1744" t="s">
        <v>190</v>
      </c>
      <c r="S1744" t="s">
        <v>128</v>
      </c>
      <c r="T1744" t="s">
        <v>181</v>
      </c>
      <c r="U1744" t="s">
        <v>151</v>
      </c>
      <c r="V1744" t="s">
        <v>72</v>
      </c>
      <c r="W1744" s="58">
        <v>43346</v>
      </c>
      <c r="X1744" s="59">
        <v>0.66666666666666663</v>
      </c>
      <c r="Y1744" s="59">
        <v>0.75</v>
      </c>
      <c r="Z1744" s="59">
        <v>8.3333333333333329E-2</v>
      </c>
      <c r="AA1744">
        <v>15</v>
      </c>
      <c r="AB1744">
        <v>9.0147999999999993</v>
      </c>
      <c r="AC1744">
        <v>40</v>
      </c>
      <c r="AD1744">
        <v>19</v>
      </c>
      <c r="AE1744" s="59">
        <v>0.66666666666666663</v>
      </c>
      <c r="AF1744" s="59">
        <v>0.74930555555555556</v>
      </c>
      <c r="AG1744">
        <v>37.5</v>
      </c>
    </row>
    <row r="1745" spans="1:33" x14ac:dyDescent="0.25">
      <c r="A1745" t="s">
        <v>258</v>
      </c>
      <c r="B1745" t="s">
        <v>270</v>
      </c>
      <c r="C1745" t="s">
        <v>271</v>
      </c>
      <c r="D1745" t="s">
        <v>272</v>
      </c>
      <c r="E1745" t="s">
        <v>273</v>
      </c>
      <c r="F1745" t="s">
        <v>134</v>
      </c>
      <c r="H1745" t="s">
        <v>138</v>
      </c>
      <c r="I1745" t="s">
        <v>139</v>
      </c>
      <c r="J1745" t="s">
        <v>258</v>
      </c>
      <c r="K1745" t="s">
        <v>438</v>
      </c>
      <c r="L1745" t="s">
        <v>340</v>
      </c>
      <c r="N1745" t="s">
        <v>439</v>
      </c>
      <c r="O1745" t="s">
        <v>243</v>
      </c>
      <c r="Q1745" t="s">
        <v>244</v>
      </c>
      <c r="R1745" t="s">
        <v>140</v>
      </c>
      <c r="S1745" t="s">
        <v>128</v>
      </c>
      <c r="T1745" t="s">
        <v>181</v>
      </c>
      <c r="U1745" t="s">
        <v>129</v>
      </c>
      <c r="V1745" t="s">
        <v>73</v>
      </c>
      <c r="W1745" s="58">
        <v>43347</v>
      </c>
      <c r="X1745" s="59">
        <v>0.33124999999999999</v>
      </c>
      <c r="Y1745" s="59">
        <v>0.37291666666666662</v>
      </c>
      <c r="Z1745" s="59">
        <v>4.1666666666666664E-2</v>
      </c>
      <c r="AA1745">
        <v>0</v>
      </c>
      <c r="AC1745">
        <v>23</v>
      </c>
      <c r="AD1745">
        <v>9.5</v>
      </c>
      <c r="AE1745" s="59">
        <v>0.33124999999999999</v>
      </c>
      <c r="AF1745" s="59">
        <v>0.37222222222222223</v>
      </c>
      <c r="AG1745">
        <v>37.5</v>
      </c>
    </row>
    <row r="1746" spans="1:33" x14ac:dyDescent="0.25">
      <c r="A1746" t="s">
        <v>258</v>
      </c>
      <c r="B1746" t="s">
        <v>354</v>
      </c>
      <c r="C1746" t="s">
        <v>355</v>
      </c>
      <c r="E1746" t="s">
        <v>356</v>
      </c>
      <c r="F1746" t="s">
        <v>134</v>
      </c>
      <c r="H1746" t="s">
        <v>205</v>
      </c>
      <c r="I1746" t="s">
        <v>198</v>
      </c>
      <c r="J1746" t="s">
        <v>258</v>
      </c>
      <c r="K1746" t="s">
        <v>438</v>
      </c>
      <c r="L1746" t="s">
        <v>340</v>
      </c>
      <c r="N1746" t="s">
        <v>439</v>
      </c>
      <c r="O1746" t="s">
        <v>243</v>
      </c>
      <c r="Q1746" t="s">
        <v>244</v>
      </c>
      <c r="R1746" t="s">
        <v>206</v>
      </c>
      <c r="S1746" t="s">
        <v>128</v>
      </c>
      <c r="T1746" t="s">
        <v>181</v>
      </c>
      <c r="U1746" t="s">
        <v>129</v>
      </c>
      <c r="V1746" t="s">
        <v>73</v>
      </c>
      <c r="W1746" s="58">
        <v>43347</v>
      </c>
      <c r="X1746" s="59">
        <v>0.3888888888888889</v>
      </c>
      <c r="Y1746" s="59">
        <v>0.43055555555555558</v>
      </c>
      <c r="Z1746" s="59">
        <v>4.1666666666666664E-2</v>
      </c>
      <c r="AA1746">
        <v>12</v>
      </c>
      <c r="AB1746">
        <v>6.5590000000000002</v>
      </c>
      <c r="AC1746">
        <v>23</v>
      </c>
      <c r="AD1746">
        <v>9.5</v>
      </c>
      <c r="AE1746" s="59">
        <v>0.3888888888888889</v>
      </c>
      <c r="AF1746" s="59">
        <v>0.42986111111111108</v>
      </c>
      <c r="AG1746">
        <v>37.5</v>
      </c>
    </row>
    <row r="1747" spans="1:33" x14ac:dyDescent="0.25">
      <c r="A1747" t="s">
        <v>274</v>
      </c>
      <c r="B1747" t="s">
        <v>328</v>
      </c>
      <c r="C1747" t="s">
        <v>329</v>
      </c>
      <c r="D1747">
        <v>5</v>
      </c>
      <c r="E1747" t="s">
        <v>330</v>
      </c>
      <c r="F1747" t="s">
        <v>134</v>
      </c>
      <c r="G1747" t="s">
        <v>218</v>
      </c>
      <c r="H1747" t="s">
        <v>188</v>
      </c>
      <c r="I1747" t="s">
        <v>189</v>
      </c>
      <c r="J1747" t="s">
        <v>258</v>
      </c>
      <c r="K1747" t="s">
        <v>438</v>
      </c>
      <c r="L1747" t="s">
        <v>340</v>
      </c>
      <c r="N1747" t="s">
        <v>439</v>
      </c>
      <c r="O1747" t="s">
        <v>243</v>
      </c>
      <c r="Q1747" t="s">
        <v>244</v>
      </c>
      <c r="R1747" t="s">
        <v>190</v>
      </c>
      <c r="S1747" t="s">
        <v>128</v>
      </c>
      <c r="T1747" t="s">
        <v>181</v>
      </c>
      <c r="U1747" t="s">
        <v>151</v>
      </c>
      <c r="V1747" t="s">
        <v>73</v>
      </c>
      <c r="W1747" s="58">
        <v>43347</v>
      </c>
      <c r="X1747" s="59">
        <v>0.5</v>
      </c>
      <c r="Y1747" s="59">
        <v>0.75</v>
      </c>
      <c r="Z1747" s="59">
        <v>0.25</v>
      </c>
      <c r="AA1747">
        <v>12</v>
      </c>
      <c r="AB1747">
        <v>6.7454000000000001</v>
      </c>
      <c r="AC1747">
        <v>120</v>
      </c>
      <c r="AD1747">
        <v>57</v>
      </c>
      <c r="AE1747" s="59">
        <v>0.5</v>
      </c>
      <c r="AF1747" s="59">
        <v>0.74930555555555556</v>
      </c>
      <c r="AG1747">
        <v>37.5</v>
      </c>
    </row>
    <row r="1748" spans="1:33" x14ac:dyDescent="0.25">
      <c r="A1748" t="s">
        <v>274</v>
      </c>
      <c r="B1748" t="s">
        <v>328</v>
      </c>
      <c r="C1748" t="s">
        <v>329</v>
      </c>
      <c r="D1748">
        <v>5</v>
      </c>
      <c r="E1748" t="s">
        <v>330</v>
      </c>
      <c r="F1748" t="s">
        <v>134</v>
      </c>
      <c r="G1748" t="s">
        <v>218</v>
      </c>
      <c r="H1748" t="s">
        <v>188</v>
      </c>
      <c r="I1748" t="s">
        <v>189</v>
      </c>
      <c r="J1748" t="s">
        <v>258</v>
      </c>
      <c r="K1748" t="s">
        <v>438</v>
      </c>
      <c r="L1748" t="s">
        <v>340</v>
      </c>
      <c r="N1748" t="s">
        <v>439</v>
      </c>
      <c r="O1748" t="s">
        <v>243</v>
      </c>
      <c r="Q1748" t="s">
        <v>244</v>
      </c>
      <c r="R1748" t="s">
        <v>190</v>
      </c>
      <c r="S1748" t="s">
        <v>128</v>
      </c>
      <c r="T1748" t="s">
        <v>181</v>
      </c>
      <c r="U1748" t="s">
        <v>151</v>
      </c>
      <c r="V1748" t="s">
        <v>74</v>
      </c>
      <c r="W1748" s="58">
        <v>43348</v>
      </c>
      <c r="X1748" s="59">
        <v>0.33333333333333331</v>
      </c>
      <c r="Y1748" s="59">
        <v>0.5</v>
      </c>
      <c r="Z1748" s="59">
        <v>0.16666666666666666</v>
      </c>
      <c r="AA1748">
        <v>0</v>
      </c>
      <c r="AC1748">
        <v>80</v>
      </c>
      <c r="AD1748">
        <v>38</v>
      </c>
      <c r="AE1748" s="59">
        <v>0.33333333333333331</v>
      </c>
      <c r="AF1748" s="59">
        <v>0.4993055555555555</v>
      </c>
      <c r="AG1748">
        <v>37.5</v>
      </c>
    </row>
    <row r="1749" spans="1:33" x14ac:dyDescent="0.25">
      <c r="A1749" t="s">
        <v>274</v>
      </c>
      <c r="B1749" t="s">
        <v>328</v>
      </c>
      <c r="C1749" t="s">
        <v>329</v>
      </c>
      <c r="D1749">
        <v>5</v>
      </c>
      <c r="E1749" t="s">
        <v>330</v>
      </c>
      <c r="F1749" t="s">
        <v>134</v>
      </c>
      <c r="G1749" t="s">
        <v>218</v>
      </c>
      <c r="H1749" t="s">
        <v>188</v>
      </c>
      <c r="I1749" t="s">
        <v>189</v>
      </c>
      <c r="J1749" t="s">
        <v>258</v>
      </c>
      <c r="K1749" t="s">
        <v>438</v>
      </c>
      <c r="L1749" t="s">
        <v>340</v>
      </c>
      <c r="N1749" t="s">
        <v>439</v>
      </c>
      <c r="O1749" t="s">
        <v>243</v>
      </c>
      <c r="Q1749" t="s">
        <v>244</v>
      </c>
      <c r="R1749" t="s">
        <v>190</v>
      </c>
      <c r="S1749" t="s">
        <v>128</v>
      </c>
      <c r="T1749" t="s">
        <v>181</v>
      </c>
      <c r="U1749" t="s">
        <v>151</v>
      </c>
      <c r="V1749" t="s">
        <v>74</v>
      </c>
      <c r="W1749" s="58">
        <v>43348</v>
      </c>
      <c r="X1749" s="59">
        <v>0.5</v>
      </c>
      <c r="Y1749" s="59">
        <v>0.75</v>
      </c>
      <c r="Z1749" s="59">
        <v>0.25</v>
      </c>
      <c r="AA1749">
        <v>0</v>
      </c>
      <c r="AB1749">
        <v>0</v>
      </c>
      <c r="AC1749">
        <v>120</v>
      </c>
      <c r="AD1749">
        <v>57</v>
      </c>
      <c r="AE1749" s="59">
        <v>0.5</v>
      </c>
      <c r="AF1749" s="59">
        <v>0.74930555555555556</v>
      </c>
      <c r="AG1749">
        <v>37.5</v>
      </c>
    </row>
    <row r="1750" spans="1:33" x14ac:dyDescent="0.25">
      <c r="A1750" t="s">
        <v>258</v>
      </c>
      <c r="B1750" t="s">
        <v>325</v>
      </c>
      <c r="C1750" t="s">
        <v>326</v>
      </c>
      <c r="E1750" t="s">
        <v>327</v>
      </c>
      <c r="F1750" t="s">
        <v>134</v>
      </c>
      <c r="H1750" t="s">
        <v>182</v>
      </c>
      <c r="I1750" t="s">
        <v>147</v>
      </c>
      <c r="J1750" t="s">
        <v>258</v>
      </c>
      <c r="K1750" t="s">
        <v>438</v>
      </c>
      <c r="L1750" t="s">
        <v>340</v>
      </c>
      <c r="N1750" t="s">
        <v>439</v>
      </c>
      <c r="O1750" t="s">
        <v>243</v>
      </c>
      <c r="Q1750" t="s">
        <v>244</v>
      </c>
      <c r="R1750" t="s">
        <v>183</v>
      </c>
      <c r="S1750" t="s">
        <v>128</v>
      </c>
      <c r="T1750" t="s">
        <v>181</v>
      </c>
      <c r="U1750" t="s">
        <v>129</v>
      </c>
      <c r="V1750" t="s">
        <v>75</v>
      </c>
      <c r="W1750" s="58">
        <v>43349</v>
      </c>
      <c r="X1750" s="59">
        <v>0.36458333333333331</v>
      </c>
      <c r="Y1750" s="59">
        <v>0.40625</v>
      </c>
      <c r="Z1750" s="59">
        <v>4.1666666666666664E-2</v>
      </c>
      <c r="AA1750">
        <v>0</v>
      </c>
      <c r="AC1750">
        <v>23</v>
      </c>
      <c r="AD1750">
        <v>9.5</v>
      </c>
      <c r="AE1750" s="59">
        <v>0.36458333333333331</v>
      </c>
      <c r="AF1750" s="59">
        <v>0.4055555555555555</v>
      </c>
      <c r="AG1750">
        <v>37.5</v>
      </c>
    </row>
    <row r="1751" spans="1:33" x14ac:dyDescent="0.25">
      <c r="A1751" t="s">
        <v>258</v>
      </c>
      <c r="B1751" t="s">
        <v>310</v>
      </c>
      <c r="C1751" t="s">
        <v>311</v>
      </c>
      <c r="D1751" t="s">
        <v>312</v>
      </c>
      <c r="E1751" t="s">
        <v>313</v>
      </c>
      <c r="F1751" t="s">
        <v>134</v>
      </c>
      <c r="H1751" t="s">
        <v>175</v>
      </c>
      <c r="I1751" t="s">
        <v>127</v>
      </c>
      <c r="J1751" t="s">
        <v>258</v>
      </c>
      <c r="K1751" t="s">
        <v>438</v>
      </c>
      <c r="L1751" t="s">
        <v>340</v>
      </c>
      <c r="N1751" t="s">
        <v>439</v>
      </c>
      <c r="O1751" t="s">
        <v>243</v>
      </c>
      <c r="Q1751" t="s">
        <v>244</v>
      </c>
      <c r="R1751" t="s">
        <v>176</v>
      </c>
      <c r="S1751" t="s">
        <v>128</v>
      </c>
      <c r="T1751" t="s">
        <v>181</v>
      </c>
      <c r="U1751" t="s">
        <v>151</v>
      </c>
      <c r="V1751" t="s">
        <v>75</v>
      </c>
      <c r="W1751" s="58">
        <v>43349</v>
      </c>
      <c r="X1751" s="59">
        <v>0.41666666666666669</v>
      </c>
      <c r="Y1751" s="59">
        <v>0.45833333333333331</v>
      </c>
      <c r="Z1751" s="59">
        <v>4.1666666666666664E-2</v>
      </c>
      <c r="AA1751">
        <v>5</v>
      </c>
      <c r="AB1751">
        <v>3.0840000000000001</v>
      </c>
      <c r="AC1751">
        <v>20</v>
      </c>
      <c r="AD1751">
        <v>9.5</v>
      </c>
      <c r="AE1751" s="59">
        <v>0.41666666666666669</v>
      </c>
      <c r="AF1751" s="59">
        <v>0.45763888888888887</v>
      </c>
      <c r="AG1751">
        <v>37.5</v>
      </c>
    </row>
    <row r="1752" spans="1:33" x14ac:dyDescent="0.25">
      <c r="A1752" t="s">
        <v>274</v>
      </c>
      <c r="B1752" t="s">
        <v>328</v>
      </c>
      <c r="C1752" t="s">
        <v>329</v>
      </c>
      <c r="D1752">
        <v>5</v>
      </c>
      <c r="E1752" t="s">
        <v>330</v>
      </c>
      <c r="F1752" t="s">
        <v>134</v>
      </c>
      <c r="G1752" t="s">
        <v>218</v>
      </c>
      <c r="H1752" t="s">
        <v>188</v>
      </c>
      <c r="I1752" t="s">
        <v>189</v>
      </c>
      <c r="J1752" t="s">
        <v>258</v>
      </c>
      <c r="K1752" t="s">
        <v>438</v>
      </c>
      <c r="L1752" t="s">
        <v>340</v>
      </c>
      <c r="N1752" t="s">
        <v>439</v>
      </c>
      <c r="O1752" t="s">
        <v>243</v>
      </c>
      <c r="Q1752" t="s">
        <v>244</v>
      </c>
      <c r="R1752" t="s">
        <v>190</v>
      </c>
      <c r="S1752" t="s">
        <v>128</v>
      </c>
      <c r="T1752" t="s">
        <v>181</v>
      </c>
      <c r="U1752" t="s">
        <v>151</v>
      </c>
      <c r="V1752" t="s">
        <v>75</v>
      </c>
      <c r="W1752" s="58">
        <v>43349</v>
      </c>
      <c r="X1752" s="59">
        <v>0.5</v>
      </c>
      <c r="Y1752" s="59">
        <v>0.75</v>
      </c>
      <c r="Z1752" s="59">
        <v>0.25</v>
      </c>
      <c r="AA1752">
        <v>6</v>
      </c>
      <c r="AB1752">
        <v>3.0886</v>
      </c>
      <c r="AC1752">
        <v>120</v>
      </c>
      <c r="AD1752">
        <v>57</v>
      </c>
      <c r="AE1752" s="59">
        <v>0.5</v>
      </c>
      <c r="AF1752" s="59">
        <v>0.74930555555555556</v>
      </c>
      <c r="AG1752">
        <v>37.5</v>
      </c>
    </row>
    <row r="1753" spans="1:33" x14ac:dyDescent="0.25">
      <c r="A1753" t="s">
        <v>258</v>
      </c>
      <c r="B1753" t="s">
        <v>299</v>
      </c>
      <c r="C1753" t="s">
        <v>300</v>
      </c>
      <c r="D1753" t="s">
        <v>301</v>
      </c>
      <c r="E1753" t="s">
        <v>302</v>
      </c>
      <c r="F1753" t="s">
        <v>303</v>
      </c>
      <c r="H1753" t="s">
        <v>166</v>
      </c>
      <c r="I1753" t="s">
        <v>142</v>
      </c>
      <c r="J1753" t="s">
        <v>258</v>
      </c>
      <c r="K1753" t="s">
        <v>438</v>
      </c>
      <c r="L1753" t="s">
        <v>340</v>
      </c>
      <c r="N1753" t="s">
        <v>439</v>
      </c>
      <c r="O1753" t="s">
        <v>243</v>
      </c>
      <c r="Q1753" t="s">
        <v>244</v>
      </c>
      <c r="R1753" t="s">
        <v>167</v>
      </c>
      <c r="S1753" t="s">
        <v>128</v>
      </c>
      <c r="T1753" t="s">
        <v>181</v>
      </c>
      <c r="U1753" t="s">
        <v>129</v>
      </c>
      <c r="V1753" t="s">
        <v>76</v>
      </c>
      <c r="W1753" s="58">
        <v>43350</v>
      </c>
      <c r="X1753" s="59">
        <v>0.3125</v>
      </c>
      <c r="Y1753" s="59">
        <v>0.35416666666666669</v>
      </c>
      <c r="Z1753" s="59">
        <v>4.1666666666666664E-2</v>
      </c>
      <c r="AA1753">
        <v>0</v>
      </c>
      <c r="AC1753">
        <v>23</v>
      </c>
      <c r="AD1753">
        <v>9.5</v>
      </c>
      <c r="AE1753" s="59">
        <v>0.3125</v>
      </c>
      <c r="AF1753" s="59">
        <v>0.35347222222222219</v>
      </c>
      <c r="AG1753">
        <v>37.5</v>
      </c>
    </row>
    <row r="1754" spans="1:33" x14ac:dyDescent="0.25">
      <c r="A1754" t="s">
        <v>258</v>
      </c>
      <c r="B1754" t="s">
        <v>325</v>
      </c>
      <c r="C1754" t="s">
        <v>326</v>
      </c>
      <c r="E1754" t="s">
        <v>327</v>
      </c>
      <c r="F1754" t="s">
        <v>134</v>
      </c>
      <c r="H1754" t="s">
        <v>182</v>
      </c>
      <c r="I1754" t="s">
        <v>147</v>
      </c>
      <c r="J1754" t="s">
        <v>258</v>
      </c>
      <c r="K1754" t="s">
        <v>438</v>
      </c>
      <c r="L1754" t="s">
        <v>340</v>
      </c>
      <c r="N1754" t="s">
        <v>439</v>
      </c>
      <c r="O1754" t="s">
        <v>243</v>
      </c>
      <c r="Q1754" t="s">
        <v>244</v>
      </c>
      <c r="R1754" t="s">
        <v>183</v>
      </c>
      <c r="S1754" t="s">
        <v>128</v>
      </c>
      <c r="T1754" t="s">
        <v>181</v>
      </c>
      <c r="U1754" t="s">
        <v>129</v>
      </c>
      <c r="V1754" t="s">
        <v>76</v>
      </c>
      <c r="W1754" s="58">
        <v>43350</v>
      </c>
      <c r="X1754" s="59">
        <v>0.36458333333333331</v>
      </c>
      <c r="Y1754" s="59">
        <v>0.40625</v>
      </c>
      <c r="Z1754" s="59">
        <v>4.1666666666666664E-2</v>
      </c>
      <c r="AA1754">
        <v>11</v>
      </c>
      <c r="AB1754">
        <v>8.2636000000000003</v>
      </c>
      <c r="AC1754">
        <v>23</v>
      </c>
      <c r="AD1754">
        <v>9.5</v>
      </c>
      <c r="AE1754" s="59">
        <v>0.36458333333333331</v>
      </c>
      <c r="AF1754" s="59">
        <v>0.4055555555555555</v>
      </c>
      <c r="AG1754">
        <v>37.5</v>
      </c>
    </row>
    <row r="1755" spans="1:33" x14ac:dyDescent="0.25">
      <c r="A1755" t="s">
        <v>266</v>
      </c>
      <c r="B1755" t="s">
        <v>293</v>
      </c>
      <c r="C1755" t="s">
        <v>294</v>
      </c>
      <c r="E1755" t="s">
        <v>295</v>
      </c>
      <c r="F1755" t="s">
        <v>134</v>
      </c>
      <c r="H1755" t="s">
        <v>157</v>
      </c>
      <c r="I1755" t="s">
        <v>158</v>
      </c>
      <c r="J1755" t="s">
        <v>258</v>
      </c>
      <c r="K1755" t="s">
        <v>438</v>
      </c>
      <c r="L1755" t="s">
        <v>340</v>
      </c>
      <c r="N1755" t="s">
        <v>439</v>
      </c>
      <c r="O1755" t="s">
        <v>243</v>
      </c>
      <c r="Q1755" t="s">
        <v>244</v>
      </c>
      <c r="R1755" t="s">
        <v>161</v>
      </c>
      <c r="S1755" t="s">
        <v>128</v>
      </c>
      <c r="T1755" t="s">
        <v>181</v>
      </c>
      <c r="U1755" t="s">
        <v>163</v>
      </c>
      <c r="V1755" t="s">
        <v>76</v>
      </c>
      <c r="W1755" s="58">
        <v>43350</v>
      </c>
      <c r="X1755" s="59">
        <v>0.42708333333333331</v>
      </c>
      <c r="Y1755" s="59">
        <v>0.67708333333333337</v>
      </c>
      <c r="Z1755" s="59">
        <v>0.25</v>
      </c>
      <c r="AA1755">
        <v>16</v>
      </c>
      <c r="AB1755">
        <v>11.9</v>
      </c>
      <c r="AC1755">
        <v>108</v>
      </c>
      <c r="AD1755">
        <v>57</v>
      </c>
      <c r="AE1755" s="59">
        <v>0.42708333333333331</v>
      </c>
      <c r="AF1755" s="59">
        <v>0.67638888888888893</v>
      </c>
      <c r="AG1755">
        <v>37.5</v>
      </c>
    </row>
    <row r="1756" spans="1:33" x14ac:dyDescent="0.25">
      <c r="A1756" t="s">
        <v>274</v>
      </c>
      <c r="B1756" t="s">
        <v>328</v>
      </c>
      <c r="C1756" t="s">
        <v>329</v>
      </c>
      <c r="D1756">
        <v>5</v>
      </c>
      <c r="E1756" t="s">
        <v>330</v>
      </c>
      <c r="F1756" t="s">
        <v>134</v>
      </c>
      <c r="G1756" t="s">
        <v>218</v>
      </c>
      <c r="H1756" t="s">
        <v>188</v>
      </c>
      <c r="I1756" t="s">
        <v>189</v>
      </c>
      <c r="J1756" t="s">
        <v>258</v>
      </c>
      <c r="K1756" t="s">
        <v>438</v>
      </c>
      <c r="L1756" t="s">
        <v>340</v>
      </c>
      <c r="N1756" t="s">
        <v>439</v>
      </c>
      <c r="O1756" t="s">
        <v>243</v>
      </c>
      <c r="Q1756" t="s">
        <v>244</v>
      </c>
      <c r="R1756" t="s">
        <v>190</v>
      </c>
      <c r="S1756" t="s">
        <v>128</v>
      </c>
      <c r="T1756" t="s">
        <v>181</v>
      </c>
      <c r="U1756" t="s">
        <v>151</v>
      </c>
      <c r="V1756" t="s">
        <v>72</v>
      </c>
      <c r="W1756" s="58">
        <v>43353</v>
      </c>
      <c r="X1756" s="59">
        <v>0.33333333333333331</v>
      </c>
      <c r="Y1756" s="59">
        <v>0.375</v>
      </c>
      <c r="Z1756" s="59">
        <v>4.1666666666666664E-2</v>
      </c>
      <c r="AA1756">
        <v>0</v>
      </c>
      <c r="AC1756">
        <v>20</v>
      </c>
      <c r="AD1756">
        <v>9.5</v>
      </c>
      <c r="AE1756" s="59">
        <v>0.33333333333333331</v>
      </c>
      <c r="AF1756" s="59">
        <v>0.3743055555555555</v>
      </c>
      <c r="AG1756">
        <v>37.5</v>
      </c>
    </row>
    <row r="1757" spans="1:33" x14ac:dyDescent="0.25">
      <c r="A1757" t="s">
        <v>274</v>
      </c>
      <c r="B1757" t="s">
        <v>336</v>
      </c>
      <c r="C1757" t="s">
        <v>337</v>
      </c>
      <c r="E1757" t="s">
        <v>338</v>
      </c>
      <c r="F1757" t="s">
        <v>134</v>
      </c>
      <c r="H1757" t="s">
        <v>186</v>
      </c>
      <c r="I1757" t="s">
        <v>147</v>
      </c>
      <c r="J1757" t="s">
        <v>258</v>
      </c>
      <c r="K1757" t="s">
        <v>438</v>
      </c>
      <c r="L1757" t="s">
        <v>340</v>
      </c>
      <c r="N1757" t="s">
        <v>439</v>
      </c>
      <c r="O1757" t="s">
        <v>243</v>
      </c>
      <c r="Q1757" t="s">
        <v>244</v>
      </c>
      <c r="R1757" t="s">
        <v>187</v>
      </c>
      <c r="S1757" t="s">
        <v>128</v>
      </c>
      <c r="T1757" t="s">
        <v>181</v>
      </c>
      <c r="U1757" t="s">
        <v>151</v>
      </c>
      <c r="V1757" t="s">
        <v>72</v>
      </c>
      <c r="W1757" s="58">
        <v>43353</v>
      </c>
      <c r="X1757" s="59">
        <v>0.38194444444444442</v>
      </c>
      <c r="Y1757" s="59">
        <v>0.4236111111111111</v>
      </c>
      <c r="Z1757" s="59">
        <v>4.1666666666666664E-2</v>
      </c>
      <c r="AA1757">
        <v>3</v>
      </c>
      <c r="AB1757">
        <v>2.0398000000000001</v>
      </c>
      <c r="AC1757">
        <v>20</v>
      </c>
      <c r="AD1757">
        <v>9.5</v>
      </c>
      <c r="AE1757" s="59">
        <v>0.38194444444444442</v>
      </c>
      <c r="AF1757" s="59">
        <v>0.42291666666666666</v>
      </c>
      <c r="AG1757">
        <v>37.5</v>
      </c>
    </row>
    <row r="1758" spans="1:33" x14ac:dyDescent="0.25">
      <c r="A1758" t="s">
        <v>258</v>
      </c>
      <c r="B1758" t="s">
        <v>354</v>
      </c>
      <c r="C1758" t="s">
        <v>355</v>
      </c>
      <c r="E1758" t="s">
        <v>356</v>
      </c>
      <c r="F1758" t="s">
        <v>134</v>
      </c>
      <c r="H1758" t="s">
        <v>205</v>
      </c>
      <c r="I1758" t="s">
        <v>198</v>
      </c>
      <c r="J1758" t="s">
        <v>258</v>
      </c>
      <c r="K1758" t="s">
        <v>438</v>
      </c>
      <c r="L1758" t="s">
        <v>340</v>
      </c>
      <c r="N1758" t="s">
        <v>439</v>
      </c>
      <c r="O1758" t="s">
        <v>243</v>
      </c>
      <c r="Q1758" t="s">
        <v>244</v>
      </c>
      <c r="R1758" t="s">
        <v>206</v>
      </c>
      <c r="S1758" t="s">
        <v>128</v>
      </c>
      <c r="T1758" t="s">
        <v>181</v>
      </c>
      <c r="U1758" t="s">
        <v>129</v>
      </c>
      <c r="V1758" t="s">
        <v>72</v>
      </c>
      <c r="W1758" s="58">
        <v>43353</v>
      </c>
      <c r="X1758" s="59">
        <v>0.43402777777777773</v>
      </c>
      <c r="Y1758" s="59">
        <v>0.47569444444444442</v>
      </c>
      <c r="Z1758" s="59">
        <v>4.1666666666666664E-2</v>
      </c>
      <c r="AA1758">
        <v>10</v>
      </c>
      <c r="AB1758">
        <v>7.2022000000000004</v>
      </c>
      <c r="AC1758">
        <v>23</v>
      </c>
      <c r="AD1758">
        <v>9.5</v>
      </c>
      <c r="AE1758" s="59">
        <v>0.43402777777777773</v>
      </c>
      <c r="AF1758" s="59">
        <v>0.47500000000000003</v>
      </c>
      <c r="AG1758">
        <v>37.5</v>
      </c>
    </row>
    <row r="1759" spans="1:33" x14ac:dyDescent="0.25">
      <c r="A1759" t="s">
        <v>258</v>
      </c>
      <c r="B1759" t="s">
        <v>325</v>
      </c>
      <c r="C1759" t="s">
        <v>326</v>
      </c>
      <c r="E1759" t="s">
        <v>327</v>
      </c>
      <c r="F1759" t="s">
        <v>134</v>
      </c>
      <c r="H1759" t="s">
        <v>182</v>
      </c>
      <c r="I1759" t="s">
        <v>147</v>
      </c>
      <c r="J1759" t="s">
        <v>258</v>
      </c>
      <c r="K1759" t="s">
        <v>438</v>
      </c>
      <c r="L1759" t="s">
        <v>340</v>
      </c>
      <c r="N1759" t="s">
        <v>439</v>
      </c>
      <c r="O1759" t="s">
        <v>243</v>
      </c>
      <c r="Q1759" t="s">
        <v>244</v>
      </c>
      <c r="R1759" t="s">
        <v>183</v>
      </c>
      <c r="S1759" t="s">
        <v>128</v>
      </c>
      <c r="T1759" t="s">
        <v>181</v>
      </c>
      <c r="U1759" t="s">
        <v>129</v>
      </c>
      <c r="V1759" t="s">
        <v>72</v>
      </c>
      <c r="W1759" s="58">
        <v>43353</v>
      </c>
      <c r="X1759" s="59">
        <v>0.48958333333333331</v>
      </c>
      <c r="Y1759" s="59">
        <v>0.53125</v>
      </c>
      <c r="Z1759" s="59">
        <v>4.1666666666666664E-2</v>
      </c>
      <c r="AA1759">
        <v>9</v>
      </c>
      <c r="AB1759">
        <v>6.0284000000000004</v>
      </c>
      <c r="AC1759">
        <v>23</v>
      </c>
      <c r="AD1759">
        <v>9.5</v>
      </c>
      <c r="AE1759" s="59">
        <v>0.48958333333333331</v>
      </c>
      <c r="AF1759" s="59">
        <v>0.53055555555555556</v>
      </c>
      <c r="AG1759">
        <v>37.5</v>
      </c>
    </row>
    <row r="1760" spans="1:33" x14ac:dyDescent="0.25">
      <c r="A1760" t="s">
        <v>258</v>
      </c>
      <c r="B1760" t="s">
        <v>281</v>
      </c>
      <c r="C1760" t="s">
        <v>282</v>
      </c>
      <c r="E1760" t="s">
        <v>283</v>
      </c>
      <c r="F1760" t="s">
        <v>134</v>
      </c>
      <c r="G1760" t="s">
        <v>218</v>
      </c>
      <c r="H1760" t="s">
        <v>146</v>
      </c>
      <c r="I1760" t="s">
        <v>147</v>
      </c>
      <c r="J1760" t="s">
        <v>258</v>
      </c>
      <c r="K1760" t="s">
        <v>438</v>
      </c>
      <c r="L1760" t="s">
        <v>340</v>
      </c>
      <c r="N1760" t="s">
        <v>439</v>
      </c>
      <c r="O1760" t="s">
        <v>243</v>
      </c>
      <c r="Q1760" t="s">
        <v>244</v>
      </c>
      <c r="R1760" t="s">
        <v>148</v>
      </c>
      <c r="S1760" t="s">
        <v>128</v>
      </c>
      <c r="T1760" t="s">
        <v>181</v>
      </c>
      <c r="U1760" t="s">
        <v>129</v>
      </c>
      <c r="V1760" t="s">
        <v>72</v>
      </c>
      <c r="W1760" s="58">
        <v>43353</v>
      </c>
      <c r="X1760" s="59">
        <v>0.53472222222222221</v>
      </c>
      <c r="Y1760" s="59">
        <v>0.57638888888888895</v>
      </c>
      <c r="Z1760" s="59">
        <v>4.1666666666666664E-2</v>
      </c>
      <c r="AA1760">
        <v>2</v>
      </c>
      <c r="AB1760">
        <v>1.266</v>
      </c>
      <c r="AD1760">
        <v>9.5</v>
      </c>
      <c r="AE1760" s="59">
        <v>0.53472222222222221</v>
      </c>
      <c r="AF1760" s="59">
        <v>0.5756944444444444</v>
      </c>
      <c r="AG1760">
        <v>37.5</v>
      </c>
    </row>
    <row r="1761" spans="1:33" x14ac:dyDescent="0.25">
      <c r="A1761" t="s">
        <v>274</v>
      </c>
      <c r="B1761" t="s">
        <v>328</v>
      </c>
      <c r="C1761" t="s">
        <v>329</v>
      </c>
      <c r="D1761">
        <v>5</v>
      </c>
      <c r="E1761" t="s">
        <v>330</v>
      </c>
      <c r="F1761" t="s">
        <v>134</v>
      </c>
      <c r="G1761" t="s">
        <v>218</v>
      </c>
      <c r="H1761" t="s">
        <v>188</v>
      </c>
      <c r="I1761" t="s">
        <v>189</v>
      </c>
      <c r="J1761" t="s">
        <v>258</v>
      </c>
      <c r="K1761" t="s">
        <v>438</v>
      </c>
      <c r="L1761" t="s">
        <v>340</v>
      </c>
      <c r="N1761" t="s">
        <v>439</v>
      </c>
      <c r="O1761" t="s">
        <v>243</v>
      </c>
      <c r="Q1761" t="s">
        <v>244</v>
      </c>
      <c r="R1761" t="s">
        <v>190</v>
      </c>
      <c r="S1761" t="s">
        <v>128</v>
      </c>
      <c r="T1761" t="s">
        <v>181</v>
      </c>
      <c r="U1761" t="s">
        <v>151</v>
      </c>
      <c r="V1761" t="s">
        <v>72</v>
      </c>
      <c r="W1761" s="58">
        <v>43353</v>
      </c>
      <c r="X1761" s="59">
        <v>0.625</v>
      </c>
      <c r="Y1761" s="59">
        <v>0.75</v>
      </c>
      <c r="Z1761" s="59">
        <v>0.125</v>
      </c>
      <c r="AA1761">
        <v>5</v>
      </c>
      <c r="AB1761">
        <v>3.1694</v>
      </c>
      <c r="AC1761">
        <v>60</v>
      </c>
      <c r="AD1761">
        <v>28.5</v>
      </c>
      <c r="AE1761" s="59">
        <v>0.625</v>
      </c>
      <c r="AF1761" s="59">
        <v>0.74930555555555556</v>
      </c>
      <c r="AG1761">
        <v>37.5</v>
      </c>
    </row>
    <row r="1762" spans="1:33" x14ac:dyDescent="0.25">
      <c r="A1762" t="s">
        <v>258</v>
      </c>
      <c r="B1762" t="s">
        <v>314</v>
      </c>
      <c r="C1762" t="s">
        <v>315</v>
      </c>
      <c r="D1762">
        <v>72</v>
      </c>
      <c r="E1762" t="s">
        <v>316</v>
      </c>
      <c r="F1762" t="s">
        <v>317</v>
      </c>
      <c r="G1762" t="s">
        <v>218</v>
      </c>
      <c r="H1762" t="s">
        <v>168</v>
      </c>
      <c r="I1762" t="s">
        <v>169</v>
      </c>
      <c r="J1762" t="s">
        <v>258</v>
      </c>
      <c r="K1762" t="s">
        <v>438</v>
      </c>
      <c r="L1762" t="s">
        <v>340</v>
      </c>
      <c r="N1762" t="s">
        <v>439</v>
      </c>
      <c r="O1762" t="s">
        <v>243</v>
      </c>
      <c r="Q1762" t="s">
        <v>244</v>
      </c>
      <c r="R1762" t="s">
        <v>170</v>
      </c>
      <c r="S1762" t="s">
        <v>128</v>
      </c>
      <c r="T1762" t="s">
        <v>181</v>
      </c>
      <c r="U1762" t="s">
        <v>129</v>
      </c>
      <c r="V1762" t="s">
        <v>73</v>
      </c>
      <c r="W1762" s="58">
        <v>43354</v>
      </c>
      <c r="X1762" s="59">
        <v>0.33333333333333331</v>
      </c>
      <c r="Y1762" s="59">
        <v>0.35416666666666669</v>
      </c>
      <c r="Z1762" s="59">
        <v>2.0833333333333332E-2</v>
      </c>
      <c r="AA1762">
        <v>0</v>
      </c>
      <c r="AC1762">
        <v>11.5</v>
      </c>
      <c r="AD1762">
        <v>4.75</v>
      </c>
      <c r="AE1762" s="59">
        <v>0.33333333333333331</v>
      </c>
      <c r="AF1762" s="59">
        <v>0.35347222222222219</v>
      </c>
      <c r="AG1762">
        <v>37.5</v>
      </c>
    </row>
    <row r="1763" spans="1:33" x14ac:dyDescent="0.25">
      <c r="B1763" t="s">
        <v>307</v>
      </c>
      <c r="C1763" t="s">
        <v>308</v>
      </c>
      <c r="D1763" t="s">
        <v>309</v>
      </c>
      <c r="E1763" t="s">
        <v>134</v>
      </c>
      <c r="H1763" t="s">
        <v>171</v>
      </c>
      <c r="I1763" t="s">
        <v>169</v>
      </c>
      <c r="J1763" t="s">
        <v>258</v>
      </c>
      <c r="K1763" t="s">
        <v>438</v>
      </c>
      <c r="L1763" t="s">
        <v>340</v>
      </c>
      <c r="N1763" t="s">
        <v>439</v>
      </c>
      <c r="O1763" t="s">
        <v>243</v>
      </c>
      <c r="Q1763" t="s">
        <v>244</v>
      </c>
      <c r="R1763" t="s">
        <v>172</v>
      </c>
      <c r="S1763" t="s">
        <v>128</v>
      </c>
      <c r="T1763" t="s">
        <v>181</v>
      </c>
      <c r="U1763" t="s">
        <v>129</v>
      </c>
      <c r="V1763" t="s">
        <v>73</v>
      </c>
      <c r="W1763" s="58">
        <v>43354</v>
      </c>
      <c r="X1763" s="59">
        <v>0.3576388888888889</v>
      </c>
      <c r="Y1763" s="59">
        <v>0.40972222222222227</v>
      </c>
      <c r="Z1763" s="59">
        <v>5.2083333333333336E-2</v>
      </c>
      <c r="AA1763">
        <v>2</v>
      </c>
      <c r="AB1763">
        <v>0.62839999999999996</v>
      </c>
      <c r="AC1763">
        <v>28.75</v>
      </c>
      <c r="AD1763">
        <v>11.875</v>
      </c>
      <c r="AE1763" s="59">
        <v>0.3576388888888889</v>
      </c>
      <c r="AF1763" s="59">
        <v>0.40902777777777777</v>
      </c>
      <c r="AG1763">
        <v>37.5</v>
      </c>
    </row>
    <row r="1764" spans="1:33" x14ac:dyDescent="0.25">
      <c r="A1764" t="s">
        <v>258</v>
      </c>
      <c r="B1764" t="s">
        <v>354</v>
      </c>
      <c r="C1764" t="s">
        <v>355</v>
      </c>
      <c r="E1764" t="s">
        <v>356</v>
      </c>
      <c r="F1764" t="s">
        <v>134</v>
      </c>
      <c r="H1764" t="s">
        <v>205</v>
      </c>
      <c r="I1764" t="s">
        <v>198</v>
      </c>
      <c r="J1764" t="s">
        <v>258</v>
      </c>
      <c r="K1764" t="s">
        <v>438</v>
      </c>
      <c r="L1764" t="s">
        <v>340</v>
      </c>
      <c r="N1764" t="s">
        <v>439</v>
      </c>
      <c r="O1764" t="s">
        <v>243</v>
      </c>
      <c r="Q1764" t="s">
        <v>244</v>
      </c>
      <c r="R1764" t="s">
        <v>206</v>
      </c>
      <c r="S1764" t="s">
        <v>128</v>
      </c>
      <c r="T1764" t="s">
        <v>181</v>
      </c>
      <c r="U1764" t="s">
        <v>129</v>
      </c>
      <c r="V1764" t="s">
        <v>73</v>
      </c>
      <c r="W1764" s="58">
        <v>43354</v>
      </c>
      <c r="X1764" s="59">
        <v>0.41666666666666669</v>
      </c>
      <c r="Y1764" s="59">
        <v>0.45833333333333331</v>
      </c>
      <c r="Z1764" s="59">
        <v>4.1666666666666664E-2</v>
      </c>
      <c r="AA1764">
        <v>11</v>
      </c>
      <c r="AB1764">
        <v>4.9488000000000003</v>
      </c>
      <c r="AC1764">
        <v>23</v>
      </c>
      <c r="AD1764">
        <v>9.5</v>
      </c>
      <c r="AE1764" s="59">
        <v>0.41666666666666669</v>
      </c>
      <c r="AF1764" s="59">
        <v>0.45763888888888887</v>
      </c>
      <c r="AG1764">
        <v>37.5</v>
      </c>
    </row>
    <row r="1765" spans="1:33" x14ac:dyDescent="0.25">
      <c r="A1765" t="s">
        <v>274</v>
      </c>
      <c r="B1765" t="s">
        <v>328</v>
      </c>
      <c r="C1765" t="s">
        <v>329</v>
      </c>
      <c r="D1765">
        <v>5</v>
      </c>
      <c r="E1765" t="s">
        <v>330</v>
      </c>
      <c r="F1765" t="s">
        <v>134</v>
      </c>
      <c r="G1765" t="s">
        <v>218</v>
      </c>
      <c r="H1765" t="s">
        <v>188</v>
      </c>
      <c r="I1765" t="s">
        <v>189</v>
      </c>
      <c r="J1765" t="s">
        <v>258</v>
      </c>
      <c r="K1765" t="s">
        <v>438</v>
      </c>
      <c r="L1765" t="s">
        <v>340</v>
      </c>
      <c r="N1765" t="s">
        <v>439</v>
      </c>
      <c r="O1765" t="s">
        <v>243</v>
      </c>
      <c r="Q1765" t="s">
        <v>244</v>
      </c>
      <c r="R1765" t="s">
        <v>190</v>
      </c>
      <c r="S1765" t="s">
        <v>128</v>
      </c>
      <c r="T1765" t="s">
        <v>181</v>
      </c>
      <c r="U1765" t="s">
        <v>151</v>
      </c>
      <c r="V1765" t="s">
        <v>73</v>
      </c>
      <c r="W1765" s="58">
        <v>43354</v>
      </c>
      <c r="X1765" s="59">
        <v>0.5</v>
      </c>
      <c r="Y1765" s="59">
        <v>0.75</v>
      </c>
      <c r="Z1765" s="59">
        <v>0.25</v>
      </c>
      <c r="AA1765">
        <v>12</v>
      </c>
      <c r="AB1765">
        <v>6.7454000000000001</v>
      </c>
      <c r="AC1765">
        <v>120</v>
      </c>
      <c r="AD1765">
        <v>57</v>
      </c>
      <c r="AE1765" s="59">
        <v>0.5</v>
      </c>
      <c r="AF1765" s="59">
        <v>0.74930555555555556</v>
      </c>
      <c r="AG1765">
        <v>37.5</v>
      </c>
    </row>
    <row r="1766" spans="1:33" x14ac:dyDescent="0.25">
      <c r="A1766" t="s">
        <v>258</v>
      </c>
      <c r="B1766" t="s">
        <v>314</v>
      </c>
      <c r="C1766" t="s">
        <v>315</v>
      </c>
      <c r="D1766">
        <v>72</v>
      </c>
      <c r="E1766" t="s">
        <v>316</v>
      </c>
      <c r="F1766" t="s">
        <v>317</v>
      </c>
      <c r="G1766" t="s">
        <v>218</v>
      </c>
      <c r="H1766" t="s">
        <v>168</v>
      </c>
      <c r="I1766" t="s">
        <v>169</v>
      </c>
      <c r="J1766" t="s">
        <v>258</v>
      </c>
      <c r="K1766" t="s">
        <v>438</v>
      </c>
      <c r="L1766" t="s">
        <v>340</v>
      </c>
      <c r="N1766" t="s">
        <v>439</v>
      </c>
      <c r="O1766" t="s">
        <v>243</v>
      </c>
      <c r="Q1766" t="s">
        <v>244</v>
      </c>
      <c r="R1766" t="s">
        <v>170</v>
      </c>
      <c r="S1766" t="s">
        <v>128</v>
      </c>
      <c r="T1766" t="s">
        <v>181</v>
      </c>
      <c r="U1766" t="s">
        <v>129</v>
      </c>
      <c r="V1766" t="s">
        <v>74</v>
      </c>
      <c r="W1766" s="58">
        <v>43355</v>
      </c>
      <c r="X1766" s="59">
        <v>0.33333333333333331</v>
      </c>
      <c r="Y1766" s="59">
        <v>0.35416666666666669</v>
      </c>
      <c r="Z1766" s="59">
        <v>2.0833333333333332E-2</v>
      </c>
      <c r="AA1766">
        <v>0</v>
      </c>
      <c r="AC1766">
        <v>11.5</v>
      </c>
      <c r="AD1766">
        <v>4.75</v>
      </c>
      <c r="AE1766" s="59">
        <v>0.33333333333333331</v>
      </c>
      <c r="AF1766" s="59">
        <v>0.35347222222222219</v>
      </c>
      <c r="AG1766">
        <v>37.5</v>
      </c>
    </row>
    <row r="1767" spans="1:33" x14ac:dyDescent="0.25">
      <c r="B1767" t="s">
        <v>307</v>
      </c>
      <c r="C1767" t="s">
        <v>308</v>
      </c>
      <c r="D1767" t="s">
        <v>309</v>
      </c>
      <c r="E1767" t="s">
        <v>134</v>
      </c>
      <c r="H1767" t="s">
        <v>171</v>
      </c>
      <c r="I1767" t="s">
        <v>169</v>
      </c>
      <c r="J1767" t="s">
        <v>258</v>
      </c>
      <c r="K1767" t="s">
        <v>438</v>
      </c>
      <c r="L1767" t="s">
        <v>340</v>
      </c>
      <c r="N1767" t="s">
        <v>439</v>
      </c>
      <c r="O1767" t="s">
        <v>243</v>
      </c>
      <c r="Q1767" t="s">
        <v>244</v>
      </c>
      <c r="R1767" t="s">
        <v>172</v>
      </c>
      <c r="S1767" t="s">
        <v>128</v>
      </c>
      <c r="T1767" t="s">
        <v>181</v>
      </c>
      <c r="U1767" t="s">
        <v>129</v>
      </c>
      <c r="V1767" t="s">
        <v>74</v>
      </c>
      <c r="W1767" s="58">
        <v>43355</v>
      </c>
      <c r="X1767" s="59">
        <v>0.35416666666666669</v>
      </c>
      <c r="Y1767" s="59">
        <v>0.40625</v>
      </c>
      <c r="Z1767" s="59">
        <v>5.2083333333333336E-2</v>
      </c>
      <c r="AA1767">
        <v>2</v>
      </c>
      <c r="AB1767">
        <v>0.62839999999999996</v>
      </c>
      <c r="AC1767">
        <v>28.75</v>
      </c>
      <c r="AD1767">
        <v>11.875</v>
      </c>
      <c r="AE1767" s="59">
        <v>0.35416666666666669</v>
      </c>
      <c r="AF1767" s="59">
        <v>0.4055555555555555</v>
      </c>
      <c r="AG1767">
        <v>37.5</v>
      </c>
    </row>
    <row r="1768" spans="1:33" x14ac:dyDescent="0.25">
      <c r="A1768" t="s">
        <v>258</v>
      </c>
      <c r="B1768" t="s">
        <v>362</v>
      </c>
      <c r="C1768" t="s">
        <v>363</v>
      </c>
      <c r="E1768" t="s">
        <v>364</v>
      </c>
      <c r="F1768" t="s">
        <v>134</v>
      </c>
      <c r="H1768" t="s">
        <v>209</v>
      </c>
      <c r="I1768" t="s">
        <v>147</v>
      </c>
      <c r="J1768" t="s">
        <v>258</v>
      </c>
      <c r="K1768" t="s">
        <v>438</v>
      </c>
      <c r="L1768" t="s">
        <v>340</v>
      </c>
      <c r="N1768" t="s">
        <v>439</v>
      </c>
      <c r="O1768" t="s">
        <v>243</v>
      </c>
      <c r="Q1768" t="s">
        <v>244</v>
      </c>
      <c r="R1768" t="s">
        <v>210</v>
      </c>
      <c r="S1768" t="s">
        <v>128</v>
      </c>
      <c r="T1768" t="s">
        <v>181</v>
      </c>
      <c r="U1768" t="s">
        <v>151</v>
      </c>
      <c r="V1768" t="s">
        <v>74</v>
      </c>
      <c r="W1768" s="58">
        <v>43355</v>
      </c>
      <c r="X1768" s="59">
        <v>0.41666666666666669</v>
      </c>
      <c r="Y1768" s="59">
        <v>0.44791666666666669</v>
      </c>
      <c r="Z1768" s="59">
        <v>3.125E-2</v>
      </c>
      <c r="AA1768">
        <v>7</v>
      </c>
      <c r="AB1768">
        <v>3.5966</v>
      </c>
      <c r="AC1768">
        <v>15</v>
      </c>
      <c r="AD1768">
        <v>7.125</v>
      </c>
      <c r="AE1768" s="59">
        <v>0.41666666666666669</v>
      </c>
      <c r="AF1768" s="59">
        <v>0.44722222222222219</v>
      </c>
      <c r="AG1768">
        <v>37.5</v>
      </c>
    </row>
    <row r="1769" spans="1:33" x14ac:dyDescent="0.25">
      <c r="A1769" t="s">
        <v>274</v>
      </c>
      <c r="B1769" t="s">
        <v>328</v>
      </c>
      <c r="C1769" t="s">
        <v>329</v>
      </c>
      <c r="D1769">
        <v>5</v>
      </c>
      <c r="E1769" t="s">
        <v>330</v>
      </c>
      <c r="F1769" t="s">
        <v>134</v>
      </c>
      <c r="G1769" t="s">
        <v>218</v>
      </c>
      <c r="H1769" t="s">
        <v>188</v>
      </c>
      <c r="I1769" t="s">
        <v>189</v>
      </c>
      <c r="J1769" t="s">
        <v>258</v>
      </c>
      <c r="K1769" t="s">
        <v>438</v>
      </c>
      <c r="L1769" t="s">
        <v>340</v>
      </c>
      <c r="N1769" t="s">
        <v>439</v>
      </c>
      <c r="O1769" t="s">
        <v>243</v>
      </c>
      <c r="Q1769" t="s">
        <v>244</v>
      </c>
      <c r="R1769" t="s">
        <v>190</v>
      </c>
      <c r="S1769" t="s">
        <v>128</v>
      </c>
      <c r="T1769" t="s">
        <v>181</v>
      </c>
      <c r="U1769" t="s">
        <v>151</v>
      </c>
      <c r="V1769" t="s">
        <v>74</v>
      </c>
      <c r="W1769" s="58">
        <v>43355</v>
      </c>
      <c r="X1769" s="59">
        <v>0.5</v>
      </c>
      <c r="Y1769" s="59">
        <v>0.75</v>
      </c>
      <c r="Z1769" s="59">
        <v>0.25</v>
      </c>
      <c r="AA1769">
        <v>3</v>
      </c>
      <c r="AB1769">
        <v>1.1579999999999999</v>
      </c>
      <c r="AC1769">
        <v>120</v>
      </c>
      <c r="AD1769">
        <v>57</v>
      </c>
      <c r="AE1769" s="59">
        <v>0.5</v>
      </c>
      <c r="AF1769" s="59">
        <v>0.74930555555555556</v>
      </c>
      <c r="AG1769">
        <v>37.5</v>
      </c>
    </row>
    <row r="1770" spans="1:33" x14ac:dyDescent="0.25">
      <c r="A1770" t="s">
        <v>274</v>
      </c>
      <c r="B1770" t="s">
        <v>336</v>
      </c>
      <c r="C1770" t="s">
        <v>337</v>
      </c>
      <c r="E1770" t="s">
        <v>338</v>
      </c>
      <c r="F1770" t="s">
        <v>134</v>
      </c>
      <c r="H1770" t="s">
        <v>186</v>
      </c>
      <c r="I1770" t="s">
        <v>147</v>
      </c>
      <c r="J1770" t="s">
        <v>258</v>
      </c>
      <c r="K1770" t="s">
        <v>438</v>
      </c>
      <c r="L1770" t="s">
        <v>340</v>
      </c>
      <c r="N1770" t="s">
        <v>439</v>
      </c>
      <c r="O1770" t="s">
        <v>243</v>
      </c>
      <c r="Q1770" t="s">
        <v>244</v>
      </c>
      <c r="R1770" t="s">
        <v>187</v>
      </c>
      <c r="S1770" t="s">
        <v>128</v>
      </c>
      <c r="T1770" t="s">
        <v>181</v>
      </c>
      <c r="U1770" t="s">
        <v>151</v>
      </c>
      <c r="V1770" t="s">
        <v>75</v>
      </c>
      <c r="W1770" s="58">
        <v>43356</v>
      </c>
      <c r="X1770" s="59">
        <v>0.375</v>
      </c>
      <c r="Y1770" s="59">
        <v>0.41666666666666669</v>
      </c>
      <c r="Z1770" s="59">
        <v>4.1666666666666664E-2</v>
      </c>
      <c r="AA1770">
        <v>0</v>
      </c>
      <c r="AC1770">
        <v>20</v>
      </c>
      <c r="AD1770">
        <v>9.5</v>
      </c>
      <c r="AE1770" s="59">
        <v>0.375</v>
      </c>
      <c r="AF1770" s="59">
        <v>0.41597222222222219</v>
      </c>
      <c r="AG1770">
        <v>37.5</v>
      </c>
    </row>
    <row r="1771" spans="1:33" x14ac:dyDescent="0.25">
      <c r="A1771" t="s">
        <v>274</v>
      </c>
      <c r="B1771" t="s">
        <v>328</v>
      </c>
      <c r="C1771" t="s">
        <v>329</v>
      </c>
      <c r="D1771">
        <v>5</v>
      </c>
      <c r="E1771" t="s">
        <v>330</v>
      </c>
      <c r="F1771" t="s">
        <v>134</v>
      </c>
      <c r="G1771" t="s">
        <v>218</v>
      </c>
      <c r="H1771" t="s">
        <v>188</v>
      </c>
      <c r="I1771" t="s">
        <v>189</v>
      </c>
      <c r="J1771" t="s">
        <v>258</v>
      </c>
      <c r="K1771" t="s">
        <v>438</v>
      </c>
      <c r="L1771" t="s">
        <v>340</v>
      </c>
      <c r="N1771" t="s">
        <v>439</v>
      </c>
      <c r="O1771" t="s">
        <v>243</v>
      </c>
      <c r="Q1771" t="s">
        <v>244</v>
      </c>
      <c r="R1771" t="s">
        <v>190</v>
      </c>
      <c r="S1771" t="s">
        <v>128</v>
      </c>
      <c r="T1771" t="s">
        <v>181</v>
      </c>
      <c r="U1771" t="s">
        <v>151</v>
      </c>
      <c r="V1771" t="s">
        <v>75</v>
      </c>
      <c r="W1771" s="58">
        <v>43356</v>
      </c>
      <c r="X1771" s="59">
        <v>0.45833333333333331</v>
      </c>
      <c r="Y1771" s="59">
        <v>0.75</v>
      </c>
      <c r="Z1771" s="59">
        <v>0.29166666666666669</v>
      </c>
      <c r="AA1771">
        <v>3</v>
      </c>
      <c r="AB1771">
        <v>2.0398000000000001</v>
      </c>
      <c r="AC1771">
        <v>140</v>
      </c>
      <c r="AD1771">
        <v>66.5</v>
      </c>
      <c r="AE1771" s="59">
        <v>0.45833333333333331</v>
      </c>
      <c r="AF1771" s="59">
        <v>0.74930555555555556</v>
      </c>
      <c r="AG1771">
        <v>37.5</v>
      </c>
    </row>
    <row r="1772" spans="1:33" x14ac:dyDescent="0.25">
      <c r="A1772" t="s">
        <v>258</v>
      </c>
      <c r="B1772" t="s">
        <v>299</v>
      </c>
      <c r="C1772" t="s">
        <v>300</v>
      </c>
      <c r="D1772" t="s">
        <v>301</v>
      </c>
      <c r="E1772" t="s">
        <v>302</v>
      </c>
      <c r="F1772" t="s">
        <v>303</v>
      </c>
      <c r="H1772" t="s">
        <v>166</v>
      </c>
      <c r="I1772" t="s">
        <v>142</v>
      </c>
      <c r="J1772" t="s">
        <v>258</v>
      </c>
      <c r="K1772" t="s">
        <v>438</v>
      </c>
      <c r="L1772" t="s">
        <v>340</v>
      </c>
      <c r="N1772" t="s">
        <v>439</v>
      </c>
      <c r="O1772" t="s">
        <v>243</v>
      </c>
      <c r="Q1772" t="s">
        <v>244</v>
      </c>
      <c r="R1772" t="s">
        <v>167</v>
      </c>
      <c r="S1772" t="s">
        <v>128</v>
      </c>
      <c r="T1772" t="s">
        <v>181</v>
      </c>
      <c r="U1772" t="s">
        <v>129</v>
      </c>
      <c r="V1772" t="s">
        <v>76</v>
      </c>
      <c r="W1772" s="58">
        <v>43357</v>
      </c>
      <c r="X1772" s="59">
        <v>0.33333333333333331</v>
      </c>
      <c r="Y1772" s="59">
        <v>0.375</v>
      </c>
      <c r="Z1772" s="59">
        <v>4.1666666666666664E-2</v>
      </c>
      <c r="AA1772">
        <v>0</v>
      </c>
      <c r="AC1772">
        <v>23</v>
      </c>
      <c r="AD1772">
        <v>9.5</v>
      </c>
      <c r="AE1772" s="59">
        <v>0.33333333333333331</v>
      </c>
      <c r="AF1772" s="59">
        <v>0.3743055555555555</v>
      </c>
      <c r="AG1772">
        <v>37.5</v>
      </c>
    </row>
    <row r="1773" spans="1:33" x14ac:dyDescent="0.25">
      <c r="A1773" t="s">
        <v>258</v>
      </c>
      <c r="B1773" t="s">
        <v>362</v>
      </c>
      <c r="C1773" t="s">
        <v>363</v>
      </c>
      <c r="E1773" t="s">
        <v>364</v>
      </c>
      <c r="F1773" t="s">
        <v>134</v>
      </c>
      <c r="H1773" t="s">
        <v>209</v>
      </c>
      <c r="I1773" t="s">
        <v>147</v>
      </c>
      <c r="J1773" t="s">
        <v>258</v>
      </c>
      <c r="K1773" t="s">
        <v>438</v>
      </c>
      <c r="L1773" t="s">
        <v>340</v>
      </c>
      <c r="N1773" t="s">
        <v>439</v>
      </c>
      <c r="O1773" t="s">
        <v>243</v>
      </c>
      <c r="Q1773" t="s">
        <v>244</v>
      </c>
      <c r="R1773" t="s">
        <v>210</v>
      </c>
      <c r="S1773" t="s">
        <v>128</v>
      </c>
      <c r="T1773" t="s">
        <v>181</v>
      </c>
      <c r="U1773" t="s">
        <v>151</v>
      </c>
      <c r="V1773" t="s">
        <v>76</v>
      </c>
      <c r="W1773" s="58">
        <v>43357</v>
      </c>
      <c r="X1773" s="59">
        <v>0.41666666666666669</v>
      </c>
      <c r="Y1773" s="59">
        <v>0.44791666666666669</v>
      </c>
      <c r="Z1773" s="59">
        <v>3.125E-2</v>
      </c>
      <c r="AA1773">
        <v>13</v>
      </c>
      <c r="AB1773">
        <v>10.5944</v>
      </c>
      <c r="AC1773">
        <v>15</v>
      </c>
      <c r="AD1773">
        <v>7.125</v>
      </c>
      <c r="AE1773" s="59">
        <v>0.41666666666666669</v>
      </c>
      <c r="AF1773" s="59">
        <v>0.44722222222222219</v>
      </c>
      <c r="AG1773">
        <v>37.5</v>
      </c>
    </row>
    <row r="1774" spans="1:33" x14ac:dyDescent="0.25">
      <c r="A1774" t="s">
        <v>258</v>
      </c>
      <c r="B1774" t="s">
        <v>325</v>
      </c>
      <c r="C1774" t="s">
        <v>326</v>
      </c>
      <c r="E1774" t="s">
        <v>327</v>
      </c>
      <c r="F1774" t="s">
        <v>134</v>
      </c>
      <c r="H1774" t="s">
        <v>182</v>
      </c>
      <c r="I1774" t="s">
        <v>147</v>
      </c>
      <c r="J1774" t="s">
        <v>258</v>
      </c>
      <c r="K1774" t="s">
        <v>438</v>
      </c>
      <c r="L1774" t="s">
        <v>340</v>
      </c>
      <c r="N1774" t="s">
        <v>439</v>
      </c>
      <c r="O1774" t="s">
        <v>243</v>
      </c>
      <c r="Q1774" t="s">
        <v>244</v>
      </c>
      <c r="R1774" t="s">
        <v>183</v>
      </c>
      <c r="S1774" t="s">
        <v>128</v>
      </c>
      <c r="T1774" t="s">
        <v>181</v>
      </c>
      <c r="U1774" t="s">
        <v>129</v>
      </c>
      <c r="V1774" t="s">
        <v>76</v>
      </c>
      <c r="W1774" s="58">
        <v>43357</v>
      </c>
      <c r="X1774" s="59">
        <v>0.48958333333333331</v>
      </c>
      <c r="Y1774" s="59">
        <v>0.53125</v>
      </c>
      <c r="Z1774" s="59">
        <v>4.1666666666666664E-2</v>
      </c>
      <c r="AA1774">
        <v>5</v>
      </c>
      <c r="AB1774">
        <v>2.7227999999999999</v>
      </c>
      <c r="AC1774">
        <v>23</v>
      </c>
      <c r="AD1774">
        <v>9.5</v>
      </c>
      <c r="AE1774" s="59">
        <v>0.48958333333333331</v>
      </c>
      <c r="AF1774" s="59">
        <v>0.53055555555555556</v>
      </c>
      <c r="AG1774">
        <v>37.5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F0906A70E8BF42A57C9785749D70A5" ma:contentTypeVersion="10" ma:contentTypeDescription="Create a new document." ma:contentTypeScope="" ma:versionID="38866b713a81cbb8985e22d829dd3f34">
  <xsd:schema xmlns:xsd="http://www.w3.org/2001/XMLSchema" xmlns:xs="http://www.w3.org/2001/XMLSchema" xmlns:p="http://schemas.microsoft.com/office/2006/metadata/properties" xmlns:ns2="ce6538d3-7812-4113-aeac-e41ddc95ee7d" xmlns:ns3="d205a227-7f11-4c58-81d6-c72c329d7449" targetNamespace="http://schemas.microsoft.com/office/2006/metadata/properties" ma:root="true" ma:fieldsID="b064099eb02f24f66ad0824df405e981" ns2:_="" ns3:_="">
    <xsd:import namespace="ce6538d3-7812-4113-aeac-e41ddc95ee7d"/>
    <xsd:import namespace="d205a227-7f11-4c58-81d6-c72c329d74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Location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6538d3-7812-4113-aeac-e41ddc95ee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05a227-7f11-4c58-81d6-c72c329d744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851F1E-429F-4ADA-B98F-2FA18479AC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48C5C-7D4A-49BF-A965-6DE39133BB1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ce6538d3-7812-4113-aeac-e41ddc95ee7d"/>
    <ds:schemaRef ds:uri="http://purl.org/dc/dcmitype/"/>
    <ds:schemaRef ds:uri="http://schemas.microsoft.com/office/infopath/2007/PartnerControls"/>
    <ds:schemaRef ds:uri="d205a227-7f11-4c58-81d6-c72c329d7449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14791DE-6ABF-402F-8CD1-87D567F7F2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6538d3-7812-4113-aeac-e41ddc95ee7d"/>
    <ds:schemaRef ds:uri="d205a227-7f11-4c58-81d6-c72c329d74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Business rules</vt:lpstr>
      <vt:lpstr>Input</vt:lpstr>
      <vt:lpstr>Call distribution</vt:lpstr>
      <vt:lpstr>Weekly Roster</vt:lpstr>
      <vt:lpstr>Staff Count</vt:lpstr>
      <vt:lpstr>Raw data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Heerlyn</dc:creator>
  <cp:lastModifiedBy>Jack Selcraig</cp:lastModifiedBy>
  <cp:revision/>
  <dcterms:created xsi:type="dcterms:W3CDTF">2018-07-10T12:29:22Z</dcterms:created>
  <dcterms:modified xsi:type="dcterms:W3CDTF">2019-03-26T13:52:20Z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0x0101009AF0906A70E8BF42A57C9785749D70A5</vt:lpwstr>
  </property>
</Properties>
</file>